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5881-2024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45335</v>
      </c>
      <c r="E2" s="1" t="n">
        <v>46319</v>
      </c>
      <c r="F2" t="inlineStr">
        <is>
          <t>VÄSTERNORRLANDS LÄN</t>
        </is>
      </c>
      <c r="G2" t="inlineStr">
        <is>
          <t>HÄRNÖSAND</t>
        </is>
      </c>
      <c r="I2" t="n">
        <v>22.9</v>
      </c>
      <c r="J2" t="n">
        <v>6</v>
      </c>
      <c r="K2" t="n">
        <v>5</v>
      </c>
      <c r="L2" t="n">
        <v>10</v>
      </c>
      <c r="M2" t="n">
        <v>3</v>
      </c>
      <c r="N2" t="n">
        <v>1</v>
      </c>
      <c r="O2" t="n">
        <v>0</v>
      </c>
      <c r="P2" t="n">
        <v>0</v>
      </c>
      <c r="Q2" t="n">
        <v>14</v>
      </c>
      <c r="R2" t="n">
        <v>4</v>
      </c>
      <c r="S2" t="n">
        <v>23</v>
      </c>
      <c r="T2" t="n">
        <v>83</v>
      </c>
      <c r="U2" t="n">
        <v>69</v>
      </c>
      <c r="V2" s="2" t="inlineStr">
        <is>
          <t>Raggtaggsvamp
Garnlav
Knärot
Ringlav
Dropptaggsvamp
Gammelgransskål
Motaggsvamp
Rosenticka
Tallkötticka
Talltita
Tretåig hackspett
Ullticka
Vedskivlav
Violettgrå tagellav
Bronshjon
Nästlav
Rävticka
Vedticka
Vågbandad barkbock
Linnea
Spillkråka
Tjäder
Tofsmes</t>
        </is>
      </c>
      <c r="W2">
        <f>HYPERLINK("https://klasma.github.io/Logging_2280/artfynd/A 5881-2024 artfynd.xlsx", "A 5881-2024")</f>
        <v/>
      </c>
      <c r="X2">
        <f>HYPERLINK("https://klasma.github.io/Logging_2280/kartor/A 5881-2024 karta.png", "A 5881-2024")</f>
        <v/>
      </c>
      <c r="Y2">
        <f>HYPERLINK("https://klasma.github.io/Logging_2280/kartor_geotiff/A 5881-2024 georefererad karta.tif", "A 5881-2024")</f>
        <v/>
      </c>
      <c r="Z2">
        <f>HYPERLINK("https://klasma.github.io/Logging_2280/knärot/A 5881-2024 karta knärot.png", "A 5881-2024")</f>
        <v/>
      </c>
      <c r="AA2">
        <f>HYPERLINK("https://klasma.github.io/Logging_2280/klagomål/A 5881-2024 FSC-klagomål.docx", "A 5881-2024")</f>
        <v/>
      </c>
      <c r="AB2">
        <f>HYPERLINK("https://klasma.github.io/Logging_2280/klagomålsmail/A 5881-2024 FSC-klagomål mail.docx", "A 5881-2024")</f>
        <v/>
      </c>
      <c r="AC2">
        <f>HYPERLINK("https://klasma.github.io/Logging_2280/tillsyn/A 5881-2024 tillsynsbegäran.docx", "A 5881-2024")</f>
        <v/>
      </c>
      <c r="AD2">
        <f>HYPERLINK("https://klasma.github.io/Logging_2280/tillsynsmail/A 5881-2024 tillsynsbegäran mail.docx", "A 5881-2024")</f>
        <v/>
      </c>
      <c r="AE2">
        <f>HYPERLINK("https://klasma.github.io/Logging_2280/fåglar/A 5881-2024 prioriterade fågelarter.docx", "A 5881-2024")</f>
        <v/>
      </c>
    </row>
    <row r="3" ht="15" customHeight="1">
      <c r="A3" t="inlineStr">
        <is>
          <t>A 47711-2024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45588</v>
      </c>
      <c r="E3" s="1" t="n">
        <v>46319</v>
      </c>
      <c r="F3" t="inlineStr">
        <is>
          <t>VÄSTERNORRLANDS LÄN</t>
        </is>
      </c>
      <c r="G3" t="inlineStr">
        <is>
          <t>HÄRNÖSAND</t>
        </is>
      </c>
      <c r="I3" t="n">
        <v>39.5</v>
      </c>
      <c r="J3" t="n">
        <v>5</v>
      </c>
      <c r="K3" t="n">
        <v>4</v>
      </c>
      <c r="L3" t="n">
        <v>9</v>
      </c>
      <c r="M3" t="n">
        <v>3</v>
      </c>
      <c r="N3" t="n">
        <v>0</v>
      </c>
      <c r="O3" t="n">
        <v>0</v>
      </c>
      <c r="P3" t="n">
        <v>0</v>
      </c>
      <c r="Q3" t="n">
        <v>12</v>
      </c>
      <c r="R3" t="n">
        <v>3</v>
      </c>
      <c r="S3" t="n">
        <v>20</v>
      </c>
      <c r="T3" t="n">
        <v>66</v>
      </c>
      <c r="U3" t="n">
        <v>52</v>
      </c>
      <c r="V3" s="2" t="inlineStr">
        <is>
          <t>Garnlav
Knärot
Ringlav
Dropptaggsvamp
Motaggsvamp
Orange taggsvamp
Rosenticka
Svartvit taggsvamp
Tallticka
Tretåig hackspett
Ullticka
Violettgrå tagellav
Bronshjon
Nästlav
Vedticka
Vågbandad barkbock
Kötticka
Mattlummer
Spillkråka
Tofsmes</t>
        </is>
      </c>
      <c r="W3">
        <f>HYPERLINK("https://klasma.github.io/Logging_2280/artfynd/A 47711-2024 artfynd.xlsx", "A 47711-2024")</f>
        <v/>
      </c>
      <c r="X3">
        <f>HYPERLINK("https://klasma.github.io/Logging_2280/kartor/A 47711-2024 karta.png", "A 47711-2024")</f>
        <v/>
      </c>
      <c r="Y3">
        <f>HYPERLINK("https://klasma.github.io/Logging_2280/kartor_geotiff/A 47711-2024 georefererad karta.tif", "A 47711-2024")</f>
        <v/>
      </c>
      <c r="Z3">
        <f>HYPERLINK("https://klasma.github.io/Logging_2280/knärot/A 47711-2024 karta knärot.png", "A 47711-2024")</f>
        <v/>
      </c>
      <c r="AA3">
        <f>HYPERLINK("https://klasma.github.io/Logging_2280/klagomål/A 47711-2024 FSC-klagomål.docx", "A 47711-2024")</f>
        <v/>
      </c>
      <c r="AB3">
        <f>HYPERLINK("https://klasma.github.io/Logging_2280/klagomålsmail/A 47711-2024 FSC-klagomål mail.docx", "A 47711-2024")</f>
        <v/>
      </c>
      <c r="AC3">
        <f>HYPERLINK("https://klasma.github.io/Logging_2280/tillsyn/A 47711-2024 tillsynsbegäran.docx", "A 47711-2024")</f>
        <v/>
      </c>
      <c r="AD3">
        <f>HYPERLINK("https://klasma.github.io/Logging_2280/tillsynsmail/A 47711-2024 tillsynsbegäran mail.docx", "A 47711-2024")</f>
        <v/>
      </c>
      <c r="AE3">
        <f>HYPERLINK("https://klasma.github.io/Logging_2280/fåglar/A 47711-2024 prioriterade fågelarter.docx", "A 47711-2024")</f>
        <v/>
      </c>
    </row>
    <row r="4" ht="15" customHeight="1">
      <c r="A4" t="inlineStr">
        <is>
          <t>A 56749-2025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45978</v>
      </c>
      <c r="E4" s="1" t="n">
        <v>46319</v>
      </c>
      <c r="F4" t="inlineStr">
        <is>
          <t>VÄSTERNORRLANDS LÄN</t>
        </is>
      </c>
      <c r="G4" t="inlineStr">
        <is>
          <t>HÄRNÖSAND</t>
        </is>
      </c>
      <c r="H4" t="inlineStr">
        <is>
          <t>SCA</t>
        </is>
      </c>
      <c r="I4" t="n">
        <v>7.8</v>
      </c>
      <c r="J4" t="n">
        <v>3</v>
      </c>
      <c r="K4" t="n">
        <v>5</v>
      </c>
      <c r="L4" t="n">
        <v>11</v>
      </c>
      <c r="M4" t="n">
        <v>3</v>
      </c>
      <c r="N4" t="n">
        <v>0</v>
      </c>
      <c r="O4" t="n">
        <v>0</v>
      </c>
      <c r="P4" t="n">
        <v>0</v>
      </c>
      <c r="Q4" t="n">
        <v>14</v>
      </c>
      <c r="R4" t="n">
        <v>3</v>
      </c>
      <c r="S4" t="n">
        <v>20</v>
      </c>
      <c r="T4" t="n">
        <v>166</v>
      </c>
      <c r="U4" t="n">
        <v>162</v>
      </c>
      <c r="V4" s="2" t="inlineStr">
        <is>
          <t>Garnlav
Gränsticka
Lappticka
Doftskinn
Gammelgransskål
Kattfotslav
Rosenticka
Rynkskinn
Stjärntagging
Talltita
Tretåig hackspett
Ullticka
Violettgrå tagellav
Vitgrynig nållav
Barkkornlav
Nästlav
Trådticka
Vedticka
Vågbandad barkbock
Järpe</t>
        </is>
      </c>
      <c r="W4">
        <f>HYPERLINK("https://klasma.github.io/Logging_2280/artfynd/A 56749-2025 artfynd.xlsx", "A 56749-2025")</f>
        <v/>
      </c>
      <c r="X4">
        <f>HYPERLINK("https://klasma.github.io/Logging_2280/kartor/A 56749-2025 karta.png", "A 56749-2025")</f>
        <v/>
      </c>
      <c r="Y4">
        <f>HYPERLINK("https://klasma.github.io/Logging_2280/kartor_geotiff/A 56749-2025 georefererad karta.tif", "A 56749-2025")</f>
        <v/>
      </c>
      <c r="AA4">
        <f>HYPERLINK("https://klasma.github.io/Logging_2280/klagomål/A 56749-2025 FSC-klagomål.docx", "A 56749-2025")</f>
        <v/>
      </c>
      <c r="AB4">
        <f>HYPERLINK("https://klasma.github.io/Logging_2280/klagomålsmail/A 56749-2025 FSC-klagomål mail.docx", "A 56749-2025")</f>
        <v/>
      </c>
      <c r="AC4">
        <f>HYPERLINK("https://klasma.github.io/Logging_2280/tillsyn/A 56749-2025 tillsynsbegäran.docx", "A 56749-2025")</f>
        <v/>
      </c>
      <c r="AD4">
        <f>HYPERLINK("https://klasma.github.io/Logging_2280/tillsynsmail/A 56749-2025 tillsynsbegäran mail.docx", "A 56749-2025")</f>
        <v/>
      </c>
      <c r="AE4">
        <f>HYPERLINK("https://klasma.github.io/Logging_2280/fåglar/A 56749-2025 prioriterade fågelarter.docx", "A 56749-2025")</f>
        <v/>
      </c>
    </row>
    <row r="5" ht="15" customHeight="1">
      <c r="A5" t="inlineStr">
        <is>
          <t>A 39378-2026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46288</v>
      </c>
      <c r="E5" s="1" t="n">
        <v>46319</v>
      </c>
      <c r="F5" t="inlineStr">
        <is>
          <t>VÄSTERNORRLANDS LÄN</t>
        </is>
      </c>
      <c r="G5" t="inlineStr">
        <is>
          <t>HÄRNÖSAND</t>
        </is>
      </c>
      <c r="I5" t="n">
        <v>2.8</v>
      </c>
      <c r="J5" t="n">
        <v>2</v>
      </c>
      <c r="K5" t="n">
        <v>5</v>
      </c>
      <c r="L5" t="n">
        <v>8</v>
      </c>
      <c r="M5" t="n">
        <v>3</v>
      </c>
      <c r="N5" t="n">
        <v>1</v>
      </c>
      <c r="O5" t="n">
        <v>0</v>
      </c>
      <c r="P5" t="n">
        <v>0</v>
      </c>
      <c r="Q5" t="n">
        <v>12</v>
      </c>
      <c r="R5" t="n">
        <v>4</v>
      </c>
      <c r="S5" t="n">
        <v>18</v>
      </c>
      <c r="T5" t="n">
        <v>36</v>
      </c>
      <c r="U5" t="n">
        <v>0</v>
      </c>
      <c r="V5" s="2" t="inlineStr">
        <is>
          <t>Trådbrosklav
Garnlav
Gränsticka
Gul taggsvamp
Dofttaggsvamp
Fjällig taggsvamp s.str.
Gammelgransskål
Grantaggsvamp
Lunglav
Svartvit taggsvamp
Ullticka
Violettgrå tagellav
Korallrot
Nästlav
Trådticka
Vedticka
Ögonpyrola
Revlummer</t>
        </is>
      </c>
      <c r="W5">
        <f>HYPERLINK("https://klasma.github.io/Logging_2280/artfynd/A 39378-2026 artfynd.xlsx", "A 39378-2026")</f>
        <v/>
      </c>
      <c r="X5">
        <f>HYPERLINK("https://klasma.github.io/Logging_2280/kartor/A 39378-2026 karta.png", "A 39378-2026")</f>
        <v/>
      </c>
      <c r="Y5">
        <f>HYPERLINK("https://klasma.github.io/Logging_2280/kartor_geotiff/A 39378-2026 georefererad karta.tif", "A 39378-2026")</f>
        <v/>
      </c>
      <c r="AA5">
        <f>HYPERLINK("https://klasma.github.io/Logging_2280/klagomål/A 39378-2026 FSC-klagomål.docx", "A 39378-2026")</f>
        <v/>
      </c>
      <c r="AB5">
        <f>HYPERLINK("https://klasma.github.io/Logging_2280/klagomålsmail/A 39378-2026 FSC-klagomål mail.docx", "A 39378-2026")</f>
        <v/>
      </c>
      <c r="AC5">
        <f>HYPERLINK("https://klasma.github.io/Logging_2280/tillsyn/A 39378-2026 tillsynsbegäran.docx", "A 39378-2026")</f>
        <v/>
      </c>
      <c r="AD5">
        <f>HYPERLINK("https://klasma.github.io/Logging_2280/tillsynsmail/A 39378-2026 tillsynsbegäran mail.docx", "A 39378-2026")</f>
        <v/>
      </c>
    </row>
    <row r="6" ht="15" customHeight="1">
      <c r="A6" t="inlineStr">
        <is>
          <t>A 4816-2024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45328</v>
      </c>
      <c r="E6" s="1" t="n">
        <v>46319</v>
      </c>
      <c r="F6" t="inlineStr">
        <is>
          <t>VÄSTERNORRLANDS LÄN</t>
        </is>
      </c>
      <c r="G6" t="inlineStr">
        <is>
          <t>HÄRNÖSAND</t>
        </is>
      </c>
      <c r="H6" t="inlineStr">
        <is>
          <t>SCA</t>
        </is>
      </c>
      <c r="I6" t="n">
        <v>11.6</v>
      </c>
      <c r="J6" t="n">
        <v>5</v>
      </c>
      <c r="K6" t="n">
        <v>3</v>
      </c>
      <c r="L6" t="n">
        <v>7</v>
      </c>
      <c r="M6" t="n">
        <v>4</v>
      </c>
      <c r="N6" t="n">
        <v>0</v>
      </c>
      <c r="O6" t="n">
        <v>0</v>
      </c>
      <c r="P6" t="n">
        <v>0</v>
      </c>
      <c r="Q6" t="n">
        <v>11</v>
      </c>
      <c r="R6" t="n">
        <v>4</v>
      </c>
      <c r="S6" t="n">
        <v>18</v>
      </c>
      <c r="T6" t="n">
        <v>78</v>
      </c>
      <c r="U6" t="n">
        <v>76</v>
      </c>
      <c r="V6" s="2" t="inlineStr">
        <is>
          <t>Blackticka
Garnlav
Gränsticka
Rostskinn
Gammelgransskål
Kötticka
Rosenticka
Rynkskinn
Stjärntagging
Tretåig hackspett
Ullticka
Bronshjon
Vedticka
Vågbandad barkbock
Blåsippa
Järpe
Spillkråka
Revlummer</t>
        </is>
      </c>
      <c r="W6">
        <f>HYPERLINK("https://klasma.github.io/Logging_2280/artfynd/A 4816-2024 artfynd.xlsx", "A 4816-2024")</f>
        <v/>
      </c>
      <c r="X6">
        <f>HYPERLINK("https://klasma.github.io/Logging_2280/kartor/A 4816-2024 karta.png", "A 4816-2024")</f>
        <v/>
      </c>
      <c r="Y6">
        <f>HYPERLINK("https://klasma.github.io/Logging_2280/kartor_geotiff/A 4816-2024 georefererad karta.tif", "A 4816-2024")</f>
        <v/>
      </c>
      <c r="AA6">
        <f>HYPERLINK("https://klasma.github.io/Logging_2280/klagomål/A 4816-2024 FSC-klagomål.docx", "A 4816-2024")</f>
        <v/>
      </c>
      <c r="AB6">
        <f>HYPERLINK("https://klasma.github.io/Logging_2280/klagomålsmail/A 4816-2024 FSC-klagomål mail.docx", "A 4816-2024")</f>
        <v/>
      </c>
      <c r="AC6">
        <f>HYPERLINK("https://klasma.github.io/Logging_2280/tillsyn/A 4816-2024 tillsynsbegäran.docx", "A 4816-2024")</f>
        <v/>
      </c>
      <c r="AD6">
        <f>HYPERLINK("https://klasma.github.io/Logging_2280/tillsynsmail/A 4816-2024 tillsynsbegäran mail.docx", "A 4816-2024")</f>
        <v/>
      </c>
      <c r="AE6">
        <f>HYPERLINK("https://klasma.github.io/Logging_2280/fåglar/A 4816-2024 prioriterade fågelarter.docx", "A 4816-2024")</f>
        <v/>
      </c>
    </row>
    <row r="7" ht="15" customHeight="1">
      <c r="A7" t="inlineStr">
        <is>
          <t>S 174-2026</t>
        </is>
      </c>
      <c r="B7" t="inlineStr">
        <is>
          <t>samrådsanmälan</t>
        </is>
      </c>
      <c r="C7" t="inlineStr">
        <is>
          <t>Annan skogsbruksåtgärd</t>
        </is>
      </c>
      <c r="D7" s="1" t="n">
        <v>46044</v>
      </c>
      <c r="E7" s="1" t="n">
        <v>46319</v>
      </c>
      <c r="F7" t="inlineStr">
        <is>
          <t>VÄSTERNORRLANDS LÄN</t>
        </is>
      </c>
      <c r="G7" t="inlineStr">
        <is>
          <t>HÄRNÖSAND</t>
        </is>
      </c>
      <c r="H7" t="inlineStr">
        <is>
          <t>SCA</t>
        </is>
      </c>
      <c r="I7" t="n">
        <v>5.4</v>
      </c>
      <c r="J7" t="n">
        <v>5</v>
      </c>
      <c r="K7" t="n">
        <v>6</v>
      </c>
      <c r="L7" t="n">
        <v>9</v>
      </c>
      <c r="M7" t="n">
        <v>1</v>
      </c>
      <c r="N7" t="n">
        <v>0</v>
      </c>
      <c r="O7" t="n">
        <v>0</v>
      </c>
      <c r="P7" t="n">
        <v>0</v>
      </c>
      <c r="Q7" t="n">
        <v>10</v>
      </c>
      <c r="R7" t="n">
        <v>1</v>
      </c>
      <c r="S7" t="n">
        <v>18</v>
      </c>
      <c r="T7" t="n">
        <v>34</v>
      </c>
      <c r="U7" t="n">
        <v>0</v>
      </c>
      <c r="V7" s="2" t="inlineStr">
        <is>
          <t>Garnlav
Blågrå svartspik
Gammelgransskål
Lunglav
Sparvuggla
Talltita
Tretåig hackspett
Ullticka
Violettgrå tagellav
Vågticka
Bårdlav
Korallblylav
Luddlav
Mörk husmossa
Stor aspticka
Stuplav
Spillkråka
Revlummer</t>
        </is>
      </c>
      <c r="W7">
        <f>HYPERLINK("https://klasma.github.io/Logging_2280/artfynd/S 174-2026 artfynd.xlsx", "S 174-2026")</f>
        <v/>
      </c>
      <c r="X7">
        <f>HYPERLINK("https://klasma.github.io/Logging_2280/kartor/S 174-2026 karta.png", "S 174-2026")</f>
        <v/>
      </c>
      <c r="Y7">
        <f>HYPERLINK("https://klasma.github.io/Logging_2280/kartor_geotiff/S 174-2026 georefererad karta.tif", "S 174-2026")</f>
        <v/>
      </c>
      <c r="AA7">
        <f>HYPERLINK("https://klasma.github.io/Logging_2280/klagomål/S 174-2026 FSC-klagomål.docx", "S 174-2026")</f>
        <v/>
      </c>
      <c r="AB7">
        <f>HYPERLINK("https://klasma.github.io/Logging_2280/klagomålsmail/S 174-2026 FSC-klagomål mail.docx", "S 174-2026")</f>
        <v/>
      </c>
      <c r="AC7">
        <f>HYPERLINK("https://klasma.github.io/Logging_2280/tillsyn/S 174-2026 tillsynsbegäran.docx", "S 174-2026")</f>
        <v/>
      </c>
      <c r="AD7">
        <f>HYPERLINK("https://klasma.github.io/Logging_2280/tillsynsmail/S 174-2026 tillsynsbegäran mail.docx", "S 174-2026")</f>
        <v/>
      </c>
      <c r="AE7">
        <f>HYPERLINK("https://klasma.github.io/Logging_2280/fåglar/S 174-2026 prioriterade fågelarter.docx", "S 174-2026")</f>
        <v/>
      </c>
    </row>
    <row r="8" ht="15" customHeight="1">
      <c r="A8" t="inlineStr">
        <is>
          <t>A 18689-2025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45763</v>
      </c>
      <c r="E8" s="1" t="n">
        <v>46319</v>
      </c>
      <c r="F8" t="inlineStr">
        <is>
          <t>VÄSTERNORRLANDS LÄN</t>
        </is>
      </c>
      <c r="G8" t="inlineStr">
        <is>
          <t>HÄRNÖSAND</t>
        </is>
      </c>
      <c r="H8" t="inlineStr">
        <is>
          <t>SCA</t>
        </is>
      </c>
      <c r="I8" t="n">
        <v>12.2</v>
      </c>
      <c r="J8" t="n">
        <v>5</v>
      </c>
      <c r="K8" t="n">
        <v>5</v>
      </c>
      <c r="L8" t="n">
        <v>5</v>
      </c>
      <c r="M8" t="n">
        <v>3</v>
      </c>
      <c r="N8" t="n">
        <v>0</v>
      </c>
      <c r="O8" t="n">
        <v>0</v>
      </c>
      <c r="P8" t="n">
        <v>0</v>
      </c>
      <c r="Q8" t="n">
        <v>8</v>
      </c>
      <c r="R8" t="n">
        <v>3</v>
      </c>
      <c r="S8" t="n">
        <v>15</v>
      </c>
      <c r="T8" t="n">
        <v>28</v>
      </c>
      <c r="U8" t="n">
        <v>20</v>
      </c>
      <c r="V8" s="2" t="inlineStr">
        <is>
          <t>Garnlav
Gränsticka
Knärot
Doftskinn
Rynkskinn
Tretåig hackspett
Ullticka
Violettgrå tagellav
Luddlav
Spindelblomster
Stor aspticka
Stuplav
Vedticka
Fläcknycklar
Nattviol</t>
        </is>
      </c>
      <c r="W8">
        <f>HYPERLINK("https://klasma.github.io/Logging_2280/artfynd/A 18689-2025 artfynd.xlsx", "A 18689-2025")</f>
        <v/>
      </c>
      <c r="X8">
        <f>HYPERLINK("https://klasma.github.io/Logging_2280/kartor/A 18689-2025 karta.png", "A 18689-2025")</f>
        <v/>
      </c>
      <c r="Y8">
        <f>HYPERLINK("https://klasma.github.io/Logging_2280/kartor_geotiff/A 18689-2025 georefererad karta.tif", "A 18689-2025")</f>
        <v/>
      </c>
      <c r="Z8">
        <f>HYPERLINK("https://klasma.github.io/Logging_2280/knärot/A 18689-2025 karta knärot.png", "A 18689-2025")</f>
        <v/>
      </c>
      <c r="AA8">
        <f>HYPERLINK("https://klasma.github.io/Logging_2280/klagomål/A 18689-2025 FSC-klagomål.docx", "A 18689-2025")</f>
        <v/>
      </c>
      <c r="AB8">
        <f>HYPERLINK("https://klasma.github.io/Logging_2280/klagomålsmail/A 18689-2025 FSC-klagomål mail.docx", "A 18689-2025")</f>
        <v/>
      </c>
      <c r="AC8">
        <f>HYPERLINK("https://klasma.github.io/Logging_2280/tillsyn/A 18689-2025 tillsynsbegäran.docx", "A 18689-2025")</f>
        <v/>
      </c>
      <c r="AD8">
        <f>HYPERLINK("https://klasma.github.io/Logging_2280/tillsynsmail/A 18689-2025 tillsynsbegäran mail.docx", "A 18689-2025")</f>
        <v/>
      </c>
      <c r="AE8">
        <f>HYPERLINK("https://klasma.github.io/Logging_2280/fåglar/A 18689-2025 prioriterade fågelarter.docx", "A 18689-2025")</f>
        <v/>
      </c>
    </row>
    <row r="9" ht="15" customHeight="1">
      <c r="A9" t="inlineStr">
        <is>
          <t>A 27496-2026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46189</v>
      </c>
      <c r="E9" s="1" t="n">
        <v>46319</v>
      </c>
      <c r="F9" t="inlineStr">
        <is>
          <t>VÄSTERNORRLANDS LÄN</t>
        </is>
      </c>
      <c r="G9" t="inlineStr">
        <is>
          <t>HÄRNÖSAND</t>
        </is>
      </c>
      <c r="H9" t="inlineStr">
        <is>
          <t>SCA</t>
        </is>
      </c>
      <c r="I9" t="n">
        <v>4.2</v>
      </c>
      <c r="J9" t="n">
        <v>3</v>
      </c>
      <c r="K9" t="n">
        <v>4</v>
      </c>
      <c r="L9" t="n">
        <v>5</v>
      </c>
      <c r="M9" t="n">
        <v>2</v>
      </c>
      <c r="N9" t="n">
        <v>0</v>
      </c>
      <c r="O9" t="n">
        <v>0</v>
      </c>
      <c r="P9" t="n">
        <v>0</v>
      </c>
      <c r="Q9" t="n">
        <v>7</v>
      </c>
      <c r="R9" t="n">
        <v>2</v>
      </c>
      <c r="S9" t="n">
        <v>14</v>
      </c>
      <c r="T9" t="n">
        <v>17</v>
      </c>
      <c r="U9" t="n">
        <v>0</v>
      </c>
      <c r="V9" s="2" t="inlineStr">
        <is>
          <t>Aspfjädermossa
Lappticka
Kattfotslav
Lunglav
Rosenticka
Rynkskinn
Ullticka
Brandticka
Korallblylav
Luddlav
Trådticka
Blåsippa
Gråspett
Utter</t>
        </is>
      </c>
      <c r="W9">
        <f>HYPERLINK("https://klasma.github.io/Logging_2280/artfynd/A 27496-2026 artfynd.xlsx", "A 27496-2026")</f>
        <v/>
      </c>
      <c r="X9">
        <f>HYPERLINK("https://klasma.github.io/Logging_2280/kartor/A 27496-2026 karta.png", "A 27496-2026")</f>
        <v/>
      </c>
      <c r="Y9">
        <f>HYPERLINK("https://klasma.github.io/Logging_2280/kartor_geotiff/A 27496-2026 georefererad karta.tif", "A 27496-2026")</f>
        <v/>
      </c>
      <c r="AA9">
        <f>HYPERLINK("https://klasma.github.io/Logging_2280/klagomål/A 27496-2026 FSC-klagomål.docx", "A 27496-2026")</f>
        <v/>
      </c>
      <c r="AB9">
        <f>HYPERLINK("https://klasma.github.io/Logging_2280/klagomålsmail/A 27496-2026 FSC-klagomål mail.docx", "A 27496-2026")</f>
        <v/>
      </c>
      <c r="AC9">
        <f>HYPERLINK("https://klasma.github.io/Logging_2280/tillsyn/A 27496-2026 tillsynsbegäran.docx", "A 27496-2026")</f>
        <v/>
      </c>
      <c r="AD9">
        <f>HYPERLINK("https://klasma.github.io/Logging_2280/tillsynsmail/A 27496-2026 tillsynsbegäran mail.docx", "A 27496-2026")</f>
        <v/>
      </c>
      <c r="AE9">
        <f>HYPERLINK("https://klasma.github.io/Logging_2280/fåglar/A 27496-2026 prioriterade fågelarter.docx", "A 27496-2026")</f>
        <v/>
      </c>
    </row>
    <row r="10" ht="15" customHeight="1">
      <c r="A10" t="inlineStr">
        <is>
          <t>A 49355-2025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45938</v>
      </c>
      <c r="E10" s="1" t="n">
        <v>46319</v>
      </c>
      <c r="F10" t="inlineStr">
        <is>
          <t>VÄSTERNORRLANDS LÄN</t>
        </is>
      </c>
      <c r="G10" t="inlineStr">
        <is>
          <t>HÄRNÖSAND</t>
        </is>
      </c>
      <c r="H10" t="inlineStr">
        <is>
          <t>SCA</t>
        </is>
      </c>
      <c r="I10" t="n">
        <v>10.3</v>
      </c>
      <c r="J10" t="n">
        <v>3</v>
      </c>
      <c r="K10" t="n">
        <v>3</v>
      </c>
      <c r="L10" t="n">
        <v>6</v>
      </c>
      <c r="M10" t="n">
        <v>4</v>
      </c>
      <c r="N10" t="n">
        <v>0</v>
      </c>
      <c r="O10" t="n">
        <v>0</v>
      </c>
      <c r="P10" t="n">
        <v>0</v>
      </c>
      <c r="Q10" t="n">
        <v>10</v>
      </c>
      <c r="R10" t="n">
        <v>4</v>
      </c>
      <c r="S10" t="n">
        <v>14</v>
      </c>
      <c r="T10" t="n">
        <v>59</v>
      </c>
      <c r="U10" t="n">
        <v>38</v>
      </c>
      <c r="V10" s="2" t="inlineStr">
        <is>
          <t>Garnlav
Gränsticka
Knärot
Lappticka
Kötticka
Lunglav
Rosenticka
Rynkskinn
Tretåig hackspett
Ullticka
Korallblylav
Skinnlav
Vedticka
Revlummer</t>
        </is>
      </c>
      <c r="W10">
        <f>HYPERLINK("https://klasma.github.io/Logging_2280/artfynd/A 49355-2025 artfynd.xlsx", "A 49355-2025")</f>
        <v/>
      </c>
      <c r="X10">
        <f>HYPERLINK("https://klasma.github.io/Logging_2280/kartor/A 49355-2025 karta.png", "A 49355-2025")</f>
        <v/>
      </c>
      <c r="Y10">
        <f>HYPERLINK("https://klasma.github.io/Logging_2280/kartor_geotiff/A 49355-2025 georefererad karta.tif", "A 49355-2025")</f>
        <v/>
      </c>
      <c r="Z10">
        <f>HYPERLINK("https://klasma.github.io/Logging_2280/knärot/A 49355-2025 karta knärot.png", "A 49355-2025")</f>
        <v/>
      </c>
      <c r="AA10">
        <f>HYPERLINK("https://klasma.github.io/Logging_2280/klagomål/A 49355-2025 FSC-klagomål.docx", "A 49355-2025")</f>
        <v/>
      </c>
      <c r="AB10">
        <f>HYPERLINK("https://klasma.github.io/Logging_2280/klagomålsmail/A 49355-2025 FSC-klagomål mail.docx", "A 49355-2025")</f>
        <v/>
      </c>
      <c r="AC10">
        <f>HYPERLINK("https://klasma.github.io/Logging_2280/tillsyn/A 49355-2025 tillsynsbegäran.docx", "A 49355-2025")</f>
        <v/>
      </c>
      <c r="AD10">
        <f>HYPERLINK("https://klasma.github.io/Logging_2280/tillsynsmail/A 49355-2025 tillsynsbegäran mail.docx", "A 49355-2025")</f>
        <v/>
      </c>
      <c r="AE10">
        <f>HYPERLINK("https://klasma.github.io/Logging_2280/fåglar/A 49355-2025 prioriterade fågelarter.docx", "A 49355-2025")</f>
        <v/>
      </c>
    </row>
    <row r="11" ht="15" customHeight="1">
      <c r="A11" t="inlineStr">
        <is>
          <t>A 18563-2022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44686</v>
      </c>
      <c r="E11" s="1" t="n">
        <v>46319</v>
      </c>
      <c r="F11" t="inlineStr">
        <is>
          <t>VÄSTERNORRLANDS LÄN</t>
        </is>
      </c>
      <c r="G11" t="inlineStr">
        <is>
          <t>HÄRNÖSAND</t>
        </is>
      </c>
      <c r="H11" t="inlineStr">
        <is>
          <t>SCA</t>
        </is>
      </c>
      <c r="I11" t="n">
        <v>17.5</v>
      </c>
      <c r="J11" t="n">
        <v>1</v>
      </c>
      <c r="K11" t="n">
        <v>7</v>
      </c>
      <c r="L11" t="n">
        <v>6</v>
      </c>
      <c r="M11" t="n">
        <v>1</v>
      </c>
      <c r="N11" t="n">
        <v>0</v>
      </c>
      <c r="O11" t="n">
        <v>0</v>
      </c>
      <c r="P11" t="n">
        <v>0</v>
      </c>
      <c r="Q11" t="n">
        <v>7</v>
      </c>
      <c r="R11" t="n">
        <v>1</v>
      </c>
      <c r="S11" t="n">
        <v>14</v>
      </c>
      <c r="T11" t="n">
        <v>73</v>
      </c>
      <c r="U11" t="n">
        <v>4</v>
      </c>
      <c r="V11" s="2" t="inlineStr">
        <is>
          <t>Garnlav
Lunglav
Rosenticka
Rynkskinn
Stjärntagging
Sötgräs
Ullticka
Dvärghäxört
Strutbräken
Stuplav
Svart trolldruva
Tibast
Trådticka
Vedticka</t>
        </is>
      </c>
      <c r="W11">
        <f>HYPERLINK("https://klasma.github.io/Logging_2280/artfynd/A 18563-2022 artfynd.xlsx", "A 18563-2022")</f>
        <v/>
      </c>
      <c r="X11">
        <f>HYPERLINK("https://klasma.github.io/Logging_2280/kartor/A 18563-2022 karta.png", "A 18563-2022")</f>
        <v/>
      </c>
      <c r="Y11">
        <f>HYPERLINK("https://klasma.github.io/Logging_2280/kartor_geotiff/A 18563-2022 georefererad karta.tif", "A 18563-2022")</f>
        <v/>
      </c>
      <c r="AA11">
        <f>HYPERLINK("https://klasma.github.io/Logging_2280/klagomål/A 18563-2022 FSC-klagomål.docx", "A 18563-2022")</f>
        <v/>
      </c>
      <c r="AB11">
        <f>HYPERLINK("https://klasma.github.io/Logging_2280/klagomålsmail/A 18563-2022 FSC-klagomål mail.docx", "A 18563-2022")</f>
        <v/>
      </c>
      <c r="AC11">
        <f>HYPERLINK("https://klasma.github.io/Logging_2280/tillsyn/A 18563-2022 tillsynsbegäran.docx", "A 18563-2022")</f>
        <v/>
      </c>
      <c r="AD11">
        <f>HYPERLINK("https://klasma.github.io/Logging_2280/tillsynsmail/A 18563-2022 tillsynsbegäran mail.docx", "A 18563-2022")</f>
        <v/>
      </c>
    </row>
    <row r="12" ht="15" customHeight="1">
      <c r="A12" t="inlineStr">
        <is>
          <t>A 38409-2024</t>
        </is>
      </c>
      <c r="B12" t="inlineStr">
        <is>
          <t>avverkningsanmälan</t>
        </is>
      </c>
      <c r="C12" t="inlineStr">
        <is>
          <t>Avverkning för att bevara och utveckla /försöksver</t>
        </is>
      </c>
      <c r="D12" s="1" t="n">
        <v>45546</v>
      </c>
      <c r="E12" s="1" t="n">
        <v>46319</v>
      </c>
      <c r="F12" t="inlineStr">
        <is>
          <t>VÄSTERNORRLANDS LÄN</t>
        </is>
      </c>
      <c r="G12" t="inlineStr">
        <is>
          <t>HÄRNÖSAND</t>
        </is>
      </c>
      <c r="H12" t="inlineStr">
        <is>
          <t>SCA</t>
        </is>
      </c>
      <c r="I12" t="n">
        <v>7.7</v>
      </c>
      <c r="J12" t="n">
        <v>3</v>
      </c>
      <c r="K12" t="n">
        <v>2</v>
      </c>
      <c r="L12" t="n">
        <v>7</v>
      </c>
      <c r="M12" t="n">
        <v>3</v>
      </c>
      <c r="N12" t="n">
        <v>0</v>
      </c>
      <c r="O12" t="n">
        <v>0</v>
      </c>
      <c r="P12" t="n">
        <v>0</v>
      </c>
      <c r="Q12" t="n">
        <v>10</v>
      </c>
      <c r="R12" t="n">
        <v>3</v>
      </c>
      <c r="S12" t="n">
        <v>12</v>
      </c>
      <c r="T12" t="n">
        <v>40</v>
      </c>
      <c r="U12" t="n">
        <v>40</v>
      </c>
      <c r="V12" s="2" t="inlineStr">
        <is>
          <t>Garnlav
Knärot
Skuggnål
Lunglav
Mörk kolflarnlav
Rynkskinn
Talltita
Tretåig hackspett
Ullticka
Vedskivlav
Korallblylav
Mörk husmossa</t>
        </is>
      </c>
      <c r="W12">
        <f>HYPERLINK("https://klasma.github.io/Logging_2280/artfynd/A 38409-2024 artfynd.xlsx", "A 38409-2024")</f>
        <v/>
      </c>
      <c r="X12">
        <f>HYPERLINK("https://klasma.github.io/Logging_2280/kartor/A 38409-2024 karta.png", "A 38409-2024")</f>
        <v/>
      </c>
      <c r="Y12">
        <f>HYPERLINK("https://klasma.github.io/Logging_2280/kartor_geotiff/A 38409-2024 georefererad karta.tif", "A 38409-2024")</f>
        <v/>
      </c>
      <c r="Z12">
        <f>HYPERLINK("https://klasma.github.io/Logging_2280/knärot/A 38409-2024 karta knärot.png", "A 38409-2024")</f>
        <v/>
      </c>
      <c r="AA12">
        <f>HYPERLINK("https://klasma.github.io/Logging_2280/klagomål/A 38409-2024 FSC-klagomål.docx", "A 38409-2024")</f>
        <v/>
      </c>
      <c r="AB12">
        <f>HYPERLINK("https://klasma.github.io/Logging_2280/klagomålsmail/A 38409-2024 FSC-klagomål mail.docx", "A 38409-2024")</f>
        <v/>
      </c>
      <c r="AC12">
        <f>HYPERLINK("https://klasma.github.io/Logging_2280/tillsyn/A 38409-2024 tillsynsbegäran.docx", "A 38409-2024")</f>
        <v/>
      </c>
      <c r="AD12">
        <f>HYPERLINK("https://klasma.github.io/Logging_2280/tillsynsmail/A 38409-2024 tillsynsbegäran mail.docx", "A 38409-2024")</f>
        <v/>
      </c>
      <c r="AE12">
        <f>HYPERLINK("https://klasma.github.io/Logging_2280/fåglar/A 38409-2024 prioriterade fågelarter.docx", "A 38409-2024")</f>
        <v/>
      </c>
    </row>
    <row r="13" ht="15" customHeight="1">
      <c r="A13" t="inlineStr">
        <is>
          <t>A 14582-2024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45394</v>
      </c>
      <c r="E13" s="1" t="n">
        <v>46319</v>
      </c>
      <c r="F13" t="inlineStr">
        <is>
          <t>VÄSTERNORRLANDS LÄN</t>
        </is>
      </c>
      <c r="G13" t="inlineStr">
        <is>
          <t>HÄRNÖSAND</t>
        </is>
      </c>
      <c r="H13" t="inlineStr">
        <is>
          <t>SCA</t>
        </is>
      </c>
      <c r="I13" t="n">
        <v>4.1</v>
      </c>
      <c r="J13" t="n">
        <v>1</v>
      </c>
      <c r="K13" t="n">
        <v>0</v>
      </c>
      <c r="L13" t="n">
        <v>10</v>
      </c>
      <c r="M13" t="n">
        <v>1</v>
      </c>
      <c r="N13" t="n">
        <v>0</v>
      </c>
      <c r="O13" t="n">
        <v>0</v>
      </c>
      <c r="P13" t="n">
        <v>0</v>
      </c>
      <c r="Q13" t="n">
        <v>11</v>
      </c>
      <c r="R13" t="n">
        <v>1</v>
      </c>
      <c r="S13" t="n">
        <v>11</v>
      </c>
      <c r="T13" t="n">
        <v>19</v>
      </c>
      <c r="U13" t="n">
        <v>18</v>
      </c>
      <c r="V13" s="2" t="inlineStr">
        <is>
          <t>Garnlav
Dvärgbägarlav
Kortskaftad ärgspik
Mörk kolflarnlav
Nordtagging
Phellodon aquiloniniger
Rosenticka
Tretåig hackspett
Ullticka
Vedflamlav
Vedskivlav</t>
        </is>
      </c>
      <c r="W13">
        <f>HYPERLINK("https://klasma.github.io/Logging_2280/artfynd/A 14582-2024 artfynd.xlsx", "A 14582-2024")</f>
        <v/>
      </c>
      <c r="X13">
        <f>HYPERLINK("https://klasma.github.io/Logging_2280/kartor/A 14582-2024 karta.png", "A 14582-2024")</f>
        <v/>
      </c>
      <c r="Y13">
        <f>HYPERLINK("https://klasma.github.io/Logging_2280/kartor_geotiff/A 14582-2024 georefererad karta.tif", "A 14582-2024")</f>
        <v/>
      </c>
      <c r="AA13">
        <f>HYPERLINK("https://klasma.github.io/Logging_2280/klagomål/A 14582-2024 FSC-klagomål.docx", "A 14582-2024")</f>
        <v/>
      </c>
      <c r="AB13">
        <f>HYPERLINK("https://klasma.github.io/Logging_2280/klagomålsmail/A 14582-2024 FSC-klagomål mail.docx", "A 14582-2024")</f>
        <v/>
      </c>
      <c r="AC13">
        <f>HYPERLINK("https://klasma.github.io/Logging_2280/tillsyn/A 14582-2024 tillsynsbegäran.docx", "A 14582-2024")</f>
        <v/>
      </c>
      <c r="AD13">
        <f>HYPERLINK("https://klasma.github.io/Logging_2280/tillsynsmail/A 14582-2024 tillsynsbegäran mail.docx", "A 14582-2024")</f>
        <v/>
      </c>
      <c r="AE13">
        <f>HYPERLINK("https://klasma.github.io/Logging_2280/fåglar/A 14582-2024 prioriterade fågelarter.docx", "A 14582-2024")</f>
        <v/>
      </c>
    </row>
    <row r="14" ht="15" customHeight="1">
      <c r="A14" t="inlineStr">
        <is>
          <t>A 47485-2025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45930</v>
      </c>
      <c r="E14" s="1" t="n">
        <v>46319</v>
      </c>
      <c r="F14" t="inlineStr">
        <is>
          <t>VÄSTERNORRLANDS LÄN</t>
        </is>
      </c>
      <c r="G14" t="inlineStr">
        <is>
          <t>HÄRNÖSAND</t>
        </is>
      </c>
      <c r="H14" t="inlineStr">
        <is>
          <t>SCA</t>
        </is>
      </c>
      <c r="I14" t="n">
        <v>10.6</v>
      </c>
      <c r="J14" t="n">
        <v>2</v>
      </c>
      <c r="K14" t="n">
        <v>2</v>
      </c>
      <c r="L14" t="n">
        <v>6</v>
      </c>
      <c r="M14" t="n">
        <v>1</v>
      </c>
      <c r="N14" t="n">
        <v>0</v>
      </c>
      <c r="O14" t="n">
        <v>0</v>
      </c>
      <c r="P14" t="n">
        <v>0</v>
      </c>
      <c r="Q14" t="n">
        <v>7</v>
      </c>
      <c r="R14" t="n">
        <v>1</v>
      </c>
      <c r="S14" t="n">
        <v>10</v>
      </c>
      <c r="T14" t="n">
        <v>15</v>
      </c>
      <c r="U14" t="n">
        <v>0</v>
      </c>
      <c r="V14" s="2" t="inlineStr">
        <is>
          <t>Knärot
Lunglav
Rosenticka
Rynkskinn
Ullticka
Vedflamlav
Vedskivlav
Bårdlav
Korallblylav
Tjäder</t>
        </is>
      </c>
      <c r="W14">
        <f>HYPERLINK("https://klasma.github.io/Logging_2280/artfynd/A 47485-2025 artfynd.xlsx", "A 47485-2025")</f>
        <v/>
      </c>
      <c r="X14">
        <f>HYPERLINK("https://klasma.github.io/Logging_2280/kartor/A 47485-2025 karta.png", "A 47485-2025")</f>
        <v/>
      </c>
      <c r="Y14">
        <f>HYPERLINK("https://klasma.github.io/Logging_2280/kartor_geotiff/A 47485-2025 georefererad karta.tif", "A 47485-2025")</f>
        <v/>
      </c>
      <c r="Z14">
        <f>HYPERLINK("https://klasma.github.io/Logging_2280/knärot/A 47485-2025 karta knärot.png", "A 47485-2025")</f>
        <v/>
      </c>
      <c r="AA14">
        <f>HYPERLINK("https://klasma.github.io/Logging_2280/klagomål/A 47485-2025 FSC-klagomål.docx", "A 47485-2025")</f>
        <v/>
      </c>
      <c r="AB14">
        <f>HYPERLINK("https://klasma.github.io/Logging_2280/klagomålsmail/A 47485-2025 FSC-klagomål mail.docx", "A 47485-2025")</f>
        <v/>
      </c>
      <c r="AC14">
        <f>HYPERLINK("https://klasma.github.io/Logging_2280/tillsyn/A 47485-2025 tillsynsbegäran.docx", "A 47485-2025")</f>
        <v/>
      </c>
      <c r="AD14">
        <f>HYPERLINK("https://klasma.github.io/Logging_2280/tillsynsmail/A 47485-2025 tillsynsbegäran mail.docx", "A 47485-2025")</f>
        <v/>
      </c>
      <c r="AE14">
        <f>HYPERLINK("https://klasma.github.io/Logging_2280/fåglar/A 47485-2025 prioriterade fågelarter.docx", "A 47485-2025")</f>
        <v/>
      </c>
    </row>
    <row r="15" ht="15" customHeight="1">
      <c r="A15" t="inlineStr">
        <is>
          <t>A 18695-2025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45763</v>
      </c>
      <c r="E15" s="1" t="n">
        <v>46319</v>
      </c>
      <c r="F15" t="inlineStr">
        <is>
          <t>VÄSTERNORRLANDS LÄN</t>
        </is>
      </c>
      <c r="G15" t="inlineStr">
        <is>
          <t>HÄRNÖSAND</t>
        </is>
      </c>
      <c r="H15" t="inlineStr">
        <is>
          <t>SCA</t>
        </is>
      </c>
      <c r="I15" t="n">
        <v>2.2</v>
      </c>
      <c r="J15" t="n">
        <v>0</v>
      </c>
      <c r="K15" t="n">
        <v>5</v>
      </c>
      <c r="L15" t="n">
        <v>3</v>
      </c>
      <c r="M15" t="n">
        <v>1</v>
      </c>
      <c r="N15" t="n">
        <v>0</v>
      </c>
      <c r="O15" t="n">
        <v>0</v>
      </c>
      <c r="P15" t="n">
        <v>0</v>
      </c>
      <c r="Q15" t="n">
        <v>5</v>
      </c>
      <c r="R15" t="n">
        <v>1</v>
      </c>
      <c r="S15" t="n">
        <v>10</v>
      </c>
      <c r="T15" t="n">
        <v>10</v>
      </c>
      <c r="U15" t="n">
        <v>0</v>
      </c>
      <c r="V15" s="2" t="inlineStr">
        <is>
          <t>Garnlav
Rynkskinn
Ullticka
Violettgrå tagellav
Späd brosklav
Barkticka
Bårdlav
Dvärgtufs
Skinnlav
Vedticka</t>
        </is>
      </c>
      <c r="W15">
        <f>HYPERLINK("https://klasma.github.io/Logging_2280/artfynd/A 18695-2025 artfynd.xlsx", "A 18695-2025")</f>
        <v/>
      </c>
      <c r="X15">
        <f>HYPERLINK("https://klasma.github.io/Logging_2280/kartor/A 18695-2025 karta.png", "A 18695-2025")</f>
        <v/>
      </c>
      <c r="Y15">
        <f>HYPERLINK("https://klasma.github.io/Logging_2280/kartor_geotiff/A 18695-2025 georefererad karta.tif", "A 18695-2025")</f>
        <v/>
      </c>
      <c r="AA15">
        <f>HYPERLINK("https://klasma.github.io/Logging_2280/klagomål/A 18695-2025 FSC-klagomål.docx", "A 18695-2025")</f>
        <v/>
      </c>
      <c r="AB15">
        <f>HYPERLINK("https://klasma.github.io/Logging_2280/klagomålsmail/A 18695-2025 FSC-klagomål mail.docx", "A 18695-2025")</f>
        <v/>
      </c>
      <c r="AC15">
        <f>HYPERLINK("https://klasma.github.io/Logging_2280/tillsyn/A 18695-2025 tillsynsbegäran.docx", "A 18695-2025")</f>
        <v/>
      </c>
      <c r="AD15">
        <f>HYPERLINK("https://klasma.github.io/Logging_2280/tillsynsmail/A 18695-2025 tillsynsbegäran mail.docx", "A 18695-2025")</f>
        <v/>
      </c>
    </row>
    <row r="16" ht="15" customHeight="1">
      <c r="A16" t="inlineStr">
        <is>
          <t>A 34711-2023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45139</v>
      </c>
      <c r="E16" s="1" t="n">
        <v>46319</v>
      </c>
      <c r="F16" t="inlineStr">
        <is>
          <t>VÄSTERNORRLANDS LÄN</t>
        </is>
      </c>
      <c r="G16" t="inlineStr">
        <is>
          <t>HÄRNÖSAND</t>
        </is>
      </c>
      <c r="I16" t="n">
        <v>11.6</v>
      </c>
      <c r="J16" t="n">
        <v>0</v>
      </c>
      <c r="K16" t="n">
        <v>4</v>
      </c>
      <c r="L16" t="n">
        <v>3</v>
      </c>
      <c r="M16" t="n">
        <v>2</v>
      </c>
      <c r="N16" t="n">
        <v>0</v>
      </c>
      <c r="O16" t="n">
        <v>0</v>
      </c>
      <c r="P16" t="n">
        <v>0</v>
      </c>
      <c r="Q16" t="n">
        <v>5</v>
      </c>
      <c r="R16" t="n">
        <v>2</v>
      </c>
      <c r="S16" t="n">
        <v>9</v>
      </c>
      <c r="T16" t="n">
        <v>18</v>
      </c>
      <c r="U16" t="n">
        <v>1</v>
      </c>
      <c r="V16" s="2" t="inlineStr">
        <is>
          <t>Aspfjädermossa
Aspgelélav
Doftskinn
Kolflarnlav
Ullticka
Korallblylav
Skinnlav
Stuplav
Vedticka</t>
        </is>
      </c>
      <c r="W16">
        <f>HYPERLINK("https://klasma.github.io/Logging_2280/artfynd/A 34711-2023 artfynd.xlsx", "A 34711-2023")</f>
        <v/>
      </c>
      <c r="X16">
        <f>HYPERLINK("https://klasma.github.io/Logging_2280/kartor/A 34711-2023 karta.png", "A 34711-2023")</f>
        <v/>
      </c>
      <c r="Y16">
        <f>HYPERLINK("https://klasma.github.io/Logging_2280/kartor_geotiff/A 34711-2023 georefererad karta.tif", "A 34711-2023")</f>
        <v/>
      </c>
      <c r="AA16">
        <f>HYPERLINK("https://klasma.github.io/Logging_2280/klagomål/A 34711-2023 FSC-klagomål.docx", "A 34711-2023")</f>
        <v/>
      </c>
      <c r="AB16">
        <f>HYPERLINK("https://klasma.github.io/Logging_2280/klagomålsmail/A 34711-2023 FSC-klagomål mail.docx", "A 34711-2023")</f>
        <v/>
      </c>
      <c r="AC16">
        <f>HYPERLINK("https://klasma.github.io/Logging_2280/tillsyn/A 34711-2023 tillsynsbegäran.docx", "A 34711-2023")</f>
        <v/>
      </c>
      <c r="AD16">
        <f>HYPERLINK("https://klasma.github.io/Logging_2280/tillsynsmail/A 34711-2023 tillsynsbegäran mail.docx", "A 34711-2023")</f>
        <v/>
      </c>
    </row>
    <row r="17" ht="15" customHeight="1">
      <c r="A17" t="inlineStr">
        <is>
          <t>A 26084-2025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45805</v>
      </c>
      <c r="E17" s="1" t="n">
        <v>46319</v>
      </c>
      <c r="F17" t="inlineStr">
        <is>
          <t>VÄSTERNORRLANDS LÄN</t>
        </is>
      </c>
      <c r="G17" t="inlineStr">
        <is>
          <t>HÄRNÖSAND</t>
        </is>
      </c>
      <c r="H17" t="inlineStr">
        <is>
          <t>SCA</t>
        </is>
      </c>
      <c r="I17" t="n">
        <v>3.5</v>
      </c>
      <c r="J17" t="n">
        <v>2</v>
      </c>
      <c r="K17" t="n">
        <v>2</v>
      </c>
      <c r="L17" t="n">
        <v>5</v>
      </c>
      <c r="M17" t="n">
        <v>1</v>
      </c>
      <c r="N17" t="n">
        <v>0</v>
      </c>
      <c r="O17" t="n">
        <v>0</v>
      </c>
      <c r="P17" t="n">
        <v>0</v>
      </c>
      <c r="Q17" t="n">
        <v>6</v>
      </c>
      <c r="R17" t="n">
        <v>1</v>
      </c>
      <c r="S17" t="n">
        <v>9</v>
      </c>
      <c r="T17" t="n">
        <v>16</v>
      </c>
      <c r="U17" t="n">
        <v>14</v>
      </c>
      <c r="V17" s="2" t="inlineStr">
        <is>
          <t>Garnlav
Gammelgransskål
Lunglav
Rosenticka
Talltita
Ullticka
Stuplav
Vedticka
Spillkråka</t>
        </is>
      </c>
      <c r="W17">
        <f>HYPERLINK("https://klasma.github.io/Logging_2280/artfynd/A 26084-2025 artfynd.xlsx", "A 26084-2025")</f>
        <v/>
      </c>
      <c r="X17">
        <f>HYPERLINK("https://klasma.github.io/Logging_2280/kartor/A 26084-2025 karta.png", "A 26084-2025")</f>
        <v/>
      </c>
      <c r="Y17">
        <f>HYPERLINK("https://klasma.github.io/Logging_2280/kartor_geotiff/A 26084-2025 georefererad karta.tif", "A 26084-2025")</f>
        <v/>
      </c>
      <c r="AA17">
        <f>HYPERLINK("https://klasma.github.io/Logging_2280/klagomål/A 26084-2025 FSC-klagomål.docx", "A 26084-2025")</f>
        <v/>
      </c>
      <c r="AB17">
        <f>HYPERLINK("https://klasma.github.io/Logging_2280/klagomålsmail/A 26084-2025 FSC-klagomål mail.docx", "A 26084-2025")</f>
        <v/>
      </c>
      <c r="AC17">
        <f>HYPERLINK("https://klasma.github.io/Logging_2280/tillsyn/A 26084-2025 tillsynsbegäran.docx", "A 26084-2025")</f>
        <v/>
      </c>
      <c r="AD17">
        <f>HYPERLINK("https://klasma.github.io/Logging_2280/tillsynsmail/A 26084-2025 tillsynsbegäran mail.docx", "A 26084-2025")</f>
        <v/>
      </c>
      <c r="AE17">
        <f>HYPERLINK("https://klasma.github.io/Logging_2280/fåglar/A 26084-2025 prioriterade fågelarter.docx", "A 26084-2025")</f>
        <v/>
      </c>
    </row>
    <row r="18" ht="15" customHeight="1">
      <c r="A18" t="inlineStr">
        <is>
          <t>A 29686-2024</t>
        </is>
      </c>
      <c r="B18" t="inlineStr">
        <is>
          <t>avverkningsanmälan</t>
        </is>
      </c>
      <c r="C18" t="inlineStr">
        <is>
          <t>Avverkning för att bevara och utveckla /försöksver</t>
        </is>
      </c>
      <c r="D18" s="1" t="n">
        <v>45484</v>
      </c>
      <c r="E18" s="1" t="n">
        <v>46319</v>
      </c>
      <c r="F18" t="inlineStr">
        <is>
          <t>VÄSTERNORRLANDS LÄN</t>
        </is>
      </c>
      <c r="G18" t="inlineStr">
        <is>
          <t>HÄRNÖSAND</t>
        </is>
      </c>
      <c r="H18" t="inlineStr">
        <is>
          <t>SCA</t>
        </is>
      </c>
      <c r="I18" t="n">
        <v>12.8</v>
      </c>
      <c r="J18" t="n">
        <v>2</v>
      </c>
      <c r="K18" t="n">
        <v>3</v>
      </c>
      <c r="L18" t="n">
        <v>4</v>
      </c>
      <c r="M18" t="n">
        <v>1</v>
      </c>
      <c r="N18" t="n">
        <v>0</v>
      </c>
      <c r="O18" t="n">
        <v>0</v>
      </c>
      <c r="P18" t="n">
        <v>0</v>
      </c>
      <c r="Q18" t="n">
        <v>5</v>
      </c>
      <c r="R18" t="n">
        <v>1</v>
      </c>
      <c r="S18" t="n">
        <v>9</v>
      </c>
      <c r="T18" t="n">
        <v>17</v>
      </c>
      <c r="U18" t="n">
        <v>2</v>
      </c>
      <c r="V18" s="2" t="inlineStr">
        <is>
          <t>Garnlav
Doftskinn
Lunglav
Tretåig hackspett
Violettgrå tagellav
Gytterlav
Skinnlav
Stor aspticka
Kungsfågel</t>
        </is>
      </c>
      <c r="W18">
        <f>HYPERLINK("https://klasma.github.io/Logging_2280/artfynd/A 29686-2024 artfynd.xlsx", "A 29686-2024")</f>
        <v/>
      </c>
      <c r="X18">
        <f>HYPERLINK("https://klasma.github.io/Logging_2280/kartor/A 29686-2024 karta.png", "A 29686-2024")</f>
        <v/>
      </c>
      <c r="Y18">
        <f>HYPERLINK("https://klasma.github.io/Logging_2280/kartor_geotiff/A 29686-2024 georefererad karta.tif", "A 29686-2024")</f>
        <v/>
      </c>
      <c r="AA18">
        <f>HYPERLINK("https://klasma.github.io/Logging_2280/klagomål/A 29686-2024 FSC-klagomål.docx", "A 29686-2024")</f>
        <v/>
      </c>
      <c r="AB18">
        <f>HYPERLINK("https://klasma.github.io/Logging_2280/klagomålsmail/A 29686-2024 FSC-klagomål mail.docx", "A 29686-2024")</f>
        <v/>
      </c>
      <c r="AC18">
        <f>HYPERLINK("https://klasma.github.io/Logging_2280/tillsyn/A 29686-2024 tillsynsbegäran.docx", "A 29686-2024")</f>
        <v/>
      </c>
      <c r="AD18">
        <f>HYPERLINK("https://klasma.github.io/Logging_2280/tillsynsmail/A 29686-2024 tillsynsbegäran mail.docx", "A 29686-2024")</f>
        <v/>
      </c>
      <c r="AE18">
        <f>HYPERLINK("https://klasma.github.io/Logging_2280/fåglar/A 29686-2024 prioriterade fågelarter.docx", "A 29686-2024")</f>
        <v/>
      </c>
    </row>
    <row r="19" ht="15" customHeight="1">
      <c r="A19" t="inlineStr">
        <is>
          <t>A 30084-2025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45826</v>
      </c>
      <c r="E19" s="1" t="n">
        <v>46319</v>
      </c>
      <c r="F19" t="inlineStr">
        <is>
          <t>VÄSTERNORRLANDS LÄN</t>
        </is>
      </c>
      <c r="G19" t="inlineStr">
        <is>
          <t>HÄRNÖSAND</t>
        </is>
      </c>
      <c r="I19" t="n">
        <v>2.2</v>
      </c>
      <c r="J19" t="n">
        <v>1</v>
      </c>
      <c r="K19" t="n">
        <v>2</v>
      </c>
      <c r="L19" t="n">
        <v>4</v>
      </c>
      <c r="M19" t="n">
        <v>1</v>
      </c>
      <c r="N19" t="n">
        <v>0</v>
      </c>
      <c r="O19" t="n">
        <v>0</v>
      </c>
      <c r="P19" t="n">
        <v>0</v>
      </c>
      <c r="Q19" t="n">
        <v>5</v>
      </c>
      <c r="R19" t="n">
        <v>1</v>
      </c>
      <c r="S19" t="n">
        <v>8</v>
      </c>
      <c r="T19" t="n">
        <v>22</v>
      </c>
      <c r="U19" t="n">
        <v>22</v>
      </c>
      <c r="V19" s="2" t="inlineStr">
        <is>
          <t>Garnlav
Gammelgransskål
Ullticka
Violettgrå tagellav
Vitgrynig nållav
Gulnål
Vedticka
Fläcknycklar</t>
        </is>
      </c>
      <c r="W19">
        <f>HYPERLINK("https://klasma.github.io/Logging_2280/artfynd/A 30084-2025 artfynd.xlsx", "A 30084-2025")</f>
        <v/>
      </c>
      <c r="X19">
        <f>HYPERLINK("https://klasma.github.io/Logging_2280/kartor/A 30084-2025 karta.png", "A 30084-2025")</f>
        <v/>
      </c>
      <c r="Y19">
        <f>HYPERLINK("https://klasma.github.io/Logging_2280/kartor_geotiff/A 30084-2025 georefererad karta.tif", "A 30084-2025")</f>
        <v/>
      </c>
      <c r="AA19">
        <f>HYPERLINK("https://klasma.github.io/Logging_2280/klagomål/A 30084-2025 FSC-klagomål.docx", "A 30084-2025")</f>
        <v/>
      </c>
      <c r="AB19">
        <f>HYPERLINK("https://klasma.github.io/Logging_2280/klagomålsmail/A 30084-2025 FSC-klagomål mail.docx", "A 30084-2025")</f>
        <v/>
      </c>
      <c r="AC19">
        <f>HYPERLINK("https://klasma.github.io/Logging_2280/tillsyn/A 30084-2025 tillsynsbegäran.docx", "A 30084-2025")</f>
        <v/>
      </c>
      <c r="AD19">
        <f>HYPERLINK("https://klasma.github.io/Logging_2280/tillsynsmail/A 30084-2025 tillsynsbegäran mail.docx", "A 30084-2025")</f>
        <v/>
      </c>
    </row>
    <row r="20" ht="15" customHeight="1">
      <c r="A20" t="inlineStr">
        <is>
          <t>S 4853-2024</t>
        </is>
      </c>
      <c r="B20" t="inlineStr">
        <is>
          <t>samrådsanmälan</t>
        </is>
      </c>
      <c r="C20" t="inlineStr">
        <is>
          <t>Annan skogsbruksåtgärd</t>
        </is>
      </c>
      <c r="D20" s="1" t="n">
        <v>45616</v>
      </c>
      <c r="E20" s="1" t="n">
        <v>46319</v>
      </c>
      <c r="F20" t="inlineStr">
        <is>
          <t>VÄSTERNORRLANDS LÄN</t>
        </is>
      </c>
      <c r="G20" t="inlineStr">
        <is>
          <t>HÄRNÖSAND</t>
        </is>
      </c>
      <c r="H20" t="inlineStr">
        <is>
          <t>SCA</t>
        </is>
      </c>
      <c r="I20" t="n">
        <v>37.4</v>
      </c>
      <c r="J20" t="n">
        <v>0</v>
      </c>
      <c r="K20" t="n">
        <v>2</v>
      </c>
      <c r="L20" t="n">
        <v>4</v>
      </c>
      <c r="M20" t="n">
        <v>2</v>
      </c>
      <c r="N20" t="n">
        <v>0</v>
      </c>
      <c r="O20" t="n">
        <v>0</v>
      </c>
      <c r="P20" t="n">
        <v>0</v>
      </c>
      <c r="Q20" t="n">
        <v>6</v>
      </c>
      <c r="R20" t="n">
        <v>2</v>
      </c>
      <c r="S20" t="n">
        <v>8</v>
      </c>
      <c r="T20" t="n">
        <v>14</v>
      </c>
      <c r="U20" t="n">
        <v>0</v>
      </c>
      <c r="V20" s="2" t="inlineStr">
        <is>
          <t>Garnlav
Gränsticka
Lunglav
Rosenticka
Tallticka
Ullticka
Korallblylav
Vedticka</t>
        </is>
      </c>
      <c r="W20">
        <f>HYPERLINK("https://klasma.github.io/Logging_2280/artfynd/S 4853-2024 artfynd.xlsx", "S 4853-2024")</f>
        <v/>
      </c>
      <c r="X20">
        <f>HYPERLINK("https://klasma.github.io/Logging_2280/kartor/S 4853-2024 karta.png", "S 4853-2024")</f>
        <v/>
      </c>
      <c r="Y20">
        <f>HYPERLINK("https://klasma.github.io/Logging_2280/kartor_geotiff/S 4853-2024 georefererad karta.tif", "S 4853-2024")</f>
        <v/>
      </c>
      <c r="AA20">
        <f>HYPERLINK("https://klasma.github.io/Logging_2280/klagomål/S 4853-2024 FSC-klagomål.docx", "S 4853-2024")</f>
        <v/>
      </c>
      <c r="AB20">
        <f>HYPERLINK("https://klasma.github.io/Logging_2280/klagomålsmail/S 4853-2024 FSC-klagomål mail.docx", "S 4853-2024")</f>
        <v/>
      </c>
      <c r="AC20">
        <f>HYPERLINK("https://klasma.github.io/Logging_2280/tillsyn/S 4853-2024 tillsynsbegäran.docx", "S 4853-2024")</f>
        <v/>
      </c>
      <c r="AD20">
        <f>HYPERLINK("https://klasma.github.io/Logging_2280/tillsynsmail/S 4853-2024 tillsynsbegäran mail.docx", "S 4853-2024")</f>
        <v/>
      </c>
    </row>
    <row r="21" ht="15" customHeight="1">
      <c r="A21" t="inlineStr">
        <is>
          <t>A 24540-2023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45082</v>
      </c>
      <c r="E21" s="1" t="n">
        <v>46319</v>
      </c>
      <c r="F21" t="inlineStr">
        <is>
          <t>VÄSTERNORRLANDS LÄN</t>
        </is>
      </c>
      <c r="G21" t="inlineStr">
        <is>
          <t>HÄRNÖSAND</t>
        </is>
      </c>
      <c r="H21" t="inlineStr">
        <is>
          <t>SCA</t>
        </is>
      </c>
      <c r="I21" t="n">
        <v>5.2</v>
      </c>
      <c r="J21" t="n">
        <v>0</v>
      </c>
      <c r="K21" t="n">
        <v>2</v>
      </c>
      <c r="L21" t="n">
        <v>3</v>
      </c>
      <c r="M21" t="n">
        <v>2</v>
      </c>
      <c r="N21" t="n">
        <v>0</v>
      </c>
      <c r="O21" t="n">
        <v>0</v>
      </c>
      <c r="P21" t="n">
        <v>0</v>
      </c>
      <c r="Q21" t="n">
        <v>5</v>
      </c>
      <c r="R21" t="n">
        <v>2</v>
      </c>
      <c r="S21" t="n">
        <v>7</v>
      </c>
      <c r="T21" t="n">
        <v>16</v>
      </c>
      <c r="U21" t="n">
        <v>2</v>
      </c>
      <c r="V21" s="2" t="inlineStr">
        <is>
          <t>Blackticka
Garnlav
Rosenticka
Ullticka
Violettgrå tagellav
Skinnlav
Vedticka</t>
        </is>
      </c>
      <c r="W21">
        <f>HYPERLINK("https://klasma.github.io/Logging_2280/artfynd/A 24540-2023 artfynd.xlsx", "A 24540-2023")</f>
        <v/>
      </c>
      <c r="X21">
        <f>HYPERLINK("https://klasma.github.io/Logging_2280/kartor/A 24540-2023 karta.png", "A 24540-2023")</f>
        <v/>
      </c>
      <c r="Y21">
        <f>HYPERLINK("https://klasma.github.io/Logging_2280/kartor_geotiff/A 24540-2023 georefererad karta.tif", "A 24540-2023")</f>
        <v/>
      </c>
      <c r="AA21">
        <f>HYPERLINK("https://klasma.github.io/Logging_2280/klagomål/A 24540-2023 FSC-klagomål.docx", "A 24540-2023")</f>
        <v/>
      </c>
      <c r="AB21">
        <f>HYPERLINK("https://klasma.github.io/Logging_2280/klagomålsmail/A 24540-2023 FSC-klagomål mail.docx", "A 24540-2023")</f>
        <v/>
      </c>
      <c r="AC21">
        <f>HYPERLINK("https://klasma.github.io/Logging_2280/tillsyn/A 24540-2023 tillsynsbegäran.docx", "A 24540-2023")</f>
        <v/>
      </c>
      <c r="AD21">
        <f>HYPERLINK("https://klasma.github.io/Logging_2280/tillsynsmail/A 24540-2023 tillsynsbegäran mail.docx", "A 24540-2023")</f>
        <v/>
      </c>
    </row>
    <row r="22" ht="15" customHeight="1">
      <c r="A22" t="inlineStr">
        <is>
          <t>A 16182-2023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45027</v>
      </c>
      <c r="E22" s="1" t="n">
        <v>46319</v>
      </c>
      <c r="F22" t="inlineStr">
        <is>
          <t>VÄSTERNORRLANDS LÄN</t>
        </is>
      </c>
      <c r="G22" t="inlineStr">
        <is>
          <t>HÄRNÖSAND</t>
        </is>
      </c>
      <c r="I22" t="n">
        <v>16.4</v>
      </c>
      <c r="J22" t="n">
        <v>1</v>
      </c>
      <c r="K22" t="n">
        <v>1</v>
      </c>
      <c r="L22" t="n">
        <v>5</v>
      </c>
      <c r="M22" t="n">
        <v>1</v>
      </c>
      <c r="N22" t="n">
        <v>0</v>
      </c>
      <c r="O22" t="n">
        <v>0</v>
      </c>
      <c r="P22" t="n">
        <v>0</v>
      </c>
      <c r="Q22" t="n">
        <v>6</v>
      </c>
      <c r="R22" t="n">
        <v>1</v>
      </c>
      <c r="S22" t="n">
        <v>7</v>
      </c>
      <c r="T22" t="n">
        <v>13</v>
      </c>
      <c r="U22" t="n">
        <v>6</v>
      </c>
      <c r="V22" s="2" t="inlineStr">
        <is>
          <t>Garnlav
Doftskinn
Gammelgransskål
Lunglav
Tretåig hackspett
Violettgrå tagellav
Vedticka</t>
        </is>
      </c>
      <c r="W22">
        <f>HYPERLINK("https://klasma.github.io/Logging_2280/artfynd/A 16182-2023 artfynd.xlsx", "A 16182-2023")</f>
        <v/>
      </c>
      <c r="X22">
        <f>HYPERLINK("https://klasma.github.io/Logging_2280/kartor/A 16182-2023 karta.png", "A 16182-2023")</f>
        <v/>
      </c>
      <c r="Y22">
        <f>HYPERLINK("https://klasma.github.io/Logging_2280/kartor_geotiff/A 16182-2023 georefererad karta.tif", "A 16182-2023")</f>
        <v/>
      </c>
      <c r="AA22">
        <f>HYPERLINK("https://klasma.github.io/Logging_2280/klagomål/A 16182-2023 FSC-klagomål.docx", "A 16182-2023")</f>
        <v/>
      </c>
      <c r="AB22">
        <f>HYPERLINK("https://klasma.github.io/Logging_2280/klagomålsmail/A 16182-2023 FSC-klagomål mail.docx", "A 16182-2023")</f>
        <v/>
      </c>
      <c r="AC22">
        <f>HYPERLINK("https://klasma.github.io/Logging_2280/tillsyn/A 16182-2023 tillsynsbegäran.docx", "A 16182-2023")</f>
        <v/>
      </c>
      <c r="AD22">
        <f>HYPERLINK("https://klasma.github.io/Logging_2280/tillsynsmail/A 16182-2023 tillsynsbegäran mail.docx", "A 16182-2023")</f>
        <v/>
      </c>
      <c r="AE22">
        <f>HYPERLINK("https://klasma.github.io/Logging_2280/fåglar/A 16182-2023 prioriterade fågelarter.docx", "A 16182-2023")</f>
        <v/>
      </c>
    </row>
    <row r="23" ht="15" customHeight="1">
      <c r="A23" t="inlineStr">
        <is>
          <t>A 26504-2026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46183</v>
      </c>
      <c r="E23" s="1" t="n">
        <v>46319</v>
      </c>
      <c r="F23" t="inlineStr">
        <is>
          <t>VÄSTERNORRLANDS LÄN</t>
        </is>
      </c>
      <c r="G23" t="inlineStr">
        <is>
          <t>HÄRNÖSAND</t>
        </is>
      </c>
      <c r="I23" t="n">
        <v>10.8</v>
      </c>
      <c r="J23" t="n">
        <v>0</v>
      </c>
      <c r="K23" t="n">
        <v>2</v>
      </c>
      <c r="L23" t="n">
        <v>3</v>
      </c>
      <c r="M23" t="n">
        <v>1</v>
      </c>
      <c r="N23" t="n">
        <v>0</v>
      </c>
      <c r="O23" t="n">
        <v>0</v>
      </c>
      <c r="P23" t="n">
        <v>0</v>
      </c>
      <c r="Q23" t="n">
        <v>4</v>
      </c>
      <c r="R23" t="n">
        <v>1</v>
      </c>
      <c r="S23" t="n">
        <v>6</v>
      </c>
      <c r="T23" t="n">
        <v>6</v>
      </c>
      <c r="U23" t="n">
        <v>0</v>
      </c>
      <c r="V23" s="2" t="inlineStr">
        <is>
          <t>Garnlav
Gammelgransskål
Lunglav
Ullticka
Stor aspticka
Vedticka</t>
        </is>
      </c>
      <c r="W23">
        <f>HYPERLINK("https://klasma.github.io/Logging_2280/artfynd/A 26504-2026 artfynd.xlsx", "A 26504-2026")</f>
        <v/>
      </c>
      <c r="X23">
        <f>HYPERLINK("https://klasma.github.io/Logging_2280/kartor/A 26504-2026 karta.png", "A 26504-2026")</f>
        <v/>
      </c>
      <c r="Y23">
        <f>HYPERLINK("https://klasma.github.io/Logging_2280/kartor_geotiff/A 26504-2026 georefererad karta.tif", "A 26504-2026")</f>
        <v/>
      </c>
      <c r="AA23">
        <f>HYPERLINK("https://klasma.github.io/Logging_2280/klagomål/A 26504-2026 FSC-klagomål.docx", "A 26504-2026")</f>
        <v/>
      </c>
      <c r="AB23">
        <f>HYPERLINK("https://klasma.github.io/Logging_2280/klagomålsmail/A 26504-2026 FSC-klagomål mail.docx", "A 26504-2026")</f>
        <v/>
      </c>
      <c r="AC23">
        <f>HYPERLINK("https://klasma.github.io/Logging_2280/tillsyn/A 26504-2026 tillsynsbegäran.docx", "A 26504-2026")</f>
        <v/>
      </c>
      <c r="AD23">
        <f>HYPERLINK("https://klasma.github.io/Logging_2280/tillsynsmail/A 26504-2026 tillsynsbegäran mail.docx", "A 26504-2026")</f>
        <v/>
      </c>
    </row>
    <row r="24" ht="15" customHeight="1">
      <c r="A24" t="inlineStr">
        <is>
          <t>A 52716-2022</t>
        </is>
      </c>
      <c r="B24" t="inlineStr">
        <is>
          <t>avverkningsanmälan</t>
        </is>
      </c>
      <c r="C24" t="inlineStr">
        <is>
          <t>Avverkning för att bevara och utveckla /försöksver</t>
        </is>
      </c>
      <c r="D24" s="1" t="n">
        <v>44874</v>
      </c>
      <c r="E24" s="1" t="n">
        <v>46319</v>
      </c>
      <c r="F24" t="inlineStr">
        <is>
          <t>VÄSTERNORRLANDS LÄN</t>
        </is>
      </c>
      <c r="G24" t="inlineStr">
        <is>
          <t>HÄRNÖSAND</t>
        </is>
      </c>
      <c r="H24" t="inlineStr">
        <is>
          <t>SCA</t>
        </is>
      </c>
      <c r="I24" t="n">
        <v>7.9</v>
      </c>
      <c r="J24" t="n">
        <v>1</v>
      </c>
      <c r="K24" t="n">
        <v>2</v>
      </c>
      <c r="L24" t="n">
        <v>3</v>
      </c>
      <c r="M24" t="n">
        <v>1</v>
      </c>
      <c r="N24" t="n">
        <v>0</v>
      </c>
      <c r="O24" t="n">
        <v>0</v>
      </c>
      <c r="P24" t="n">
        <v>0</v>
      </c>
      <c r="Q24" t="n">
        <v>4</v>
      </c>
      <c r="R24" t="n">
        <v>1</v>
      </c>
      <c r="S24" t="n">
        <v>6</v>
      </c>
      <c r="T24" t="n">
        <v>13</v>
      </c>
      <c r="U24" t="n">
        <v>0</v>
      </c>
      <c r="V24" s="2" t="inlineStr">
        <is>
          <t>Garnlav
Sötgräs
Ullticka
Violettgrå tagellav
Skinnlav
Strutbräken</t>
        </is>
      </c>
      <c r="W24">
        <f>HYPERLINK("https://klasma.github.io/Logging_2280/artfynd/A 52716-2022 artfynd.xlsx", "A 52716-2022")</f>
        <v/>
      </c>
      <c r="X24">
        <f>HYPERLINK("https://klasma.github.io/Logging_2280/kartor/A 52716-2022 karta.png", "A 52716-2022")</f>
        <v/>
      </c>
      <c r="Y24">
        <f>HYPERLINK("https://klasma.github.io/Logging_2280/kartor_geotiff/A 52716-2022 georefererad karta.tif", "A 52716-2022")</f>
        <v/>
      </c>
      <c r="AA24">
        <f>HYPERLINK("https://klasma.github.io/Logging_2280/klagomål/A 52716-2022 FSC-klagomål.docx", "A 52716-2022")</f>
        <v/>
      </c>
      <c r="AB24">
        <f>HYPERLINK("https://klasma.github.io/Logging_2280/klagomålsmail/A 52716-2022 FSC-klagomål mail.docx", "A 52716-2022")</f>
        <v/>
      </c>
      <c r="AC24">
        <f>HYPERLINK("https://klasma.github.io/Logging_2280/tillsyn/A 52716-2022 tillsynsbegäran.docx", "A 52716-2022")</f>
        <v/>
      </c>
      <c r="AD24">
        <f>HYPERLINK("https://klasma.github.io/Logging_2280/tillsynsmail/A 52716-2022 tillsynsbegäran mail.docx", "A 52716-2022")</f>
        <v/>
      </c>
    </row>
    <row r="25" ht="15" customHeight="1">
      <c r="A25" t="inlineStr">
        <is>
          <t>A 44401-2023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45188</v>
      </c>
      <c r="E25" s="1" t="n">
        <v>46319</v>
      </c>
      <c r="F25" t="inlineStr">
        <is>
          <t>VÄSTERNORRLANDS LÄN</t>
        </is>
      </c>
      <c r="G25" t="inlineStr">
        <is>
          <t>HÄRNÖSAND</t>
        </is>
      </c>
      <c r="H25" t="inlineStr">
        <is>
          <t>SCA</t>
        </is>
      </c>
      <c r="I25" t="n">
        <v>5.9</v>
      </c>
      <c r="J25" t="n">
        <v>2</v>
      </c>
      <c r="K25" t="n">
        <v>0</v>
      </c>
      <c r="L25" t="n">
        <v>4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0</v>
      </c>
      <c r="S25" t="n">
        <v>5</v>
      </c>
      <c r="T25" t="n">
        <v>5</v>
      </c>
      <c r="U25" t="n">
        <v>4</v>
      </c>
      <c r="V25" s="2" t="inlineStr">
        <is>
          <t>Gammelgransskål
Rynkskinn
Tretåig hackspett
Ullticka
Spillkråka</t>
        </is>
      </c>
      <c r="W25">
        <f>HYPERLINK("https://klasma.github.io/Logging_2280/artfynd/A 44401-2023 artfynd.xlsx", "A 44401-2023")</f>
        <v/>
      </c>
      <c r="X25">
        <f>HYPERLINK("https://klasma.github.io/Logging_2280/kartor/A 44401-2023 karta.png", "A 44401-2023")</f>
        <v/>
      </c>
      <c r="Y25">
        <f>HYPERLINK("https://klasma.github.io/Logging_2280/kartor_geotiff/A 44401-2023 georefererad karta.tif", "A 44401-2023")</f>
        <v/>
      </c>
      <c r="AA25">
        <f>HYPERLINK("https://klasma.github.io/Logging_2280/klagomål/A 44401-2023 FSC-klagomål.docx", "A 44401-2023")</f>
        <v/>
      </c>
      <c r="AB25">
        <f>HYPERLINK("https://klasma.github.io/Logging_2280/klagomålsmail/A 44401-2023 FSC-klagomål mail.docx", "A 44401-2023")</f>
        <v/>
      </c>
      <c r="AC25">
        <f>HYPERLINK("https://klasma.github.io/Logging_2280/tillsyn/A 44401-2023 tillsynsbegäran.docx", "A 44401-2023")</f>
        <v/>
      </c>
      <c r="AD25">
        <f>HYPERLINK("https://klasma.github.io/Logging_2280/tillsynsmail/A 44401-2023 tillsynsbegäran mail.docx", "A 44401-2023")</f>
        <v/>
      </c>
      <c r="AE25">
        <f>HYPERLINK("https://klasma.github.io/Logging_2280/fåglar/A 44401-2023 prioriterade fågelarter.docx", "A 44401-2023")</f>
        <v/>
      </c>
    </row>
    <row r="26" ht="15" customHeight="1">
      <c r="A26" t="inlineStr">
        <is>
          <t>A 48831-2024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45593</v>
      </c>
      <c r="E26" s="1" t="n">
        <v>46319</v>
      </c>
      <c r="F26" t="inlineStr">
        <is>
          <t>VÄSTERNORRLANDS LÄN</t>
        </is>
      </c>
      <c r="G26" t="inlineStr">
        <is>
          <t>HÄRNÖSAND</t>
        </is>
      </c>
      <c r="H26" t="inlineStr">
        <is>
          <t>SCA</t>
        </is>
      </c>
      <c r="I26" t="n">
        <v>7.4</v>
      </c>
      <c r="J26" t="n">
        <v>2</v>
      </c>
      <c r="K26" t="n">
        <v>1</v>
      </c>
      <c r="L26" t="n">
        <v>2</v>
      </c>
      <c r="M26" t="n">
        <v>1</v>
      </c>
      <c r="N26" t="n">
        <v>0</v>
      </c>
      <c r="O26" t="n">
        <v>0</v>
      </c>
      <c r="P26" t="n">
        <v>0</v>
      </c>
      <c r="Q26" t="n">
        <v>3</v>
      </c>
      <c r="R26" t="n">
        <v>1</v>
      </c>
      <c r="S26" t="n">
        <v>5</v>
      </c>
      <c r="T26" t="n">
        <v>7</v>
      </c>
      <c r="U26" t="n">
        <v>0</v>
      </c>
      <c r="V26" s="2" t="inlineStr">
        <is>
          <t>Garnlav
Lunglav
Ullticka
Tvåblad
Blåsippa</t>
        </is>
      </c>
      <c r="W26">
        <f>HYPERLINK("https://klasma.github.io/Logging_2280/artfynd/A 48831-2024 artfynd.xlsx", "A 48831-2024")</f>
        <v/>
      </c>
      <c r="X26">
        <f>HYPERLINK("https://klasma.github.io/Logging_2280/kartor/A 48831-2024 karta.png", "A 48831-2024")</f>
        <v/>
      </c>
      <c r="Y26">
        <f>HYPERLINK("https://klasma.github.io/Logging_2280/kartor_geotiff/A 48831-2024 georefererad karta.tif", "A 48831-2024")</f>
        <v/>
      </c>
      <c r="AA26">
        <f>HYPERLINK("https://klasma.github.io/Logging_2280/klagomål/A 48831-2024 FSC-klagomål.docx", "A 48831-2024")</f>
        <v/>
      </c>
      <c r="AB26">
        <f>HYPERLINK("https://klasma.github.io/Logging_2280/klagomålsmail/A 48831-2024 FSC-klagomål mail.docx", "A 48831-2024")</f>
        <v/>
      </c>
      <c r="AC26">
        <f>HYPERLINK("https://klasma.github.io/Logging_2280/tillsyn/A 48831-2024 tillsynsbegäran.docx", "A 48831-2024")</f>
        <v/>
      </c>
      <c r="AD26">
        <f>HYPERLINK("https://klasma.github.io/Logging_2280/tillsynsmail/A 48831-2024 tillsynsbegäran mail.docx", "A 48831-2024")</f>
        <v/>
      </c>
    </row>
    <row r="27" ht="15" customHeight="1">
      <c r="A27" t="inlineStr">
        <is>
          <t>A 52865-2025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45957</v>
      </c>
      <c r="E27" s="1" t="n">
        <v>46319</v>
      </c>
      <c r="F27" t="inlineStr">
        <is>
          <t>VÄSTERNORRLANDS LÄN</t>
        </is>
      </c>
      <c r="G27" t="inlineStr">
        <is>
          <t>HÄRNÖSAND</t>
        </is>
      </c>
      <c r="H27" t="inlineStr">
        <is>
          <t>SCA</t>
        </is>
      </c>
      <c r="I27" t="n">
        <v>2.6</v>
      </c>
      <c r="J27" t="n">
        <v>0</v>
      </c>
      <c r="K27" t="n">
        <v>1</v>
      </c>
      <c r="L27" t="n">
        <v>2</v>
      </c>
      <c r="M27" t="n">
        <v>2</v>
      </c>
      <c r="N27" t="n">
        <v>0</v>
      </c>
      <c r="O27" t="n">
        <v>0</v>
      </c>
      <c r="P27" t="n">
        <v>0</v>
      </c>
      <c r="Q27" t="n">
        <v>4</v>
      </c>
      <c r="R27" t="n">
        <v>2</v>
      </c>
      <c r="S27" t="n">
        <v>5</v>
      </c>
      <c r="T27" t="n">
        <v>6</v>
      </c>
      <c r="U27" t="n">
        <v>0</v>
      </c>
      <c r="V27" s="2" t="inlineStr">
        <is>
          <t>Garnlav
Raggbock
Apelsinticka
Violettgrå tagellav
Nästlav</t>
        </is>
      </c>
      <c r="W27">
        <f>HYPERLINK("https://klasma.github.io/Logging_2280/artfynd/A 52865-2025 artfynd.xlsx", "A 52865-2025")</f>
        <v/>
      </c>
      <c r="X27">
        <f>HYPERLINK("https://klasma.github.io/Logging_2280/kartor/A 52865-2025 karta.png", "A 52865-2025")</f>
        <v/>
      </c>
      <c r="Y27">
        <f>HYPERLINK("https://klasma.github.io/Logging_2280/kartor_geotiff/A 52865-2025 georefererad karta.tif", "A 52865-2025")</f>
        <v/>
      </c>
      <c r="AA27">
        <f>HYPERLINK("https://klasma.github.io/Logging_2280/klagomål/A 52865-2025 FSC-klagomål.docx", "A 52865-2025")</f>
        <v/>
      </c>
      <c r="AB27">
        <f>HYPERLINK("https://klasma.github.io/Logging_2280/klagomålsmail/A 52865-2025 FSC-klagomål mail.docx", "A 52865-2025")</f>
        <v/>
      </c>
      <c r="AC27">
        <f>HYPERLINK("https://klasma.github.io/Logging_2280/tillsyn/A 52865-2025 tillsynsbegäran.docx", "A 52865-2025")</f>
        <v/>
      </c>
      <c r="AD27">
        <f>HYPERLINK("https://klasma.github.io/Logging_2280/tillsynsmail/A 52865-2025 tillsynsbegäran mail.docx", "A 52865-2025")</f>
        <v/>
      </c>
    </row>
    <row r="28" ht="15" customHeight="1">
      <c r="A28" t="inlineStr">
        <is>
          <t>A 39049-2024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45548</v>
      </c>
      <c r="E28" s="1" t="n">
        <v>46319</v>
      </c>
      <c r="F28" t="inlineStr">
        <is>
          <t>VÄSTERNORRLANDS LÄN</t>
        </is>
      </c>
      <c r="G28" t="inlineStr">
        <is>
          <t>HÄRNÖSAND</t>
        </is>
      </c>
      <c r="I28" t="n">
        <v>12.5</v>
      </c>
      <c r="J28" t="n">
        <v>0</v>
      </c>
      <c r="K28" t="n">
        <v>1</v>
      </c>
      <c r="L28" t="n">
        <v>2</v>
      </c>
      <c r="M28" t="n">
        <v>2</v>
      </c>
      <c r="N28" t="n">
        <v>0</v>
      </c>
      <c r="O28" t="n">
        <v>0</v>
      </c>
      <c r="P28" t="n">
        <v>0</v>
      </c>
      <c r="Q28" t="n">
        <v>4</v>
      </c>
      <c r="R28" t="n">
        <v>2</v>
      </c>
      <c r="S28" t="n">
        <v>5</v>
      </c>
      <c r="T28" t="n">
        <v>7</v>
      </c>
      <c r="U28" t="n">
        <v>7</v>
      </c>
      <c r="V28" s="2" t="inlineStr">
        <is>
          <t>Garnlav
Gränsticka
Kötticka
Ullticka
Vedticka</t>
        </is>
      </c>
      <c r="W28">
        <f>HYPERLINK("https://klasma.github.io/Logging_2280/artfynd/A 39049-2024 artfynd.xlsx", "A 39049-2024")</f>
        <v/>
      </c>
      <c r="X28">
        <f>HYPERLINK("https://klasma.github.io/Logging_2280/kartor/A 39049-2024 karta.png", "A 39049-2024")</f>
        <v/>
      </c>
      <c r="Y28">
        <f>HYPERLINK("https://klasma.github.io/Logging_2280/kartor_geotiff/A 39049-2024 georefererad karta.tif", "A 39049-2024")</f>
        <v/>
      </c>
      <c r="AA28">
        <f>HYPERLINK("https://klasma.github.io/Logging_2280/klagomål/A 39049-2024 FSC-klagomål.docx", "A 39049-2024")</f>
        <v/>
      </c>
      <c r="AB28">
        <f>HYPERLINK("https://klasma.github.io/Logging_2280/klagomålsmail/A 39049-2024 FSC-klagomål mail.docx", "A 39049-2024")</f>
        <v/>
      </c>
      <c r="AC28">
        <f>HYPERLINK("https://klasma.github.io/Logging_2280/tillsyn/A 39049-2024 tillsynsbegäran.docx", "A 39049-2024")</f>
        <v/>
      </c>
      <c r="AD28">
        <f>HYPERLINK("https://klasma.github.io/Logging_2280/tillsynsmail/A 39049-2024 tillsynsbegäran mail.docx", "A 39049-2024")</f>
        <v/>
      </c>
    </row>
    <row r="29" ht="15" customHeight="1">
      <c r="A29" t="inlineStr">
        <is>
          <t>A 42961-2024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45567</v>
      </c>
      <c r="E29" s="1" t="n">
        <v>46319</v>
      </c>
      <c r="F29" t="inlineStr">
        <is>
          <t>VÄSTERNORRLANDS LÄN</t>
        </is>
      </c>
      <c r="G29" t="inlineStr">
        <is>
          <t>HÄRNÖSAND</t>
        </is>
      </c>
      <c r="H29" t="inlineStr">
        <is>
          <t>SCA</t>
        </is>
      </c>
      <c r="I29" t="n">
        <v>11.6</v>
      </c>
      <c r="J29" t="n">
        <v>1</v>
      </c>
      <c r="K29" t="n">
        <v>2</v>
      </c>
      <c r="L29" t="n">
        <v>2</v>
      </c>
      <c r="M29" t="n">
        <v>1</v>
      </c>
      <c r="N29" t="n">
        <v>0</v>
      </c>
      <c r="O29" t="n">
        <v>0</v>
      </c>
      <c r="P29" t="n">
        <v>0</v>
      </c>
      <c r="Q29" t="n">
        <v>3</v>
      </c>
      <c r="R29" t="n">
        <v>1</v>
      </c>
      <c r="S29" t="n">
        <v>5</v>
      </c>
      <c r="T29" t="n">
        <v>9</v>
      </c>
      <c r="U29" t="n">
        <v>0</v>
      </c>
      <c r="V29" s="2" t="inlineStr">
        <is>
          <t>Garnlav
Sötgräs
Ullticka
Strutbräken
Tibast</t>
        </is>
      </c>
      <c r="W29">
        <f>HYPERLINK("https://klasma.github.io/Logging_2280/artfynd/A 42961-2024 artfynd.xlsx", "A 42961-2024")</f>
        <v/>
      </c>
      <c r="X29">
        <f>HYPERLINK("https://klasma.github.io/Logging_2280/kartor/A 42961-2024 karta.png", "A 42961-2024")</f>
        <v/>
      </c>
      <c r="Y29">
        <f>HYPERLINK("https://klasma.github.io/Logging_2280/kartor_geotiff/A 42961-2024 georefererad karta.tif", "A 42961-2024")</f>
        <v/>
      </c>
      <c r="AA29">
        <f>HYPERLINK("https://klasma.github.io/Logging_2280/klagomål/A 42961-2024 FSC-klagomål.docx", "A 42961-2024")</f>
        <v/>
      </c>
      <c r="AB29">
        <f>HYPERLINK("https://klasma.github.io/Logging_2280/klagomålsmail/A 42961-2024 FSC-klagomål mail.docx", "A 42961-2024")</f>
        <v/>
      </c>
      <c r="AC29">
        <f>HYPERLINK("https://klasma.github.io/Logging_2280/tillsyn/A 42961-2024 tillsynsbegäran.docx", "A 42961-2024")</f>
        <v/>
      </c>
      <c r="AD29">
        <f>HYPERLINK("https://klasma.github.io/Logging_2280/tillsynsmail/A 42961-2024 tillsynsbegäran mail.docx", "A 42961-2024")</f>
        <v/>
      </c>
    </row>
    <row r="30" ht="15" customHeight="1">
      <c r="A30" t="inlineStr">
        <is>
          <t>A 8412-2024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45352</v>
      </c>
      <c r="E30" s="1" t="n">
        <v>46319</v>
      </c>
      <c r="F30" t="inlineStr">
        <is>
          <t>VÄSTERNORRLANDS LÄN</t>
        </is>
      </c>
      <c r="G30" t="inlineStr">
        <is>
          <t>HÄRNÖSAND</t>
        </is>
      </c>
      <c r="H30" t="inlineStr">
        <is>
          <t>SCA</t>
        </is>
      </c>
      <c r="I30" t="n">
        <v>1.6</v>
      </c>
      <c r="J30" t="n">
        <v>1</v>
      </c>
      <c r="K30" t="n">
        <v>0</v>
      </c>
      <c r="L30" t="n">
        <v>2</v>
      </c>
      <c r="M30" t="n">
        <v>3</v>
      </c>
      <c r="N30" t="n">
        <v>0</v>
      </c>
      <c r="O30" t="n">
        <v>0</v>
      </c>
      <c r="P30" t="n">
        <v>0</v>
      </c>
      <c r="Q30" t="n">
        <v>5</v>
      </c>
      <c r="R30" t="n">
        <v>3</v>
      </c>
      <c r="S30" t="n">
        <v>5</v>
      </c>
      <c r="T30" t="n">
        <v>9</v>
      </c>
      <c r="U30" t="n">
        <v>9</v>
      </c>
      <c r="V30" s="2" t="inlineStr">
        <is>
          <t>Aspgelélav
Knärot
Liten aspgelélav
Apelsinticka
Lunglav</t>
        </is>
      </c>
      <c r="W30">
        <f>HYPERLINK("https://klasma.github.io/Logging_2280/artfynd/A 8412-2024 artfynd.xlsx", "A 8412-2024")</f>
        <v/>
      </c>
      <c r="X30">
        <f>HYPERLINK("https://klasma.github.io/Logging_2280/kartor/A 8412-2024 karta.png", "A 8412-2024")</f>
        <v/>
      </c>
      <c r="Y30">
        <f>HYPERLINK("https://klasma.github.io/Logging_2280/kartor_geotiff/A 8412-2024 georefererad karta.tif", "A 8412-2024")</f>
        <v/>
      </c>
      <c r="Z30">
        <f>HYPERLINK("https://klasma.github.io/Logging_2280/knärot/A 8412-2024 karta knärot.png", "A 8412-2024")</f>
        <v/>
      </c>
      <c r="AA30">
        <f>HYPERLINK("https://klasma.github.io/Logging_2280/klagomål/A 8412-2024 FSC-klagomål.docx", "A 8412-2024")</f>
        <v/>
      </c>
      <c r="AB30">
        <f>HYPERLINK("https://klasma.github.io/Logging_2280/klagomålsmail/A 8412-2024 FSC-klagomål mail.docx", "A 8412-2024")</f>
        <v/>
      </c>
      <c r="AC30">
        <f>HYPERLINK("https://klasma.github.io/Logging_2280/tillsyn/A 8412-2024 tillsynsbegäran.docx", "A 8412-2024")</f>
        <v/>
      </c>
      <c r="AD30">
        <f>HYPERLINK("https://klasma.github.io/Logging_2280/tillsynsmail/A 8412-2024 tillsynsbegäran mail.docx", "A 8412-2024")</f>
        <v/>
      </c>
    </row>
    <row r="31" ht="15" customHeight="1">
      <c r="A31" t="inlineStr">
        <is>
          <t>A 48667-2024</t>
        </is>
      </c>
      <c r="B31" t="inlineStr">
        <is>
          <t>avverkningsanmälan</t>
        </is>
      </c>
      <c r="C31" t="inlineStr">
        <is>
          <t>Avverkning för att bevara och utveckla /försöksver</t>
        </is>
      </c>
      <c r="D31" s="1" t="n">
        <v>45593</v>
      </c>
      <c r="E31" s="1" t="n">
        <v>46319</v>
      </c>
      <c r="F31" t="inlineStr">
        <is>
          <t>VÄSTERNORRLANDS LÄN</t>
        </is>
      </c>
      <c r="G31" t="inlineStr">
        <is>
          <t>HÄRNÖSAND</t>
        </is>
      </c>
      <c r="H31" t="inlineStr">
        <is>
          <t>SCA</t>
        </is>
      </c>
      <c r="I31" t="n">
        <v>1</v>
      </c>
      <c r="J31" t="n">
        <v>0</v>
      </c>
      <c r="K31" t="n">
        <v>3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1</v>
      </c>
      <c r="S31" t="n">
        <v>5</v>
      </c>
      <c r="T31" t="n">
        <v>5</v>
      </c>
      <c r="U31" t="n">
        <v>0</v>
      </c>
      <c r="V31" s="2" t="inlineStr">
        <is>
          <t>Gränsticka
Kattfotslav
Bårdlav
Skinnlav
Vedticka</t>
        </is>
      </c>
      <c r="W31">
        <f>HYPERLINK("https://klasma.github.io/Logging_2280/artfynd/A 48667-2024 artfynd.xlsx", "A 48667-2024")</f>
        <v/>
      </c>
      <c r="X31">
        <f>HYPERLINK("https://klasma.github.io/Logging_2280/kartor/A 48667-2024 karta.png", "A 48667-2024")</f>
        <v/>
      </c>
      <c r="Y31">
        <f>HYPERLINK("https://klasma.github.io/Logging_2280/kartor_geotiff/A 48667-2024 georefererad karta.tif", "A 48667-2024")</f>
        <v/>
      </c>
      <c r="AA31">
        <f>HYPERLINK("https://klasma.github.io/Logging_2280/klagomål/A 48667-2024 FSC-klagomål.docx", "A 48667-2024")</f>
        <v/>
      </c>
      <c r="AB31">
        <f>HYPERLINK("https://klasma.github.io/Logging_2280/klagomålsmail/A 48667-2024 FSC-klagomål mail.docx", "A 48667-2024")</f>
        <v/>
      </c>
      <c r="AC31">
        <f>HYPERLINK("https://klasma.github.io/Logging_2280/tillsyn/A 48667-2024 tillsynsbegäran.docx", "A 48667-2024")</f>
        <v/>
      </c>
      <c r="AD31">
        <f>HYPERLINK("https://klasma.github.io/Logging_2280/tillsynsmail/A 48667-2024 tillsynsbegäran mail.docx", "A 48667-2024")</f>
        <v/>
      </c>
    </row>
    <row r="32" ht="15" customHeight="1">
      <c r="A32" t="inlineStr">
        <is>
          <t>S 723-2023</t>
        </is>
      </c>
      <c r="B32" t="inlineStr">
        <is>
          <t>samrådsanmälan</t>
        </is>
      </c>
      <c r="C32" t="inlineStr">
        <is>
          <t>Annan skogsbruksåtgärd</t>
        </is>
      </c>
      <c r="D32" s="1" t="n">
        <v>44979</v>
      </c>
      <c r="E32" s="1" t="n">
        <v>46319</v>
      </c>
      <c r="F32" t="inlineStr">
        <is>
          <t>VÄSTERNORRLANDS LÄN</t>
        </is>
      </c>
      <c r="G32" t="inlineStr">
        <is>
          <t>HÄRNÖSAND</t>
        </is>
      </c>
      <c r="H32" t="inlineStr">
        <is>
          <t>SCA</t>
        </is>
      </c>
      <c r="I32" t="n">
        <v>35.9</v>
      </c>
      <c r="J32" t="n">
        <v>1</v>
      </c>
      <c r="K32" t="n">
        <v>2</v>
      </c>
      <c r="L32" t="n">
        <v>2</v>
      </c>
      <c r="M32" t="n">
        <v>1</v>
      </c>
      <c r="N32" t="n">
        <v>0</v>
      </c>
      <c r="O32" t="n">
        <v>0</v>
      </c>
      <c r="P32" t="n">
        <v>0</v>
      </c>
      <c r="Q32" t="n">
        <v>3</v>
      </c>
      <c r="R32" t="n">
        <v>1</v>
      </c>
      <c r="S32" t="n">
        <v>5</v>
      </c>
      <c r="T32" t="n">
        <v>12</v>
      </c>
      <c r="U32" t="n">
        <v>1</v>
      </c>
      <c r="V32" s="2" t="inlineStr">
        <is>
          <t>Garnlav
Tretåig hackspett
Ullticka
Trådticka
Vedticka</t>
        </is>
      </c>
      <c r="W32">
        <f>HYPERLINK("https://klasma.github.io/Logging_2280/artfynd/S 723-2023 artfynd.xlsx", "S 723-2023")</f>
        <v/>
      </c>
      <c r="X32">
        <f>HYPERLINK("https://klasma.github.io/Logging_2280/kartor/S 723-2023 karta.png", "S 723-2023")</f>
        <v/>
      </c>
      <c r="Y32">
        <f>HYPERLINK("https://klasma.github.io/Logging_2280/kartor_geotiff/S 723-2023 georefererad karta.tif", "S 723-2023")</f>
        <v/>
      </c>
      <c r="AA32">
        <f>HYPERLINK("https://klasma.github.io/Logging_2280/klagomål/S 723-2023 FSC-klagomål.docx", "S 723-2023")</f>
        <v/>
      </c>
      <c r="AB32">
        <f>HYPERLINK("https://klasma.github.io/Logging_2280/klagomålsmail/S 723-2023 FSC-klagomål mail.docx", "S 723-2023")</f>
        <v/>
      </c>
      <c r="AC32">
        <f>HYPERLINK("https://klasma.github.io/Logging_2280/tillsyn/S 723-2023 tillsynsbegäran.docx", "S 723-2023")</f>
        <v/>
      </c>
      <c r="AD32">
        <f>HYPERLINK("https://klasma.github.io/Logging_2280/tillsynsmail/S 723-2023 tillsynsbegäran mail.docx", "S 723-2023")</f>
        <v/>
      </c>
      <c r="AE32">
        <f>HYPERLINK("https://klasma.github.io/Logging_2280/fåglar/S 723-2023 prioriterade fågelarter.docx", "S 723-2023")</f>
        <v/>
      </c>
    </row>
    <row r="33" ht="15" customHeight="1">
      <c r="A33" t="inlineStr">
        <is>
          <t>A 25339-2026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46176</v>
      </c>
      <c r="E33" s="1" t="n">
        <v>46319</v>
      </c>
      <c r="F33" t="inlineStr">
        <is>
          <t>VÄSTERNORRLANDS LÄN</t>
        </is>
      </c>
      <c r="G33" t="inlineStr">
        <is>
          <t>HÄRNÖSAND</t>
        </is>
      </c>
      <c r="H33" t="inlineStr">
        <is>
          <t>SCA</t>
        </is>
      </c>
      <c r="I33" t="n">
        <v>0.3</v>
      </c>
      <c r="J33" t="n">
        <v>0</v>
      </c>
      <c r="K33" t="n">
        <v>1</v>
      </c>
      <c r="L33" t="n">
        <v>2</v>
      </c>
      <c r="M33" t="n">
        <v>1</v>
      </c>
      <c r="N33" t="n">
        <v>0</v>
      </c>
      <c r="O33" t="n">
        <v>0</v>
      </c>
      <c r="P33" t="n">
        <v>0</v>
      </c>
      <c r="Q33" t="n">
        <v>3</v>
      </c>
      <c r="R33" t="n">
        <v>1</v>
      </c>
      <c r="S33" t="n">
        <v>4</v>
      </c>
      <c r="T33" t="n">
        <v>8</v>
      </c>
      <c r="U33" t="n">
        <v>0</v>
      </c>
      <c r="V33" s="2" t="inlineStr">
        <is>
          <t>Garnlav
Gammelgransskål
Ullticka
Vedticka</t>
        </is>
      </c>
      <c r="W33">
        <f>HYPERLINK("https://klasma.github.io/Logging_2280/artfynd/A 25339-2026 artfynd.xlsx", "A 25339-2026")</f>
        <v/>
      </c>
      <c r="X33">
        <f>HYPERLINK("https://klasma.github.io/Logging_2280/kartor/A 25339-2026 karta.png", "A 25339-2026")</f>
        <v/>
      </c>
      <c r="Y33">
        <f>HYPERLINK("https://klasma.github.io/Logging_2280/kartor_geotiff/A 25339-2026 georefererad karta.tif", "A 25339-2026")</f>
        <v/>
      </c>
      <c r="AA33">
        <f>HYPERLINK("https://klasma.github.io/Logging_2280/klagomål/A 25339-2026 FSC-klagomål.docx", "A 25339-2026")</f>
        <v/>
      </c>
      <c r="AB33">
        <f>HYPERLINK("https://klasma.github.io/Logging_2280/klagomålsmail/A 25339-2026 FSC-klagomål mail.docx", "A 25339-2026")</f>
        <v/>
      </c>
      <c r="AC33">
        <f>HYPERLINK("https://klasma.github.io/Logging_2280/tillsyn/A 25339-2026 tillsynsbegäran.docx", "A 25339-2026")</f>
        <v/>
      </c>
      <c r="AD33">
        <f>HYPERLINK("https://klasma.github.io/Logging_2280/tillsynsmail/A 25339-2026 tillsynsbegäran mail.docx", "A 25339-2026")</f>
        <v/>
      </c>
    </row>
    <row r="34" ht="15" customHeight="1">
      <c r="A34" t="inlineStr">
        <is>
          <t>A 55337-2025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45971</v>
      </c>
      <c r="E34" s="1" t="n">
        <v>46319</v>
      </c>
      <c r="F34" t="inlineStr">
        <is>
          <t>VÄSTERNORRLANDS LÄN</t>
        </is>
      </c>
      <c r="G34" t="inlineStr">
        <is>
          <t>HÄRNÖSAND</t>
        </is>
      </c>
      <c r="H34" t="inlineStr">
        <is>
          <t>SCA</t>
        </is>
      </c>
      <c r="I34" t="n">
        <v>2.9</v>
      </c>
      <c r="J34" t="n">
        <v>0</v>
      </c>
      <c r="K34" t="n">
        <v>2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  <c r="R34" t="n">
        <v>1</v>
      </c>
      <c r="S34" t="n">
        <v>4</v>
      </c>
      <c r="T34" t="n">
        <v>6</v>
      </c>
      <c r="U34" t="n">
        <v>0</v>
      </c>
      <c r="V34" s="2" t="inlineStr">
        <is>
          <t>Garnlav
Lunglav
Korallblylav
Skinnlav</t>
        </is>
      </c>
      <c r="W34">
        <f>HYPERLINK("https://klasma.github.io/Logging_2280/artfynd/A 55337-2025 artfynd.xlsx", "A 55337-2025")</f>
        <v/>
      </c>
      <c r="X34">
        <f>HYPERLINK("https://klasma.github.io/Logging_2280/kartor/A 55337-2025 karta.png", "A 55337-2025")</f>
        <v/>
      </c>
      <c r="Y34">
        <f>HYPERLINK("https://klasma.github.io/Logging_2280/kartor_geotiff/A 55337-2025 georefererad karta.tif", "A 55337-2025")</f>
        <v/>
      </c>
      <c r="AA34">
        <f>HYPERLINK("https://klasma.github.io/Logging_2280/klagomål/A 55337-2025 FSC-klagomål.docx", "A 55337-2025")</f>
        <v/>
      </c>
      <c r="AB34">
        <f>HYPERLINK("https://klasma.github.io/Logging_2280/klagomålsmail/A 55337-2025 FSC-klagomål mail.docx", "A 55337-2025")</f>
        <v/>
      </c>
      <c r="AC34">
        <f>HYPERLINK("https://klasma.github.io/Logging_2280/tillsyn/A 55337-2025 tillsynsbegäran.docx", "A 55337-2025")</f>
        <v/>
      </c>
      <c r="AD34">
        <f>HYPERLINK("https://klasma.github.io/Logging_2280/tillsynsmail/A 55337-2025 tillsynsbegäran mail.docx", "A 55337-2025")</f>
        <v/>
      </c>
    </row>
    <row r="35" ht="15" customHeight="1">
      <c r="A35" t="inlineStr">
        <is>
          <t>A 32639-2024</t>
        </is>
      </c>
      <c r="B35" t="inlineStr">
        <is>
          <t>avverkningsanmälan</t>
        </is>
      </c>
      <c r="C35" t="inlineStr">
        <is>
          <t>Avverkning för att bevara och utveckla /försöksver</t>
        </is>
      </c>
      <c r="D35" s="1" t="n">
        <v>45513</v>
      </c>
      <c r="E35" s="1" t="n">
        <v>46319</v>
      </c>
      <c r="F35" t="inlineStr">
        <is>
          <t>VÄSTERNORRLANDS LÄN</t>
        </is>
      </c>
      <c r="G35" t="inlineStr">
        <is>
          <t>HÄRNÖSAND</t>
        </is>
      </c>
      <c r="H35" t="inlineStr">
        <is>
          <t>SCA</t>
        </is>
      </c>
      <c r="I35" t="n">
        <v>1.3</v>
      </c>
      <c r="J35" t="n">
        <v>0</v>
      </c>
      <c r="K35" t="n">
        <v>1</v>
      </c>
      <c r="L35" t="n">
        <v>2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  <c r="R35" t="n">
        <v>1</v>
      </c>
      <c r="S35" t="n">
        <v>4</v>
      </c>
      <c r="T35" t="n">
        <v>4</v>
      </c>
      <c r="U35" t="n">
        <v>4</v>
      </c>
      <c r="V35" s="2" t="inlineStr">
        <is>
          <t>Garnlav
Ullticka
Vitgrynig nållav
Skinnlav</t>
        </is>
      </c>
      <c r="W35">
        <f>HYPERLINK("https://klasma.github.io/Logging_2280/artfynd/A 32639-2024 artfynd.xlsx", "A 32639-2024")</f>
        <v/>
      </c>
      <c r="X35">
        <f>HYPERLINK("https://klasma.github.io/Logging_2280/kartor/A 32639-2024 karta.png", "A 32639-2024")</f>
        <v/>
      </c>
      <c r="Y35">
        <f>HYPERLINK("https://klasma.github.io/Logging_2280/kartor_geotiff/A 32639-2024 georefererad karta.tif", "A 32639-2024")</f>
        <v/>
      </c>
      <c r="AA35">
        <f>HYPERLINK("https://klasma.github.io/Logging_2280/klagomål/A 32639-2024 FSC-klagomål.docx", "A 32639-2024")</f>
        <v/>
      </c>
      <c r="AB35">
        <f>HYPERLINK("https://klasma.github.io/Logging_2280/klagomålsmail/A 32639-2024 FSC-klagomål mail.docx", "A 32639-2024")</f>
        <v/>
      </c>
      <c r="AC35">
        <f>HYPERLINK("https://klasma.github.io/Logging_2280/tillsyn/A 32639-2024 tillsynsbegäran.docx", "A 32639-2024")</f>
        <v/>
      </c>
      <c r="AD35">
        <f>HYPERLINK("https://klasma.github.io/Logging_2280/tillsynsmail/A 32639-2024 tillsynsbegäran mail.docx", "A 32639-2024")</f>
        <v/>
      </c>
    </row>
    <row r="36" ht="15" customHeight="1">
      <c r="A36" t="inlineStr">
        <is>
          <t>A 28512-2024</t>
        </is>
      </c>
      <c r="B36" t="inlineStr">
        <is>
          <t>avverkningsanmälan</t>
        </is>
      </c>
      <c r="C36" t="inlineStr">
        <is>
          <t>Avverkning för att bevara och utveckla /försöksver</t>
        </is>
      </c>
      <c r="D36" s="1" t="n">
        <v>45477</v>
      </c>
      <c r="E36" s="1" t="n">
        <v>46319</v>
      </c>
      <c r="F36" t="inlineStr">
        <is>
          <t>VÄSTERNORRLANDS LÄN</t>
        </is>
      </c>
      <c r="G36" t="inlineStr">
        <is>
          <t>HÄRNÖSAND</t>
        </is>
      </c>
      <c r="I36" t="n">
        <v>5.8</v>
      </c>
      <c r="J36" t="n">
        <v>1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4</v>
      </c>
      <c r="U36" t="n">
        <v>0</v>
      </c>
      <c r="V36" s="2" t="inlineStr">
        <is>
          <t>Scharlakansvårskål agg.
Skinnlav
Svart trolldruva
Blåsippa</t>
        </is>
      </c>
      <c r="W36">
        <f>HYPERLINK("https://klasma.github.io/Logging_2280/artfynd/A 28512-2024 artfynd.xlsx", "A 28512-2024")</f>
        <v/>
      </c>
      <c r="X36">
        <f>HYPERLINK("https://klasma.github.io/Logging_2280/kartor/A 28512-2024 karta.png", "A 28512-2024")</f>
        <v/>
      </c>
      <c r="Y36">
        <f>HYPERLINK("https://klasma.github.io/Logging_2280/kartor_geotiff/A 28512-2024 georefererad karta.tif", "A 28512-2024")</f>
        <v/>
      </c>
      <c r="AA36">
        <f>HYPERLINK("https://klasma.github.io/Logging_2280/klagomål/A 28512-2024 FSC-klagomål.docx", "A 28512-2024")</f>
        <v/>
      </c>
      <c r="AB36">
        <f>HYPERLINK("https://klasma.github.io/Logging_2280/klagomålsmail/A 28512-2024 FSC-klagomål mail.docx", "A 28512-2024")</f>
        <v/>
      </c>
      <c r="AC36">
        <f>HYPERLINK("https://klasma.github.io/Logging_2280/tillsyn/A 28512-2024 tillsynsbegäran.docx", "A 28512-2024")</f>
        <v/>
      </c>
      <c r="AD36">
        <f>HYPERLINK("https://klasma.github.io/Logging_2280/tillsynsmail/A 28512-2024 tillsynsbegäran mail.docx", "A 28512-2024")</f>
        <v/>
      </c>
    </row>
    <row r="37" ht="15" customHeight="1">
      <c r="A37" t="inlineStr">
        <is>
          <t>A 33828-2026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46251</v>
      </c>
      <c r="E37" s="1" t="n">
        <v>46319</v>
      </c>
      <c r="F37" t="inlineStr">
        <is>
          <t>VÄSTERNORRLANDS LÄN</t>
        </is>
      </c>
      <c r="G37" t="inlineStr">
        <is>
          <t>HÄRNÖSAND</t>
        </is>
      </c>
      <c r="H37" t="inlineStr">
        <is>
          <t>SCA</t>
        </is>
      </c>
      <c r="I37" t="n">
        <v>1.9</v>
      </c>
      <c r="J37" t="n">
        <v>1</v>
      </c>
      <c r="K37" t="n">
        <v>1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4</v>
      </c>
      <c r="T37" t="n">
        <v>4</v>
      </c>
      <c r="U37" t="n">
        <v>0</v>
      </c>
      <c r="V37" s="2" t="inlineStr">
        <is>
          <t>Rosenticka
Ullticka
Stor aspticka
Blåsippa</t>
        </is>
      </c>
      <c r="W37">
        <f>HYPERLINK("https://klasma.github.io/Logging_2280/artfynd/A 33828-2026 artfynd.xlsx", "A 33828-2026")</f>
        <v/>
      </c>
      <c r="X37">
        <f>HYPERLINK("https://klasma.github.io/Logging_2280/kartor/A 33828-2026 karta.png", "A 33828-2026")</f>
        <v/>
      </c>
      <c r="Y37">
        <f>HYPERLINK("https://klasma.github.io/Logging_2280/kartor_geotiff/A 33828-2026 georefererad karta.tif", "A 33828-2026")</f>
        <v/>
      </c>
      <c r="AA37">
        <f>HYPERLINK("https://klasma.github.io/Logging_2280/klagomål/A 33828-2026 FSC-klagomål.docx", "A 33828-2026")</f>
        <v/>
      </c>
      <c r="AB37">
        <f>HYPERLINK("https://klasma.github.io/Logging_2280/klagomålsmail/A 33828-2026 FSC-klagomål mail.docx", "A 33828-2026")</f>
        <v/>
      </c>
      <c r="AC37">
        <f>HYPERLINK("https://klasma.github.io/Logging_2280/tillsyn/A 33828-2026 tillsynsbegäran.docx", "A 33828-2026")</f>
        <v/>
      </c>
      <c r="AD37">
        <f>HYPERLINK("https://klasma.github.io/Logging_2280/tillsynsmail/A 33828-2026 tillsynsbegäran mail.docx", "A 33828-2026")</f>
        <v/>
      </c>
    </row>
    <row r="38" ht="15" customHeight="1">
      <c r="A38" t="inlineStr">
        <is>
          <t>A 34647-2025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45848</v>
      </c>
      <c r="E38" s="1" t="n">
        <v>46319</v>
      </c>
      <c r="F38" t="inlineStr">
        <is>
          <t>VÄSTERNORRLANDS LÄN</t>
        </is>
      </c>
      <c r="G38" t="inlineStr">
        <is>
          <t>HÄRNÖSAND</t>
        </is>
      </c>
      <c r="H38" t="inlineStr">
        <is>
          <t>SCA</t>
        </is>
      </c>
      <c r="I38" t="n">
        <v>4.7</v>
      </c>
      <c r="J38" t="n">
        <v>0</v>
      </c>
      <c r="K38" t="n">
        <v>1</v>
      </c>
      <c r="L38" t="n">
        <v>2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1</v>
      </c>
      <c r="S38" t="n">
        <v>4</v>
      </c>
      <c r="T38" t="n">
        <v>5</v>
      </c>
      <c r="U38" t="n">
        <v>3</v>
      </c>
      <c r="V38" s="2" t="inlineStr">
        <is>
          <t>Garnlav
Kolflarnlav
Lunglav
Korallblylav</t>
        </is>
      </c>
      <c r="W38">
        <f>HYPERLINK("https://klasma.github.io/Logging_2280/artfynd/A 34647-2025 artfynd.xlsx", "A 34647-2025")</f>
        <v/>
      </c>
      <c r="X38">
        <f>HYPERLINK("https://klasma.github.io/Logging_2280/kartor/A 34647-2025 karta.png", "A 34647-2025")</f>
        <v/>
      </c>
      <c r="Y38">
        <f>HYPERLINK("https://klasma.github.io/Logging_2280/kartor_geotiff/A 34647-2025 georefererad karta.tif", "A 34647-2025")</f>
        <v/>
      </c>
      <c r="AA38">
        <f>HYPERLINK("https://klasma.github.io/Logging_2280/klagomål/A 34647-2025 FSC-klagomål.docx", "A 34647-2025")</f>
        <v/>
      </c>
      <c r="AB38">
        <f>HYPERLINK("https://klasma.github.io/Logging_2280/klagomålsmail/A 34647-2025 FSC-klagomål mail.docx", "A 34647-2025")</f>
        <v/>
      </c>
      <c r="AC38">
        <f>HYPERLINK("https://klasma.github.io/Logging_2280/tillsyn/A 34647-2025 tillsynsbegäran.docx", "A 34647-2025")</f>
        <v/>
      </c>
      <c r="AD38">
        <f>HYPERLINK("https://klasma.github.io/Logging_2280/tillsynsmail/A 34647-2025 tillsynsbegäran mail.docx", "A 34647-2025")</f>
        <v/>
      </c>
    </row>
    <row r="39" ht="15" customHeight="1">
      <c r="A39" t="inlineStr">
        <is>
          <t>A 41592-2024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45560</v>
      </c>
      <c r="E39" s="1" t="n">
        <v>46319</v>
      </c>
      <c r="F39" t="inlineStr">
        <is>
          <t>VÄSTERNORRLANDS LÄN</t>
        </is>
      </c>
      <c r="G39" t="inlineStr">
        <is>
          <t>HÄRNÖSAND</t>
        </is>
      </c>
      <c r="H39" t="inlineStr">
        <is>
          <t>SCA</t>
        </is>
      </c>
      <c r="I39" t="n">
        <v>6.8</v>
      </c>
      <c r="J39" t="n">
        <v>0</v>
      </c>
      <c r="K39" t="n">
        <v>1</v>
      </c>
      <c r="L39" t="n">
        <v>2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1</v>
      </c>
      <c r="S39" t="n">
        <v>4</v>
      </c>
      <c r="T39" t="n">
        <v>6</v>
      </c>
      <c r="U39" t="n">
        <v>6</v>
      </c>
      <c r="V39" s="2" t="inlineStr">
        <is>
          <t>Garnlav
Ullticka
Vedflamlav
Stuplav</t>
        </is>
      </c>
      <c r="W39">
        <f>HYPERLINK("https://klasma.github.io/Logging_2280/artfynd/A 41592-2024 artfynd.xlsx", "A 41592-2024")</f>
        <v/>
      </c>
      <c r="X39">
        <f>HYPERLINK("https://klasma.github.io/Logging_2280/kartor/A 41592-2024 karta.png", "A 41592-2024")</f>
        <v/>
      </c>
      <c r="Y39">
        <f>HYPERLINK("https://klasma.github.io/Logging_2280/kartor_geotiff/A 41592-2024 georefererad karta.tif", "A 41592-2024")</f>
        <v/>
      </c>
      <c r="AA39">
        <f>HYPERLINK("https://klasma.github.io/Logging_2280/klagomål/A 41592-2024 FSC-klagomål.docx", "A 41592-2024")</f>
        <v/>
      </c>
      <c r="AB39">
        <f>HYPERLINK("https://klasma.github.io/Logging_2280/klagomålsmail/A 41592-2024 FSC-klagomål mail.docx", "A 41592-2024")</f>
        <v/>
      </c>
      <c r="AC39">
        <f>HYPERLINK("https://klasma.github.io/Logging_2280/tillsyn/A 41592-2024 tillsynsbegäran.docx", "A 41592-2024")</f>
        <v/>
      </c>
      <c r="AD39">
        <f>HYPERLINK("https://klasma.github.io/Logging_2280/tillsynsmail/A 41592-2024 tillsynsbegäran mail.docx", "A 41592-2024")</f>
        <v/>
      </c>
    </row>
    <row r="40" ht="15" customHeight="1">
      <c r="A40" t="inlineStr">
        <is>
          <t>A 2795-2024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45314</v>
      </c>
      <c r="E40" s="1" t="n">
        <v>46319</v>
      </c>
      <c r="F40" t="inlineStr">
        <is>
          <t>VÄSTERNORRLANDS LÄN</t>
        </is>
      </c>
      <c r="G40" t="inlineStr">
        <is>
          <t>HÄRNÖSAND</t>
        </is>
      </c>
      <c r="H40" t="inlineStr">
        <is>
          <t>Kyrkan</t>
        </is>
      </c>
      <c r="I40" t="n">
        <v>2.5</v>
      </c>
      <c r="J40" t="n">
        <v>0</v>
      </c>
      <c r="K40" t="n">
        <v>1</v>
      </c>
      <c r="L40" t="n">
        <v>3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4</v>
      </c>
      <c r="T40" t="n">
        <v>8</v>
      </c>
      <c r="U40" t="n">
        <v>0</v>
      </c>
      <c r="V40" s="2" t="inlineStr">
        <is>
          <t>Rosenticka
Rynkskinn
Ullticka
Trådticka</t>
        </is>
      </c>
      <c r="W40">
        <f>HYPERLINK("https://klasma.github.io/Logging_2280/artfynd/A 2795-2024 artfynd.xlsx", "A 2795-2024")</f>
        <v/>
      </c>
      <c r="X40">
        <f>HYPERLINK("https://klasma.github.io/Logging_2280/kartor/A 2795-2024 karta.png", "A 2795-2024")</f>
        <v/>
      </c>
      <c r="Y40">
        <f>HYPERLINK("https://klasma.github.io/Logging_2280/kartor_geotiff/A 2795-2024 georefererad karta.tif", "A 2795-2024")</f>
        <v/>
      </c>
      <c r="AA40">
        <f>HYPERLINK("https://klasma.github.io/Logging_2280/klagomål/A 2795-2024 FSC-klagomål.docx", "A 2795-2024")</f>
        <v/>
      </c>
      <c r="AB40">
        <f>HYPERLINK("https://klasma.github.io/Logging_2280/klagomålsmail/A 2795-2024 FSC-klagomål mail.docx", "A 2795-2024")</f>
        <v/>
      </c>
      <c r="AC40">
        <f>HYPERLINK("https://klasma.github.io/Logging_2280/tillsyn/A 2795-2024 tillsynsbegäran.docx", "A 2795-2024")</f>
        <v/>
      </c>
      <c r="AD40">
        <f>HYPERLINK("https://klasma.github.io/Logging_2280/tillsynsmail/A 2795-2024 tillsynsbegäran mail.docx", "A 2795-2024")</f>
        <v/>
      </c>
    </row>
    <row r="41" ht="15" customHeight="1">
      <c r="A41" t="inlineStr">
        <is>
          <t>S 314-2024</t>
        </is>
      </c>
      <c r="B41" t="inlineStr">
        <is>
          <t>samrådsanmälan</t>
        </is>
      </c>
      <c r="C41" t="inlineStr">
        <is>
          <t>Skogsgödsling</t>
        </is>
      </c>
      <c r="D41" s="1" t="n">
        <v>45323</v>
      </c>
      <c r="E41" s="1" t="n">
        <v>46319</v>
      </c>
      <c r="F41" t="inlineStr">
        <is>
          <t>VÄSTERNORRLANDS LÄN</t>
        </is>
      </c>
      <c r="G41" t="inlineStr">
        <is>
          <t>HÄRNÖSAND</t>
        </is>
      </c>
      <c r="H41" t="inlineStr">
        <is>
          <t>SCA</t>
        </is>
      </c>
      <c r="I41" t="n">
        <v>231.6</v>
      </c>
      <c r="J41" t="n">
        <v>3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4</v>
      </c>
      <c r="T41" t="n">
        <v>4</v>
      </c>
      <c r="U41" t="n">
        <v>0</v>
      </c>
      <c r="V41" s="2" t="inlineStr">
        <is>
          <t>Lavskrika
Tibast
Blåsippa
Gråspett</t>
        </is>
      </c>
      <c r="W41">
        <f>HYPERLINK("https://klasma.github.io/Logging_2280/artfynd/S 314-2024 artfynd.xlsx", "S 314-2024")</f>
        <v/>
      </c>
      <c r="X41">
        <f>HYPERLINK("https://klasma.github.io/Logging_2280/kartor/S 314-2024 karta.png", "S 314-2024")</f>
        <v/>
      </c>
      <c r="Y41">
        <f>HYPERLINK("https://klasma.github.io/Logging_2280/kartor_geotiff/S 314-2024 georefererad karta.tif", "S 314-2024")</f>
        <v/>
      </c>
      <c r="AA41">
        <f>HYPERLINK("https://klasma.github.io/Logging_2280/klagomål/S 314-2024 FSC-klagomål.docx", "S 314-2024")</f>
        <v/>
      </c>
      <c r="AB41">
        <f>HYPERLINK("https://klasma.github.io/Logging_2280/klagomålsmail/S 314-2024 FSC-klagomål mail.docx", "S 314-2024")</f>
        <v/>
      </c>
      <c r="AC41">
        <f>HYPERLINK("https://klasma.github.io/Logging_2280/tillsyn/S 314-2024 tillsynsbegäran.docx", "S 314-2024")</f>
        <v/>
      </c>
      <c r="AD41">
        <f>HYPERLINK("https://klasma.github.io/Logging_2280/tillsynsmail/S 314-2024 tillsynsbegäran mail.docx", "S 314-2024")</f>
        <v/>
      </c>
      <c r="AE41">
        <f>HYPERLINK("https://klasma.github.io/Logging_2280/fåglar/S 314-2024 prioriterade fågelarter.docx", "S 314-2024")</f>
        <v/>
      </c>
    </row>
    <row r="42" ht="15" customHeight="1">
      <c r="A42" t="inlineStr">
        <is>
          <t>S 1508-2025</t>
        </is>
      </c>
      <c r="B42" t="inlineStr">
        <is>
          <t>samrådsanmälan</t>
        </is>
      </c>
      <c r="C42" t="inlineStr">
        <is>
          <t>Skogsgödsling</t>
        </is>
      </c>
      <c r="D42" s="1" t="n">
        <v>45790</v>
      </c>
      <c r="E42" s="1" t="n">
        <v>46319</v>
      </c>
      <c r="F42" t="inlineStr">
        <is>
          <t>VÄSTERNORRLANDS LÄN</t>
        </is>
      </c>
      <c r="G42" t="inlineStr">
        <is>
          <t>HÄRNÖSAND</t>
        </is>
      </c>
      <c r="H42" t="inlineStr">
        <is>
          <t>SCA</t>
        </is>
      </c>
      <c r="I42" t="n">
        <v>384.2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4</v>
      </c>
      <c r="T42" t="n">
        <v>4</v>
      </c>
      <c r="U42" t="n">
        <v>3</v>
      </c>
      <c r="V42" s="2" t="inlineStr">
        <is>
          <t>Lappticka
Dropptaggsvamp
Korallblylav
Kopparödla</t>
        </is>
      </c>
      <c r="W42">
        <f>HYPERLINK("https://klasma.github.io/Logging_2280/artfynd/S 1508-2025 artfynd.xlsx", "S 1508-2025")</f>
        <v/>
      </c>
      <c r="X42">
        <f>HYPERLINK("https://klasma.github.io/Logging_2280/kartor/S 1508-2025 karta.png", "S 1508-2025")</f>
        <v/>
      </c>
      <c r="Y42">
        <f>HYPERLINK("https://klasma.github.io/Logging_2280/kartor_geotiff/S 1508-2025 georefererad karta.tif", "S 1508-2025")</f>
        <v/>
      </c>
      <c r="AA42">
        <f>HYPERLINK("https://klasma.github.io/Logging_2280/klagomål/S 1508-2025 FSC-klagomål.docx", "S 1508-2025")</f>
        <v/>
      </c>
      <c r="AB42">
        <f>HYPERLINK("https://klasma.github.io/Logging_2280/klagomålsmail/S 1508-2025 FSC-klagomål mail.docx", "S 1508-2025")</f>
        <v/>
      </c>
      <c r="AC42">
        <f>HYPERLINK("https://klasma.github.io/Logging_2280/tillsyn/S 1508-2025 tillsynsbegäran.docx", "S 1508-2025")</f>
        <v/>
      </c>
      <c r="AD42">
        <f>HYPERLINK("https://klasma.github.io/Logging_2280/tillsynsmail/S 1508-2025 tillsynsbegäran mail.docx", "S 1508-2025")</f>
        <v/>
      </c>
    </row>
    <row r="43" ht="15" customHeight="1">
      <c r="A43" t="inlineStr">
        <is>
          <t>A 18555-2022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44686</v>
      </c>
      <c r="E43" s="1" t="n">
        <v>46319</v>
      </c>
      <c r="F43" t="inlineStr">
        <is>
          <t>VÄSTERNORRLANDS LÄN</t>
        </is>
      </c>
      <c r="G43" t="inlineStr">
        <is>
          <t>HÄRNÖSAND</t>
        </is>
      </c>
      <c r="H43" t="inlineStr">
        <is>
          <t>SCA</t>
        </is>
      </c>
      <c r="I43" t="n">
        <v>4.5</v>
      </c>
      <c r="J43" t="n">
        <v>1</v>
      </c>
      <c r="K43" t="n">
        <v>0</v>
      </c>
      <c r="L43" t="n">
        <v>1</v>
      </c>
      <c r="M43" t="n">
        <v>2</v>
      </c>
      <c r="N43" t="n">
        <v>0</v>
      </c>
      <c r="O43" t="n">
        <v>0</v>
      </c>
      <c r="P43" t="n">
        <v>0</v>
      </c>
      <c r="Q43" t="n">
        <v>3</v>
      </c>
      <c r="R43" t="n">
        <v>2</v>
      </c>
      <c r="S43" t="n">
        <v>3</v>
      </c>
      <c r="T43" t="n">
        <v>3</v>
      </c>
      <c r="U43" t="n">
        <v>0</v>
      </c>
      <c r="V43" s="2" t="inlineStr">
        <is>
          <t>Garnlav
Knärot
Lunglav</t>
        </is>
      </c>
      <c r="W43">
        <f>HYPERLINK("https://klasma.github.io/Logging_2280/artfynd/A 18555-2022 artfynd.xlsx", "A 18555-2022")</f>
        <v/>
      </c>
      <c r="X43">
        <f>HYPERLINK("https://klasma.github.io/Logging_2280/kartor/A 18555-2022 karta.png", "A 18555-2022")</f>
        <v/>
      </c>
      <c r="Y43">
        <f>HYPERLINK("https://klasma.github.io/Logging_2280/kartor_geotiff/A 18555-2022 georefererad karta.tif", "A 18555-2022")</f>
        <v/>
      </c>
      <c r="Z43">
        <f>HYPERLINK("https://klasma.github.io/Logging_2280/knärot/A 18555-2022 karta knärot.png", "A 18555-2022")</f>
        <v/>
      </c>
      <c r="AA43">
        <f>HYPERLINK("https://klasma.github.io/Logging_2280/klagomål/A 18555-2022 FSC-klagomål.docx", "A 18555-2022")</f>
        <v/>
      </c>
      <c r="AB43">
        <f>HYPERLINK("https://klasma.github.io/Logging_2280/klagomålsmail/A 18555-2022 FSC-klagomål mail.docx", "A 18555-2022")</f>
        <v/>
      </c>
      <c r="AC43">
        <f>HYPERLINK("https://klasma.github.io/Logging_2280/tillsyn/A 18555-2022 tillsynsbegäran.docx", "A 18555-2022")</f>
        <v/>
      </c>
      <c r="AD43">
        <f>HYPERLINK("https://klasma.github.io/Logging_2280/tillsynsmail/A 18555-2022 tillsynsbegäran mail.docx", "A 18555-2022")</f>
        <v/>
      </c>
    </row>
    <row r="44" ht="15" customHeight="1">
      <c r="A44" t="inlineStr">
        <is>
          <t>A 29814-2022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44755</v>
      </c>
      <c r="E44" s="1" t="n">
        <v>46319</v>
      </c>
      <c r="F44" t="inlineStr">
        <is>
          <t>VÄSTERNORRLANDS LÄN</t>
        </is>
      </c>
      <c r="G44" t="inlineStr">
        <is>
          <t>HÄRNÖSAND</t>
        </is>
      </c>
      <c r="I44" t="n">
        <v>2.7</v>
      </c>
      <c r="J44" t="n">
        <v>0</v>
      </c>
      <c r="K44" t="n">
        <v>2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3</v>
      </c>
      <c r="T44" t="n">
        <v>3</v>
      </c>
      <c r="U44" t="n">
        <v>3</v>
      </c>
      <c r="V44" s="2" t="inlineStr">
        <is>
          <t>Sotvaxskivling
Sotriska
Svavelriska</t>
        </is>
      </c>
      <c r="W44">
        <f>HYPERLINK("https://klasma.github.io/Logging_2280/artfynd/A 29814-2022 artfynd.xlsx", "A 29814-2022")</f>
        <v/>
      </c>
      <c r="X44">
        <f>HYPERLINK("https://klasma.github.io/Logging_2280/kartor/A 29814-2022 karta.png", "A 29814-2022")</f>
        <v/>
      </c>
      <c r="Y44">
        <f>HYPERLINK("https://klasma.github.io/Logging_2280/kartor_geotiff/A 29814-2022 georefererad karta.tif", "A 29814-2022")</f>
        <v/>
      </c>
      <c r="AA44">
        <f>HYPERLINK("https://klasma.github.io/Logging_2280/klagomål/A 29814-2022 FSC-klagomål.docx", "A 29814-2022")</f>
        <v/>
      </c>
      <c r="AB44">
        <f>HYPERLINK("https://klasma.github.io/Logging_2280/klagomålsmail/A 29814-2022 FSC-klagomål mail.docx", "A 29814-2022")</f>
        <v/>
      </c>
      <c r="AC44">
        <f>HYPERLINK("https://klasma.github.io/Logging_2280/tillsyn/A 29814-2022 tillsynsbegäran.docx", "A 29814-2022")</f>
        <v/>
      </c>
      <c r="AD44">
        <f>HYPERLINK("https://klasma.github.io/Logging_2280/tillsynsmail/A 29814-2022 tillsynsbegäran mail.docx", "A 29814-2022")</f>
        <v/>
      </c>
    </row>
    <row r="45" ht="15" customHeight="1">
      <c r="A45" t="inlineStr">
        <is>
          <t>A 47484-2025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45930</v>
      </c>
      <c r="E45" s="1" t="n">
        <v>46319</v>
      </c>
      <c r="F45" t="inlineStr">
        <is>
          <t>VÄSTERNORRLANDS LÄN</t>
        </is>
      </c>
      <c r="G45" t="inlineStr">
        <is>
          <t>HÄRNÖSAND</t>
        </is>
      </c>
      <c r="H45" t="inlineStr">
        <is>
          <t>SCA</t>
        </is>
      </c>
      <c r="I45" t="n">
        <v>2.7</v>
      </c>
      <c r="J45" t="n">
        <v>1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3</v>
      </c>
      <c r="T45" t="n">
        <v>3</v>
      </c>
      <c r="U45" t="n">
        <v>0</v>
      </c>
      <c r="V45" s="2" t="inlineStr">
        <is>
          <t>Ullticka
Vedflamlav
Fläcknycklar</t>
        </is>
      </c>
      <c r="W45">
        <f>HYPERLINK("https://klasma.github.io/Logging_2280/artfynd/A 47484-2025 artfynd.xlsx", "A 47484-2025")</f>
        <v/>
      </c>
      <c r="X45">
        <f>HYPERLINK("https://klasma.github.io/Logging_2280/kartor/A 47484-2025 karta.png", "A 47484-2025")</f>
        <v/>
      </c>
      <c r="Y45">
        <f>HYPERLINK("https://klasma.github.io/Logging_2280/kartor_geotiff/A 47484-2025 georefererad karta.tif", "A 47484-2025")</f>
        <v/>
      </c>
      <c r="AA45">
        <f>HYPERLINK("https://klasma.github.io/Logging_2280/klagomål/A 47484-2025 FSC-klagomål.docx", "A 47484-2025")</f>
        <v/>
      </c>
      <c r="AB45">
        <f>HYPERLINK("https://klasma.github.io/Logging_2280/klagomålsmail/A 47484-2025 FSC-klagomål mail.docx", "A 47484-2025")</f>
        <v/>
      </c>
      <c r="AC45">
        <f>HYPERLINK("https://klasma.github.io/Logging_2280/tillsyn/A 47484-2025 tillsynsbegäran.docx", "A 47484-2025")</f>
        <v/>
      </c>
      <c r="AD45">
        <f>HYPERLINK("https://klasma.github.io/Logging_2280/tillsynsmail/A 47484-2025 tillsynsbegäran mail.docx", "A 47484-2025")</f>
        <v/>
      </c>
    </row>
    <row r="46" ht="15" customHeight="1">
      <c r="A46" t="inlineStr">
        <is>
          <t>A 61936-2025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46003</v>
      </c>
      <c r="E46" s="1" t="n">
        <v>46319</v>
      </c>
      <c r="F46" t="inlineStr">
        <is>
          <t>VÄSTERNORRLANDS LÄN</t>
        </is>
      </c>
      <c r="G46" t="inlineStr">
        <is>
          <t>HÄRNÖSAND</t>
        </is>
      </c>
      <c r="H46" t="inlineStr">
        <is>
          <t>SCA</t>
        </is>
      </c>
      <c r="I46" t="n">
        <v>5.1</v>
      </c>
      <c r="J46" t="n">
        <v>1</v>
      </c>
      <c r="K46" t="n">
        <v>0</v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0</v>
      </c>
      <c r="S46" t="n">
        <v>3</v>
      </c>
      <c r="T46" t="n">
        <v>4</v>
      </c>
      <c r="U46" t="n">
        <v>0</v>
      </c>
      <c r="V46" s="2" t="inlineStr">
        <is>
          <t>Gammelgransskål
Rynkskinn
Tretåig hackspett</t>
        </is>
      </c>
      <c r="W46">
        <f>HYPERLINK("https://klasma.github.io/Logging_2280/artfynd/A 61936-2025 artfynd.xlsx", "A 61936-2025")</f>
        <v/>
      </c>
      <c r="X46">
        <f>HYPERLINK("https://klasma.github.io/Logging_2280/kartor/A 61936-2025 karta.png", "A 61936-2025")</f>
        <v/>
      </c>
      <c r="Y46">
        <f>HYPERLINK("https://klasma.github.io/Logging_2280/kartor_geotiff/A 61936-2025 georefererad karta.tif", "A 61936-2025")</f>
        <v/>
      </c>
      <c r="AA46">
        <f>HYPERLINK("https://klasma.github.io/Logging_2280/klagomål/A 61936-2025 FSC-klagomål.docx", "A 61936-2025")</f>
        <v/>
      </c>
      <c r="AB46">
        <f>HYPERLINK("https://klasma.github.io/Logging_2280/klagomålsmail/A 61936-2025 FSC-klagomål mail.docx", "A 61936-2025")</f>
        <v/>
      </c>
      <c r="AC46">
        <f>HYPERLINK("https://klasma.github.io/Logging_2280/tillsyn/A 61936-2025 tillsynsbegäran.docx", "A 61936-2025")</f>
        <v/>
      </c>
      <c r="AD46">
        <f>HYPERLINK("https://klasma.github.io/Logging_2280/tillsynsmail/A 61936-2025 tillsynsbegäran mail.docx", "A 61936-2025")</f>
        <v/>
      </c>
      <c r="AE46">
        <f>HYPERLINK("https://klasma.github.io/Logging_2280/fåglar/A 61936-2025 prioriterade fågelarter.docx", "A 61936-2025")</f>
        <v/>
      </c>
    </row>
    <row r="47" ht="15" customHeight="1">
      <c r="A47" t="inlineStr">
        <is>
          <t>A 32846-2026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46244</v>
      </c>
      <c r="E47" s="1" t="n">
        <v>46319</v>
      </c>
      <c r="F47" t="inlineStr">
        <is>
          <t>VÄSTERNORRLANDS LÄN</t>
        </is>
      </c>
      <c r="G47" t="inlineStr">
        <is>
          <t>HÄRNÖSAND</t>
        </is>
      </c>
      <c r="H47" t="inlineStr">
        <is>
          <t>SCA</t>
        </is>
      </c>
      <c r="I47" t="n">
        <v>1.5</v>
      </c>
      <c r="J47" t="n">
        <v>1</v>
      </c>
      <c r="K47" t="n">
        <v>0</v>
      </c>
      <c r="L47" t="n">
        <v>2</v>
      </c>
      <c r="M47" t="n">
        <v>1</v>
      </c>
      <c r="N47" t="n">
        <v>0</v>
      </c>
      <c r="O47" t="n">
        <v>0</v>
      </c>
      <c r="P47" t="n">
        <v>0</v>
      </c>
      <c r="Q47" t="n">
        <v>3</v>
      </c>
      <c r="R47" t="n">
        <v>1</v>
      </c>
      <c r="S47" t="n">
        <v>3</v>
      </c>
      <c r="T47" t="n">
        <v>3</v>
      </c>
      <c r="U47" t="n">
        <v>0</v>
      </c>
      <c r="V47" s="2" t="inlineStr">
        <is>
          <t>Garnlav
Tretåig hackspett
Vitgrynig nållav</t>
        </is>
      </c>
      <c r="W47">
        <f>HYPERLINK("https://klasma.github.io/Logging_2280/artfynd/A 32846-2026 artfynd.xlsx", "A 32846-2026")</f>
        <v/>
      </c>
      <c r="X47">
        <f>HYPERLINK("https://klasma.github.io/Logging_2280/kartor/A 32846-2026 karta.png", "A 32846-2026")</f>
        <v/>
      </c>
      <c r="Y47">
        <f>HYPERLINK("https://klasma.github.io/Logging_2280/kartor_geotiff/A 32846-2026 georefererad karta.tif", "A 32846-2026")</f>
        <v/>
      </c>
      <c r="AA47">
        <f>HYPERLINK("https://klasma.github.io/Logging_2280/klagomål/A 32846-2026 FSC-klagomål.docx", "A 32846-2026")</f>
        <v/>
      </c>
      <c r="AB47">
        <f>HYPERLINK("https://klasma.github.io/Logging_2280/klagomålsmail/A 32846-2026 FSC-klagomål mail.docx", "A 32846-2026")</f>
        <v/>
      </c>
      <c r="AC47">
        <f>HYPERLINK("https://klasma.github.io/Logging_2280/tillsyn/A 32846-2026 tillsynsbegäran.docx", "A 32846-2026")</f>
        <v/>
      </c>
      <c r="AD47">
        <f>HYPERLINK("https://klasma.github.io/Logging_2280/tillsynsmail/A 32846-2026 tillsynsbegäran mail.docx", "A 32846-2026")</f>
        <v/>
      </c>
      <c r="AE47">
        <f>HYPERLINK("https://klasma.github.io/Logging_2280/fåglar/A 32846-2026 prioriterade fågelarter.docx", "A 32846-2026")</f>
        <v/>
      </c>
    </row>
    <row r="48" ht="15" customHeight="1">
      <c r="A48" t="inlineStr">
        <is>
          <t>A 54552-2024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45617</v>
      </c>
      <c r="E48" s="1" t="n">
        <v>46319</v>
      </c>
      <c r="F48" t="inlineStr">
        <is>
          <t>VÄSTERNORRLANDS LÄN</t>
        </is>
      </c>
      <c r="G48" t="inlineStr">
        <is>
          <t>HÄRNÖSAND</t>
        </is>
      </c>
      <c r="H48" t="inlineStr">
        <is>
          <t>SCA</t>
        </is>
      </c>
      <c r="I48" t="n">
        <v>2.2</v>
      </c>
      <c r="J48" t="n">
        <v>0</v>
      </c>
      <c r="K48" t="n">
        <v>0</v>
      </c>
      <c r="L48" t="n">
        <v>2</v>
      </c>
      <c r="M48" t="n">
        <v>1</v>
      </c>
      <c r="N48" t="n">
        <v>0</v>
      </c>
      <c r="O48" t="n">
        <v>0</v>
      </c>
      <c r="P48" t="n">
        <v>0</v>
      </c>
      <c r="Q48" t="n">
        <v>3</v>
      </c>
      <c r="R48" t="n">
        <v>1</v>
      </c>
      <c r="S48" t="n">
        <v>3</v>
      </c>
      <c r="T48" t="n">
        <v>3</v>
      </c>
      <c r="U48" t="n">
        <v>0</v>
      </c>
      <c r="V48" s="2" t="inlineStr">
        <is>
          <t>Garnlav
Gammelgransskål
Rosenticka</t>
        </is>
      </c>
      <c r="W48">
        <f>HYPERLINK("https://klasma.github.io/Logging_2280/artfynd/A 54552-2024 artfynd.xlsx", "A 54552-2024")</f>
        <v/>
      </c>
      <c r="X48">
        <f>HYPERLINK("https://klasma.github.io/Logging_2280/kartor/A 54552-2024 karta.png", "A 54552-2024")</f>
        <v/>
      </c>
      <c r="Y48">
        <f>HYPERLINK("https://klasma.github.io/Logging_2280/kartor_geotiff/A 54552-2024 georefererad karta.tif", "A 54552-2024")</f>
        <v/>
      </c>
      <c r="AA48">
        <f>HYPERLINK("https://klasma.github.io/Logging_2280/klagomål/A 54552-2024 FSC-klagomål.docx", "A 54552-2024")</f>
        <v/>
      </c>
      <c r="AB48">
        <f>HYPERLINK("https://klasma.github.io/Logging_2280/klagomålsmail/A 54552-2024 FSC-klagomål mail.docx", "A 54552-2024")</f>
        <v/>
      </c>
      <c r="AC48">
        <f>HYPERLINK("https://klasma.github.io/Logging_2280/tillsyn/A 54552-2024 tillsynsbegäran.docx", "A 54552-2024")</f>
        <v/>
      </c>
      <c r="AD48">
        <f>HYPERLINK("https://klasma.github.io/Logging_2280/tillsynsmail/A 54552-2024 tillsynsbegäran mail.docx", "A 54552-2024")</f>
        <v/>
      </c>
    </row>
    <row r="49" ht="15" customHeight="1">
      <c r="A49" t="inlineStr">
        <is>
          <t>A 43101-2023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45182</v>
      </c>
      <c r="E49" s="1" t="n">
        <v>46319</v>
      </c>
      <c r="F49" t="inlineStr">
        <is>
          <t>VÄSTERNORRLANDS LÄN</t>
        </is>
      </c>
      <c r="G49" t="inlineStr">
        <is>
          <t>HÄRNÖSAND</t>
        </is>
      </c>
      <c r="H49" t="inlineStr">
        <is>
          <t>SCA</t>
        </is>
      </c>
      <c r="I49" t="n">
        <v>2.6</v>
      </c>
      <c r="J49" t="n">
        <v>1</v>
      </c>
      <c r="K49" t="n">
        <v>0</v>
      </c>
      <c r="L49" t="n">
        <v>2</v>
      </c>
      <c r="M49" t="n">
        <v>0</v>
      </c>
      <c r="N49" t="n">
        <v>0</v>
      </c>
      <c r="O49" t="n">
        <v>0</v>
      </c>
      <c r="P49" t="n">
        <v>0</v>
      </c>
      <c r="Q49" t="n">
        <v>2</v>
      </c>
      <c r="R49" t="n">
        <v>0</v>
      </c>
      <c r="S49" t="n">
        <v>3</v>
      </c>
      <c r="T49" t="n">
        <v>3</v>
      </c>
      <c r="U49" t="n">
        <v>3</v>
      </c>
      <c r="V49" s="2" t="inlineStr">
        <is>
          <t>Ullticka
Vedflamlav
Fläcknycklar</t>
        </is>
      </c>
      <c r="W49">
        <f>HYPERLINK("https://klasma.github.io/Logging_2280/artfynd/A 43101-2023 artfynd.xlsx", "A 43101-2023")</f>
        <v/>
      </c>
      <c r="X49">
        <f>HYPERLINK("https://klasma.github.io/Logging_2280/kartor/A 43101-2023 karta.png", "A 43101-2023")</f>
        <v/>
      </c>
      <c r="Y49">
        <f>HYPERLINK("https://klasma.github.io/Logging_2280/kartor_geotiff/A 43101-2023 georefererad karta.tif", "A 43101-2023")</f>
        <v/>
      </c>
      <c r="AA49">
        <f>HYPERLINK("https://klasma.github.io/Logging_2280/klagomål/A 43101-2023 FSC-klagomål.docx", "A 43101-2023")</f>
        <v/>
      </c>
      <c r="AB49">
        <f>HYPERLINK("https://klasma.github.io/Logging_2280/klagomålsmail/A 43101-2023 FSC-klagomål mail.docx", "A 43101-2023")</f>
        <v/>
      </c>
      <c r="AC49">
        <f>HYPERLINK("https://klasma.github.io/Logging_2280/tillsyn/A 43101-2023 tillsynsbegäran.docx", "A 43101-2023")</f>
        <v/>
      </c>
      <c r="AD49">
        <f>HYPERLINK("https://klasma.github.io/Logging_2280/tillsynsmail/A 43101-2023 tillsynsbegäran mail.docx", "A 43101-2023")</f>
        <v/>
      </c>
    </row>
    <row r="50" ht="15" customHeight="1">
      <c r="A50" t="inlineStr">
        <is>
          <t>A 8921-2024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45355</v>
      </c>
      <c r="E50" s="1" t="n">
        <v>46319</v>
      </c>
      <c r="F50" t="inlineStr">
        <is>
          <t>VÄSTERNORRLANDS LÄN</t>
        </is>
      </c>
      <c r="G50" t="inlineStr">
        <is>
          <t>HÄRNÖSAND</t>
        </is>
      </c>
      <c r="I50" t="n">
        <v>3.7</v>
      </c>
      <c r="J50" t="n">
        <v>0</v>
      </c>
      <c r="K50" t="n">
        <v>0</v>
      </c>
      <c r="L50" t="n">
        <v>2</v>
      </c>
      <c r="M50" t="n">
        <v>1</v>
      </c>
      <c r="N50" t="n">
        <v>0</v>
      </c>
      <c r="O50" t="n">
        <v>0</v>
      </c>
      <c r="P50" t="n">
        <v>0</v>
      </c>
      <c r="Q50" t="n">
        <v>3</v>
      </c>
      <c r="R50" t="n">
        <v>1</v>
      </c>
      <c r="S50" t="n">
        <v>3</v>
      </c>
      <c r="T50" t="n">
        <v>3</v>
      </c>
      <c r="U50" t="n">
        <v>2</v>
      </c>
      <c r="V50" s="2" t="inlineStr">
        <is>
          <t>Skrovlig taggsvamp
Apelsinticka
Svartvit taggsvamp</t>
        </is>
      </c>
      <c r="W50">
        <f>HYPERLINK("https://klasma.github.io/Logging_2280/artfynd/A 8921-2024 artfynd.xlsx", "A 8921-2024")</f>
        <v/>
      </c>
      <c r="X50">
        <f>HYPERLINK("https://klasma.github.io/Logging_2280/kartor/A 8921-2024 karta.png", "A 8921-2024")</f>
        <v/>
      </c>
      <c r="Y50">
        <f>HYPERLINK("https://klasma.github.io/Logging_2280/kartor_geotiff/A 8921-2024 georefererad karta.tif", "A 8921-2024")</f>
        <v/>
      </c>
      <c r="AA50">
        <f>HYPERLINK("https://klasma.github.io/Logging_2280/klagomål/A 8921-2024 FSC-klagomål.docx", "A 8921-2024")</f>
        <v/>
      </c>
      <c r="AB50">
        <f>HYPERLINK("https://klasma.github.io/Logging_2280/klagomålsmail/A 8921-2024 FSC-klagomål mail.docx", "A 8921-2024")</f>
        <v/>
      </c>
      <c r="AC50">
        <f>HYPERLINK("https://klasma.github.io/Logging_2280/tillsyn/A 8921-2024 tillsynsbegäran.docx", "A 8921-2024")</f>
        <v/>
      </c>
      <c r="AD50">
        <f>HYPERLINK("https://klasma.github.io/Logging_2280/tillsynsmail/A 8921-2024 tillsynsbegäran mail.docx", "A 8921-2024")</f>
        <v/>
      </c>
    </row>
    <row r="51" ht="15" customHeight="1">
      <c r="A51" t="inlineStr">
        <is>
          <t>A 49675-2024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45596</v>
      </c>
      <c r="E51" s="1" t="n">
        <v>46319</v>
      </c>
      <c r="F51" t="inlineStr">
        <is>
          <t>VÄSTERNORRLANDS LÄN</t>
        </is>
      </c>
      <c r="G51" t="inlineStr">
        <is>
          <t>HÄRNÖSAND</t>
        </is>
      </c>
      <c r="H51" t="inlineStr">
        <is>
          <t>SCA</t>
        </is>
      </c>
      <c r="I51" t="n">
        <v>7.2</v>
      </c>
      <c r="J51" t="n">
        <v>0</v>
      </c>
      <c r="K51" t="n">
        <v>0</v>
      </c>
      <c r="L51" t="n">
        <v>1</v>
      </c>
      <c r="M51" t="n">
        <v>2</v>
      </c>
      <c r="N51" t="n">
        <v>0</v>
      </c>
      <c r="O51" t="n">
        <v>0</v>
      </c>
      <c r="P51" t="n">
        <v>0</v>
      </c>
      <c r="Q51" t="n">
        <v>3</v>
      </c>
      <c r="R51" t="n">
        <v>2</v>
      </c>
      <c r="S51" t="n">
        <v>3</v>
      </c>
      <c r="T51" t="n">
        <v>5</v>
      </c>
      <c r="U51" t="n">
        <v>0</v>
      </c>
      <c r="V51" s="2" t="inlineStr">
        <is>
          <t>Garnlav
Lappticka
Rosenticka</t>
        </is>
      </c>
      <c r="W51">
        <f>HYPERLINK("https://klasma.github.io/Logging_2280/artfynd/A 49675-2024 artfynd.xlsx", "A 49675-2024")</f>
        <v/>
      </c>
      <c r="X51">
        <f>HYPERLINK("https://klasma.github.io/Logging_2280/kartor/A 49675-2024 karta.png", "A 49675-2024")</f>
        <v/>
      </c>
      <c r="Y51">
        <f>HYPERLINK("https://klasma.github.io/Logging_2280/kartor_geotiff/A 49675-2024 georefererad karta.tif", "A 49675-2024")</f>
        <v/>
      </c>
      <c r="AA51">
        <f>HYPERLINK("https://klasma.github.io/Logging_2280/klagomål/A 49675-2024 FSC-klagomål.docx", "A 49675-2024")</f>
        <v/>
      </c>
      <c r="AB51">
        <f>HYPERLINK("https://klasma.github.io/Logging_2280/klagomålsmail/A 49675-2024 FSC-klagomål mail.docx", "A 49675-2024")</f>
        <v/>
      </c>
      <c r="AC51">
        <f>HYPERLINK("https://klasma.github.io/Logging_2280/tillsyn/A 49675-2024 tillsynsbegäran.docx", "A 49675-2024")</f>
        <v/>
      </c>
      <c r="AD51">
        <f>HYPERLINK("https://klasma.github.io/Logging_2280/tillsynsmail/A 49675-2024 tillsynsbegäran mail.docx", "A 49675-2024")</f>
        <v/>
      </c>
    </row>
    <row r="52" ht="15" customHeight="1">
      <c r="A52" t="inlineStr">
        <is>
          <t>A 34689-2024</t>
        </is>
      </c>
      <c r="B52" t="inlineStr">
        <is>
          <t>avverkningsanmälan</t>
        </is>
      </c>
      <c r="C52" t="inlineStr">
        <is>
          <t>Avverkning för att bevara och utveckla /försöksver</t>
        </is>
      </c>
      <c r="D52" s="1" t="n">
        <v>45526</v>
      </c>
      <c r="E52" s="1" t="n">
        <v>46319</v>
      </c>
      <c r="F52" t="inlineStr">
        <is>
          <t>VÄSTERNORRLANDS LÄN</t>
        </is>
      </c>
      <c r="G52" t="inlineStr">
        <is>
          <t>HÄRNÖSAND</t>
        </is>
      </c>
      <c r="H52" t="inlineStr">
        <is>
          <t>SCA</t>
        </is>
      </c>
      <c r="I52" t="n">
        <v>2.2</v>
      </c>
      <c r="J52" t="n">
        <v>1</v>
      </c>
      <c r="K52" t="n">
        <v>0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0</v>
      </c>
      <c r="S52" t="n">
        <v>3</v>
      </c>
      <c r="T52" t="n">
        <v>4</v>
      </c>
      <c r="U52" t="n">
        <v>4</v>
      </c>
      <c r="V52" s="2" t="inlineStr">
        <is>
          <t>Rynkskinn
Ullticka
Blåsippa</t>
        </is>
      </c>
      <c r="W52">
        <f>HYPERLINK("https://klasma.github.io/Logging_2280/artfynd/A 34689-2024 artfynd.xlsx", "A 34689-2024")</f>
        <v/>
      </c>
      <c r="X52">
        <f>HYPERLINK("https://klasma.github.io/Logging_2280/kartor/A 34689-2024 karta.png", "A 34689-2024")</f>
        <v/>
      </c>
      <c r="Y52">
        <f>HYPERLINK("https://klasma.github.io/Logging_2280/kartor_geotiff/A 34689-2024 georefererad karta.tif", "A 34689-2024")</f>
        <v/>
      </c>
      <c r="AA52">
        <f>HYPERLINK("https://klasma.github.io/Logging_2280/klagomål/A 34689-2024 FSC-klagomål.docx", "A 34689-2024")</f>
        <v/>
      </c>
      <c r="AB52">
        <f>HYPERLINK("https://klasma.github.io/Logging_2280/klagomålsmail/A 34689-2024 FSC-klagomål mail.docx", "A 34689-2024")</f>
        <v/>
      </c>
      <c r="AC52">
        <f>HYPERLINK("https://klasma.github.io/Logging_2280/tillsyn/A 34689-2024 tillsynsbegäran.docx", "A 34689-2024")</f>
        <v/>
      </c>
      <c r="AD52">
        <f>HYPERLINK("https://klasma.github.io/Logging_2280/tillsynsmail/A 34689-2024 tillsynsbegäran mail.docx", "A 34689-2024")</f>
        <v/>
      </c>
    </row>
    <row r="53" ht="15" customHeight="1">
      <c r="A53" t="inlineStr">
        <is>
          <t>A 15846-2022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44664</v>
      </c>
      <c r="E53" s="1" t="n">
        <v>46319</v>
      </c>
      <c r="F53" t="inlineStr">
        <is>
          <t>VÄSTERNORRLANDS LÄN</t>
        </is>
      </c>
      <c r="G53" t="inlineStr">
        <is>
          <t>HÄRNÖSAND</t>
        </is>
      </c>
      <c r="I53" t="n">
        <v>1.2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2</v>
      </c>
      <c r="T53" t="n">
        <v>2</v>
      </c>
      <c r="U53" t="n">
        <v>1</v>
      </c>
      <c r="V53" s="2" t="inlineStr">
        <is>
          <t>Öring
Vanlig groda</t>
        </is>
      </c>
      <c r="W53">
        <f>HYPERLINK("https://klasma.github.io/Logging_2280/artfynd/A 15846-2022 artfynd.xlsx", "A 15846-2022")</f>
        <v/>
      </c>
      <c r="X53">
        <f>HYPERLINK("https://klasma.github.io/Logging_2280/kartor/A 15846-2022 karta.png", "A 15846-2022")</f>
        <v/>
      </c>
      <c r="Y53">
        <f>HYPERLINK("https://klasma.github.io/Logging_2280/kartor_geotiff/A 15846-2022 georefererad karta.tif", "A 15846-2022")</f>
        <v/>
      </c>
      <c r="AA53">
        <f>HYPERLINK("https://klasma.github.io/Logging_2280/klagomål/A 15846-2022 FSC-klagomål.docx", "A 15846-2022")</f>
        <v/>
      </c>
      <c r="AB53">
        <f>HYPERLINK("https://klasma.github.io/Logging_2280/klagomålsmail/A 15846-2022 FSC-klagomål mail.docx", "A 15846-2022")</f>
        <v/>
      </c>
      <c r="AC53">
        <f>HYPERLINK("https://klasma.github.io/Logging_2280/tillsyn/A 15846-2022 tillsynsbegäran.docx", "A 15846-2022")</f>
        <v/>
      </c>
      <c r="AD53">
        <f>HYPERLINK("https://klasma.github.io/Logging_2280/tillsynsmail/A 15846-2022 tillsynsbegäran mail.docx", "A 15846-2022")</f>
        <v/>
      </c>
    </row>
    <row r="54" ht="15" customHeight="1">
      <c r="A54" t="inlineStr">
        <is>
          <t>A 20771-2026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46141</v>
      </c>
      <c r="E54" s="1" t="n">
        <v>46319</v>
      </c>
      <c r="F54" t="inlineStr">
        <is>
          <t>VÄSTERNORRLANDS LÄN</t>
        </is>
      </c>
      <c r="G54" t="inlineStr">
        <is>
          <t>HÄRNÖSAND</t>
        </is>
      </c>
      <c r="I54" t="n">
        <v>1</v>
      </c>
      <c r="J54" t="n">
        <v>2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2</v>
      </c>
      <c r="T54" t="n">
        <v>3</v>
      </c>
      <c r="U54" t="n">
        <v>0</v>
      </c>
      <c r="V54" s="2" t="inlineStr">
        <is>
          <t>Nordfladdermus
Tajgafladdermus</t>
        </is>
      </c>
      <c r="W54">
        <f>HYPERLINK("https://klasma.github.io/Logging_2280/artfynd/A 20771-2026 artfynd.xlsx", "A 20771-2026")</f>
        <v/>
      </c>
      <c r="X54">
        <f>HYPERLINK("https://klasma.github.io/Logging_2280/kartor/A 20771-2026 karta.png", "A 20771-2026")</f>
        <v/>
      </c>
      <c r="Y54">
        <f>HYPERLINK("https://klasma.github.io/Logging_2280/kartor_geotiff/A 20771-2026 georefererad karta.tif", "A 20771-2026")</f>
        <v/>
      </c>
      <c r="AA54">
        <f>HYPERLINK("https://klasma.github.io/Logging_2280/klagomål/A 20771-2026 FSC-klagomål.docx", "A 20771-2026")</f>
        <v/>
      </c>
      <c r="AB54">
        <f>HYPERLINK("https://klasma.github.io/Logging_2280/klagomålsmail/A 20771-2026 FSC-klagomål mail.docx", "A 20771-2026")</f>
        <v/>
      </c>
      <c r="AC54">
        <f>HYPERLINK("https://klasma.github.io/Logging_2280/tillsyn/A 20771-2026 tillsynsbegäran.docx", "A 20771-2026")</f>
        <v/>
      </c>
      <c r="AD54">
        <f>HYPERLINK("https://klasma.github.io/Logging_2280/tillsynsmail/A 20771-2026 tillsynsbegäran mail.docx", "A 20771-2026")</f>
        <v/>
      </c>
    </row>
    <row r="55" ht="15" customHeight="1">
      <c r="A55" t="inlineStr">
        <is>
          <t>A 47487-2025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45930</v>
      </c>
      <c r="E55" s="1" t="n">
        <v>46319</v>
      </c>
      <c r="F55" t="inlineStr">
        <is>
          <t>VÄSTERNORRLANDS LÄN</t>
        </is>
      </c>
      <c r="G55" t="inlineStr">
        <is>
          <t>HÄRNÖSAND</t>
        </is>
      </c>
      <c r="H55" t="inlineStr">
        <is>
          <t>SCA</t>
        </is>
      </c>
      <c r="I55" t="n">
        <v>1.3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2</v>
      </c>
      <c r="T55" t="n">
        <v>2</v>
      </c>
      <c r="U55" t="n">
        <v>0</v>
      </c>
      <c r="V55" s="2" t="inlineStr">
        <is>
          <t>Lunglav
Tjäder</t>
        </is>
      </c>
      <c r="W55">
        <f>HYPERLINK("https://klasma.github.io/Logging_2280/artfynd/A 47487-2025 artfynd.xlsx", "A 47487-2025")</f>
        <v/>
      </c>
      <c r="X55">
        <f>HYPERLINK("https://klasma.github.io/Logging_2280/kartor/A 47487-2025 karta.png", "A 47487-2025")</f>
        <v/>
      </c>
      <c r="Y55">
        <f>HYPERLINK("https://klasma.github.io/Logging_2280/kartor_geotiff/A 47487-2025 georefererad karta.tif", "A 47487-2025")</f>
        <v/>
      </c>
      <c r="AA55">
        <f>HYPERLINK("https://klasma.github.io/Logging_2280/klagomål/A 47487-2025 FSC-klagomål.docx", "A 47487-2025")</f>
        <v/>
      </c>
      <c r="AB55">
        <f>HYPERLINK("https://klasma.github.io/Logging_2280/klagomålsmail/A 47487-2025 FSC-klagomål mail.docx", "A 47487-2025")</f>
        <v/>
      </c>
      <c r="AC55">
        <f>HYPERLINK("https://klasma.github.io/Logging_2280/tillsyn/A 47487-2025 tillsynsbegäran.docx", "A 47487-2025")</f>
        <v/>
      </c>
      <c r="AD55">
        <f>HYPERLINK("https://klasma.github.io/Logging_2280/tillsynsmail/A 47487-2025 tillsynsbegäran mail.docx", "A 47487-2025")</f>
        <v/>
      </c>
      <c r="AE55">
        <f>HYPERLINK("https://klasma.github.io/Logging_2280/fåglar/A 47487-2025 prioriterade fågelarter.docx", "A 47487-2025")</f>
        <v/>
      </c>
    </row>
    <row r="56" ht="15" customHeight="1">
      <c r="A56" t="inlineStr">
        <is>
          <t>A 11973-2024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45376</v>
      </c>
      <c r="E56" s="1" t="n">
        <v>46319</v>
      </c>
      <c r="F56" t="inlineStr">
        <is>
          <t>VÄSTERNORRLANDS LÄN</t>
        </is>
      </c>
      <c r="G56" t="inlineStr">
        <is>
          <t>HÄRNÖSAND</t>
        </is>
      </c>
      <c r="H56" t="inlineStr">
        <is>
          <t>SCA</t>
        </is>
      </c>
      <c r="I56" t="n">
        <v>7.9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2</v>
      </c>
      <c r="R56" t="n">
        <v>1</v>
      </c>
      <c r="S56" t="n">
        <v>2</v>
      </c>
      <c r="T56" t="n">
        <v>2</v>
      </c>
      <c r="U56" t="n">
        <v>0</v>
      </c>
      <c r="V56" s="2" t="inlineStr">
        <is>
          <t>Garnlav
Violettgrå tagellav</t>
        </is>
      </c>
      <c r="W56">
        <f>HYPERLINK("https://klasma.github.io/Logging_2280/artfynd/A 11973-2024 artfynd.xlsx", "A 11973-2024")</f>
        <v/>
      </c>
      <c r="X56">
        <f>HYPERLINK("https://klasma.github.io/Logging_2280/kartor/A 11973-2024 karta.png", "A 11973-2024")</f>
        <v/>
      </c>
      <c r="Y56">
        <f>HYPERLINK("https://klasma.github.io/Logging_2280/kartor_geotiff/A 11973-2024 georefererad karta.tif", "A 11973-2024")</f>
        <v/>
      </c>
      <c r="AA56">
        <f>HYPERLINK("https://klasma.github.io/Logging_2280/klagomål/A 11973-2024 FSC-klagomål.docx", "A 11973-2024")</f>
        <v/>
      </c>
      <c r="AB56">
        <f>HYPERLINK("https://klasma.github.io/Logging_2280/klagomålsmail/A 11973-2024 FSC-klagomål mail.docx", "A 11973-2024")</f>
        <v/>
      </c>
      <c r="AC56">
        <f>HYPERLINK("https://klasma.github.io/Logging_2280/tillsyn/A 11973-2024 tillsynsbegäran.docx", "A 11973-2024")</f>
        <v/>
      </c>
      <c r="AD56">
        <f>HYPERLINK("https://klasma.github.io/Logging_2280/tillsynsmail/A 11973-2024 tillsynsbegäran mail.docx", "A 11973-2024")</f>
        <v/>
      </c>
    </row>
    <row r="57" ht="15" customHeight="1">
      <c r="A57" t="inlineStr">
        <is>
          <t>A 43251-2025</t>
        </is>
      </c>
      <c r="B57" t="inlineStr">
        <is>
          <t>avverkningsanmälan</t>
        </is>
      </c>
      <c r="C57" t="inlineStr">
        <is>
          <t>Avverkning för att bevara och utveckla /försöksver</t>
        </is>
      </c>
      <c r="D57" s="1" t="n">
        <v>45910</v>
      </c>
      <c r="E57" s="1" t="n">
        <v>46319</v>
      </c>
      <c r="F57" t="inlineStr">
        <is>
          <t>VÄSTERNORRLANDS LÄN</t>
        </is>
      </c>
      <c r="G57" t="inlineStr">
        <is>
          <t>HÄRNÖSAND</t>
        </is>
      </c>
      <c r="H57" t="inlineStr">
        <is>
          <t>SCA</t>
        </is>
      </c>
      <c r="I57" t="n">
        <v>4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2</v>
      </c>
      <c r="R57" t="n">
        <v>1</v>
      </c>
      <c r="S57" t="n">
        <v>2</v>
      </c>
      <c r="T57" t="n">
        <v>2</v>
      </c>
      <c r="U57" t="n">
        <v>0</v>
      </c>
      <c r="V57" s="2" t="inlineStr">
        <is>
          <t>Garnlav
Gammelgransskål</t>
        </is>
      </c>
      <c r="W57">
        <f>HYPERLINK("https://klasma.github.io/Logging_2280/artfynd/A 43251-2025 artfynd.xlsx", "A 43251-2025")</f>
        <v/>
      </c>
      <c r="X57">
        <f>HYPERLINK("https://klasma.github.io/Logging_2280/kartor/A 43251-2025 karta.png", "A 43251-2025")</f>
        <v/>
      </c>
      <c r="Y57">
        <f>HYPERLINK("https://klasma.github.io/Logging_2280/kartor_geotiff/A 43251-2025 georefererad karta.tif", "A 43251-2025")</f>
        <v/>
      </c>
      <c r="AA57">
        <f>HYPERLINK("https://klasma.github.io/Logging_2280/klagomål/A 43251-2025 FSC-klagomål.docx", "A 43251-2025")</f>
        <v/>
      </c>
      <c r="AB57">
        <f>HYPERLINK("https://klasma.github.io/Logging_2280/klagomålsmail/A 43251-2025 FSC-klagomål mail.docx", "A 43251-2025")</f>
        <v/>
      </c>
      <c r="AC57">
        <f>HYPERLINK("https://klasma.github.io/Logging_2280/tillsyn/A 43251-2025 tillsynsbegäran.docx", "A 43251-2025")</f>
        <v/>
      </c>
      <c r="AD57">
        <f>HYPERLINK("https://klasma.github.io/Logging_2280/tillsynsmail/A 43251-2025 tillsynsbegäran mail.docx", "A 43251-2025")</f>
        <v/>
      </c>
    </row>
    <row r="58" ht="15" customHeight="1">
      <c r="A58" t="inlineStr">
        <is>
          <t>A 62351-2023</t>
        </is>
      </c>
      <c r="B58" t="inlineStr">
        <is>
          <t>avverkningsanmälan</t>
        </is>
      </c>
      <c r="C58" t="inlineStr">
        <is>
          <t>Avverkning för att bevara och utveckla /försöksver</t>
        </is>
      </c>
      <c r="D58" s="1" t="n">
        <v>45267</v>
      </c>
      <c r="E58" s="1" t="n">
        <v>46319</v>
      </c>
      <c r="F58" t="inlineStr">
        <is>
          <t>VÄSTERNORRLANDS LÄN</t>
        </is>
      </c>
      <c r="G58" t="inlineStr">
        <is>
          <t>HÄRNÖSAND</t>
        </is>
      </c>
      <c r="H58" t="inlineStr">
        <is>
          <t>SCA</t>
        </is>
      </c>
      <c r="I58" t="n">
        <v>3.5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1</v>
      </c>
      <c r="S58" t="n">
        <v>2</v>
      </c>
      <c r="T58" t="n">
        <v>2</v>
      </c>
      <c r="U58" t="n">
        <v>2</v>
      </c>
      <c r="V58" s="2" t="inlineStr">
        <is>
          <t>Garnlav
Lunglav</t>
        </is>
      </c>
      <c r="W58">
        <f>HYPERLINK("https://klasma.github.io/Logging_2280/artfynd/A 62351-2023 artfynd.xlsx", "A 62351-2023")</f>
        <v/>
      </c>
      <c r="X58">
        <f>HYPERLINK("https://klasma.github.io/Logging_2280/kartor/A 62351-2023 karta.png", "A 62351-2023")</f>
        <v/>
      </c>
      <c r="Y58">
        <f>HYPERLINK("https://klasma.github.io/Logging_2280/kartor_geotiff/A 62351-2023 georefererad karta.tif", "A 62351-2023")</f>
        <v/>
      </c>
      <c r="AA58">
        <f>HYPERLINK("https://klasma.github.io/Logging_2280/klagomål/A 62351-2023 FSC-klagomål.docx", "A 62351-2023")</f>
        <v/>
      </c>
      <c r="AB58">
        <f>HYPERLINK("https://klasma.github.io/Logging_2280/klagomålsmail/A 62351-2023 FSC-klagomål mail.docx", "A 62351-2023")</f>
        <v/>
      </c>
      <c r="AC58">
        <f>HYPERLINK("https://klasma.github.io/Logging_2280/tillsyn/A 62351-2023 tillsynsbegäran.docx", "A 62351-2023")</f>
        <v/>
      </c>
      <c r="AD58">
        <f>HYPERLINK("https://klasma.github.io/Logging_2280/tillsynsmail/A 62351-2023 tillsynsbegäran mail.docx", "A 62351-2023")</f>
        <v/>
      </c>
    </row>
    <row r="59" ht="15" customHeight="1">
      <c r="A59" t="inlineStr">
        <is>
          <t>A 54964-2025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45967</v>
      </c>
      <c r="E59" s="1" t="n">
        <v>46319</v>
      </c>
      <c r="F59" t="inlineStr">
        <is>
          <t>VÄSTERNORRLANDS LÄN</t>
        </is>
      </c>
      <c r="G59" t="inlineStr">
        <is>
          <t>HÄRNÖSAND</t>
        </is>
      </c>
      <c r="H59" t="inlineStr">
        <is>
          <t>SCA</t>
        </is>
      </c>
      <c r="I59" t="n">
        <v>7.2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2</v>
      </c>
      <c r="R59" t="n">
        <v>1</v>
      </c>
      <c r="S59" t="n">
        <v>2</v>
      </c>
      <c r="T59" t="n">
        <v>2</v>
      </c>
      <c r="U59" t="n">
        <v>0</v>
      </c>
      <c r="V59" s="2" t="inlineStr">
        <is>
          <t>Garnlav
Gammelgransskål</t>
        </is>
      </c>
      <c r="W59">
        <f>HYPERLINK("https://klasma.github.io/Logging_2280/artfynd/A 54964-2025 artfynd.xlsx", "A 54964-2025")</f>
        <v/>
      </c>
      <c r="X59">
        <f>HYPERLINK("https://klasma.github.io/Logging_2280/kartor/A 54964-2025 karta.png", "A 54964-2025")</f>
        <v/>
      </c>
      <c r="Y59">
        <f>HYPERLINK("https://klasma.github.io/Logging_2280/kartor_geotiff/A 54964-2025 georefererad karta.tif", "A 54964-2025")</f>
        <v/>
      </c>
      <c r="AA59">
        <f>HYPERLINK("https://klasma.github.io/Logging_2280/klagomål/A 54964-2025 FSC-klagomål.docx", "A 54964-2025")</f>
        <v/>
      </c>
      <c r="AB59">
        <f>HYPERLINK("https://klasma.github.io/Logging_2280/klagomålsmail/A 54964-2025 FSC-klagomål mail.docx", "A 54964-2025")</f>
        <v/>
      </c>
      <c r="AC59">
        <f>HYPERLINK("https://klasma.github.io/Logging_2280/tillsyn/A 54964-2025 tillsynsbegäran.docx", "A 54964-2025")</f>
        <v/>
      </c>
      <c r="AD59">
        <f>HYPERLINK("https://klasma.github.io/Logging_2280/tillsynsmail/A 54964-2025 tillsynsbegäran mail.docx", "A 54964-2025")</f>
        <v/>
      </c>
    </row>
    <row r="60" ht="15" customHeight="1">
      <c r="A60" t="inlineStr">
        <is>
          <t>A 32857-2026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46244</v>
      </c>
      <c r="E60" s="1" t="n">
        <v>46319</v>
      </c>
      <c r="F60" t="inlineStr">
        <is>
          <t>VÄSTERNORRLANDS LÄN</t>
        </is>
      </c>
      <c r="G60" t="inlineStr">
        <is>
          <t>HÄRNÖSAND</t>
        </is>
      </c>
      <c r="H60" t="inlineStr">
        <is>
          <t>SCA</t>
        </is>
      </c>
      <c r="I60" t="n">
        <v>1.9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2</v>
      </c>
      <c r="R60" t="n">
        <v>0</v>
      </c>
      <c r="S60" t="n">
        <v>2</v>
      </c>
      <c r="T60" t="n">
        <v>2</v>
      </c>
      <c r="U60" t="n">
        <v>0</v>
      </c>
      <c r="V60" s="2" t="inlineStr">
        <is>
          <t>Rynkskinn
Ullticka</t>
        </is>
      </c>
      <c r="W60">
        <f>HYPERLINK("https://klasma.github.io/Logging_2280/artfynd/A 32857-2026 artfynd.xlsx", "A 32857-2026")</f>
        <v/>
      </c>
      <c r="X60">
        <f>HYPERLINK("https://klasma.github.io/Logging_2280/kartor/A 32857-2026 karta.png", "A 32857-2026")</f>
        <v/>
      </c>
      <c r="Y60">
        <f>HYPERLINK("https://klasma.github.io/Logging_2280/kartor_geotiff/A 32857-2026 georefererad karta.tif", "A 32857-2026")</f>
        <v/>
      </c>
      <c r="AA60">
        <f>HYPERLINK("https://klasma.github.io/Logging_2280/klagomål/A 32857-2026 FSC-klagomål.docx", "A 32857-2026")</f>
        <v/>
      </c>
      <c r="AB60">
        <f>HYPERLINK("https://klasma.github.io/Logging_2280/klagomålsmail/A 32857-2026 FSC-klagomål mail.docx", "A 32857-2026")</f>
        <v/>
      </c>
      <c r="AC60">
        <f>HYPERLINK("https://klasma.github.io/Logging_2280/tillsyn/A 32857-2026 tillsynsbegäran.docx", "A 32857-2026")</f>
        <v/>
      </c>
      <c r="AD60">
        <f>HYPERLINK("https://klasma.github.io/Logging_2280/tillsynsmail/A 32857-2026 tillsynsbegäran mail.docx", "A 32857-2026")</f>
        <v/>
      </c>
    </row>
    <row r="61" ht="15" customHeight="1">
      <c r="A61" t="inlineStr">
        <is>
          <t>A 52727-2022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44874</v>
      </c>
      <c r="E61" s="1" t="n">
        <v>46319</v>
      </c>
      <c r="F61" t="inlineStr">
        <is>
          <t>VÄSTERNORRLANDS LÄN</t>
        </is>
      </c>
      <c r="G61" t="inlineStr">
        <is>
          <t>HÄRNÖSAND</t>
        </is>
      </c>
      <c r="H61" t="inlineStr">
        <is>
          <t>SCA</t>
        </is>
      </c>
      <c r="I61" t="n">
        <v>3.4</v>
      </c>
      <c r="J61" t="n">
        <v>0</v>
      </c>
      <c r="K61" t="n">
        <v>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</v>
      </c>
      <c r="T61" t="n">
        <v>2</v>
      </c>
      <c r="U61" t="n">
        <v>0</v>
      </c>
      <c r="V61" s="2" t="inlineStr">
        <is>
          <t>Korallblylav
Skinnlav</t>
        </is>
      </c>
      <c r="W61">
        <f>HYPERLINK("https://klasma.github.io/Logging_2280/artfynd/A 52727-2022 artfynd.xlsx", "A 52727-2022")</f>
        <v/>
      </c>
      <c r="X61">
        <f>HYPERLINK("https://klasma.github.io/Logging_2280/kartor/A 52727-2022 karta.png", "A 52727-2022")</f>
        <v/>
      </c>
      <c r="Y61">
        <f>HYPERLINK("https://klasma.github.io/Logging_2280/kartor_geotiff/A 52727-2022 georefererad karta.tif", "A 52727-2022")</f>
        <v/>
      </c>
      <c r="AA61">
        <f>HYPERLINK("https://klasma.github.io/Logging_2280/klagomål/A 52727-2022 FSC-klagomål.docx", "A 52727-2022")</f>
        <v/>
      </c>
      <c r="AB61">
        <f>HYPERLINK("https://klasma.github.io/Logging_2280/klagomålsmail/A 52727-2022 FSC-klagomål mail.docx", "A 52727-2022")</f>
        <v/>
      </c>
      <c r="AC61">
        <f>HYPERLINK("https://klasma.github.io/Logging_2280/tillsyn/A 52727-2022 tillsynsbegäran.docx", "A 52727-2022")</f>
        <v/>
      </c>
      <c r="AD61">
        <f>HYPERLINK("https://klasma.github.io/Logging_2280/tillsynsmail/A 52727-2022 tillsynsbegäran mail.docx", "A 52727-2022")</f>
        <v/>
      </c>
    </row>
    <row r="62" ht="15" customHeight="1">
      <c r="A62" t="inlineStr">
        <is>
          <t>A 34545-2025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45847</v>
      </c>
      <c r="E62" s="1" t="n">
        <v>46319</v>
      </c>
      <c r="F62" t="inlineStr">
        <is>
          <t>VÄSTERNORRLANDS LÄN</t>
        </is>
      </c>
      <c r="G62" t="inlineStr">
        <is>
          <t>HÄRNÖSAND</t>
        </is>
      </c>
      <c r="H62" t="inlineStr">
        <is>
          <t>Kyrkan</t>
        </is>
      </c>
      <c r="I62" t="n">
        <v>9.699999999999999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2</v>
      </c>
      <c r="T62" t="n">
        <v>3</v>
      </c>
      <c r="U62" t="n">
        <v>3</v>
      </c>
      <c r="V62" s="2" t="inlineStr">
        <is>
          <t>Tretåig hackspett
Korallblylav</t>
        </is>
      </c>
      <c r="W62">
        <f>HYPERLINK("https://klasma.github.io/Logging_2280/artfynd/A 34545-2025 artfynd.xlsx", "A 34545-2025")</f>
        <v/>
      </c>
      <c r="X62">
        <f>HYPERLINK("https://klasma.github.io/Logging_2280/kartor/A 34545-2025 karta.png", "A 34545-2025")</f>
        <v/>
      </c>
      <c r="Y62">
        <f>HYPERLINK("https://klasma.github.io/Logging_2280/kartor_geotiff/A 34545-2025 georefererad karta.tif", "A 34545-2025")</f>
        <v/>
      </c>
      <c r="AA62">
        <f>HYPERLINK("https://klasma.github.io/Logging_2280/klagomål/A 34545-2025 FSC-klagomål.docx", "A 34545-2025")</f>
        <v/>
      </c>
      <c r="AB62">
        <f>HYPERLINK("https://klasma.github.io/Logging_2280/klagomålsmail/A 34545-2025 FSC-klagomål mail.docx", "A 34545-2025")</f>
        <v/>
      </c>
      <c r="AC62">
        <f>HYPERLINK("https://klasma.github.io/Logging_2280/tillsyn/A 34545-2025 tillsynsbegäran.docx", "A 34545-2025")</f>
        <v/>
      </c>
      <c r="AD62">
        <f>HYPERLINK("https://klasma.github.io/Logging_2280/tillsynsmail/A 34545-2025 tillsynsbegäran mail.docx", "A 34545-2025")</f>
        <v/>
      </c>
      <c r="AE62">
        <f>HYPERLINK("https://klasma.github.io/Logging_2280/fåglar/A 34545-2025 prioriterade fågelarter.docx", "A 34545-2025")</f>
        <v/>
      </c>
    </row>
    <row r="63" ht="15" customHeight="1">
      <c r="A63" t="inlineStr">
        <is>
          <t>A 32644-2024</t>
        </is>
      </c>
      <c r="B63" t="inlineStr">
        <is>
          <t>avverkningsanmälan</t>
        </is>
      </c>
      <c r="C63" t="inlineStr">
        <is>
          <t>Avverkning för att bevara och utveckla /försöksver</t>
        </is>
      </c>
      <c r="D63" s="1" t="n">
        <v>45513</v>
      </c>
      <c r="E63" s="1" t="n">
        <v>46319</v>
      </c>
      <c r="F63" t="inlineStr">
        <is>
          <t>VÄSTERNORRLANDS LÄN</t>
        </is>
      </c>
      <c r="G63" t="inlineStr">
        <is>
          <t>HÄRNÖSAND</t>
        </is>
      </c>
      <c r="H63" t="inlineStr">
        <is>
          <t>SCA</t>
        </is>
      </c>
      <c r="I63" t="n">
        <v>2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2</v>
      </c>
      <c r="T63" t="n">
        <v>2</v>
      </c>
      <c r="U63" t="n">
        <v>1</v>
      </c>
      <c r="V63" s="2" t="inlineStr">
        <is>
          <t>Ullticka
Skinnlav</t>
        </is>
      </c>
      <c r="W63">
        <f>HYPERLINK("https://klasma.github.io/Logging_2280/artfynd/A 32644-2024 artfynd.xlsx", "A 32644-2024")</f>
        <v/>
      </c>
      <c r="X63">
        <f>HYPERLINK("https://klasma.github.io/Logging_2280/kartor/A 32644-2024 karta.png", "A 32644-2024")</f>
        <v/>
      </c>
      <c r="Y63">
        <f>HYPERLINK("https://klasma.github.io/Logging_2280/kartor_geotiff/A 32644-2024 georefererad karta.tif", "A 32644-2024")</f>
        <v/>
      </c>
      <c r="AA63">
        <f>HYPERLINK("https://klasma.github.io/Logging_2280/klagomål/A 32644-2024 FSC-klagomål.docx", "A 32644-2024")</f>
        <v/>
      </c>
      <c r="AB63">
        <f>HYPERLINK("https://klasma.github.io/Logging_2280/klagomålsmail/A 32644-2024 FSC-klagomål mail.docx", "A 32644-2024")</f>
        <v/>
      </c>
      <c r="AC63">
        <f>HYPERLINK("https://klasma.github.io/Logging_2280/tillsyn/A 32644-2024 tillsynsbegäran.docx", "A 32644-2024")</f>
        <v/>
      </c>
      <c r="AD63">
        <f>HYPERLINK("https://klasma.github.io/Logging_2280/tillsynsmail/A 32644-2024 tillsynsbegäran mail.docx", "A 32644-2024")</f>
        <v/>
      </c>
    </row>
    <row r="64" ht="15" customHeight="1">
      <c r="A64" t="inlineStr">
        <is>
          <t>A 41976-2026</t>
        </is>
      </c>
      <c r="B64" t="inlineStr">
        <is>
          <t>avverkningsanmälan</t>
        </is>
      </c>
      <c r="C64" t="inlineStr">
        <is>
          <t>Avverkning för annat ändamål</t>
        </is>
      </c>
      <c r="D64" s="1" t="n">
        <v>46303</v>
      </c>
      <c r="E64" s="1" t="n">
        <v>46319</v>
      </c>
      <c r="F64" t="inlineStr">
        <is>
          <t>VÄSTERNORRLANDS LÄN</t>
        </is>
      </c>
      <c r="G64" t="inlineStr">
        <is>
          <t>HÄRNÖSAND</t>
        </is>
      </c>
      <c r="H64" t="inlineStr">
        <is>
          <t>Kommuner</t>
        </is>
      </c>
      <c r="I64" t="n">
        <v>1</v>
      </c>
      <c r="J64" t="n">
        <v>1</v>
      </c>
      <c r="K64" t="n">
        <v>0</v>
      </c>
      <c r="L64" t="n">
        <v>2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0</v>
      </c>
      <c r="S64" t="n">
        <v>2</v>
      </c>
      <c r="T64" t="n">
        <v>2</v>
      </c>
      <c r="U64" t="n">
        <v>0</v>
      </c>
      <c r="V64" s="2" t="inlineStr">
        <is>
          <t>Tretåig hackspett
Ullticka</t>
        </is>
      </c>
      <c r="W64">
        <f>HYPERLINK("https://klasma.github.io/Logging_2280/artfynd/A 41976-2026 artfynd.xlsx", "A 41976-2026")</f>
        <v/>
      </c>
      <c r="X64">
        <f>HYPERLINK("https://klasma.github.io/Logging_2280/kartor/A 41976-2026 karta.png", "A 41976-2026")</f>
        <v/>
      </c>
      <c r="Y64">
        <f>HYPERLINK("https://klasma.github.io/Logging_2280/kartor_geotiff/A 41976-2026 georefererad karta.tif", "A 41976-2026")</f>
        <v/>
      </c>
      <c r="AA64">
        <f>HYPERLINK("https://klasma.github.io/Logging_2280/klagomål/A 41976-2026 FSC-klagomål.docx", "A 41976-2026")</f>
        <v/>
      </c>
      <c r="AB64">
        <f>HYPERLINK("https://klasma.github.io/Logging_2280/klagomålsmail/A 41976-2026 FSC-klagomål mail.docx", "A 41976-2026")</f>
        <v/>
      </c>
      <c r="AC64">
        <f>HYPERLINK("https://klasma.github.io/Logging_2280/tillsyn/A 41976-2026 tillsynsbegäran.docx", "A 41976-2026")</f>
        <v/>
      </c>
      <c r="AD64">
        <f>HYPERLINK("https://klasma.github.io/Logging_2280/tillsynsmail/A 41976-2026 tillsynsbegäran mail.docx", "A 41976-2026")</f>
        <v/>
      </c>
      <c r="AE64">
        <f>HYPERLINK("https://klasma.github.io/Logging_2280/fåglar/A 41976-2026 prioriterade fågelarter.docx", "A 41976-2026")</f>
        <v/>
      </c>
    </row>
    <row r="65" ht="15" customHeight="1">
      <c r="A65" t="inlineStr">
        <is>
          <t>A 44901-2024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45575</v>
      </c>
      <c r="E65" s="1" t="n">
        <v>46319</v>
      </c>
      <c r="F65" t="inlineStr">
        <is>
          <t>VÄSTERNORRLANDS LÄN</t>
        </is>
      </c>
      <c r="G65" t="inlineStr">
        <is>
          <t>HÄRNÖSAND</t>
        </is>
      </c>
      <c r="I65" t="n">
        <v>3.3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2</v>
      </c>
      <c r="T65" t="n">
        <v>3</v>
      </c>
      <c r="U65" t="n">
        <v>3</v>
      </c>
      <c r="V65" s="2" t="inlineStr">
        <is>
          <t>Garnlav
Vedticka</t>
        </is>
      </c>
      <c r="W65">
        <f>HYPERLINK("https://klasma.github.io/Logging_2280/artfynd/A 44901-2024 artfynd.xlsx", "A 44901-2024")</f>
        <v/>
      </c>
      <c r="X65">
        <f>HYPERLINK("https://klasma.github.io/Logging_2280/kartor/A 44901-2024 karta.png", "A 44901-2024")</f>
        <v/>
      </c>
      <c r="Y65">
        <f>HYPERLINK("https://klasma.github.io/Logging_2280/kartor_geotiff/A 44901-2024 georefererad karta.tif", "A 44901-2024")</f>
        <v/>
      </c>
      <c r="AA65">
        <f>HYPERLINK("https://klasma.github.io/Logging_2280/klagomål/A 44901-2024 FSC-klagomål.docx", "A 44901-2024")</f>
        <v/>
      </c>
      <c r="AB65">
        <f>HYPERLINK("https://klasma.github.io/Logging_2280/klagomålsmail/A 44901-2024 FSC-klagomål mail.docx", "A 44901-2024")</f>
        <v/>
      </c>
      <c r="AC65">
        <f>HYPERLINK("https://klasma.github.io/Logging_2280/tillsyn/A 44901-2024 tillsynsbegäran.docx", "A 44901-2024")</f>
        <v/>
      </c>
      <c r="AD65">
        <f>HYPERLINK("https://klasma.github.io/Logging_2280/tillsynsmail/A 44901-2024 tillsynsbegäran mail.docx", "A 44901-2024")</f>
        <v/>
      </c>
    </row>
    <row r="66" ht="15" customHeight="1">
      <c r="A66" t="inlineStr">
        <is>
          <t>A 54894-2024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45618</v>
      </c>
      <c r="E66" s="1" t="n">
        <v>46319</v>
      </c>
      <c r="F66" t="inlineStr">
        <is>
          <t>VÄSTERNORRLANDS LÄN</t>
        </is>
      </c>
      <c r="G66" t="inlineStr">
        <is>
          <t>HÄRNÖSAND</t>
        </is>
      </c>
      <c r="H66" t="inlineStr">
        <is>
          <t>SCA</t>
        </is>
      </c>
      <c r="I66" t="n">
        <v>2.5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2</v>
      </c>
      <c r="R66" t="n">
        <v>1</v>
      </c>
      <c r="S66" t="n">
        <v>2</v>
      </c>
      <c r="T66" t="n">
        <v>2</v>
      </c>
      <c r="U66" t="n">
        <v>0</v>
      </c>
      <c r="V66" s="2" t="inlineStr">
        <is>
          <t>Garnlav
Lunglav</t>
        </is>
      </c>
      <c r="W66">
        <f>HYPERLINK("https://klasma.github.io/Logging_2280/artfynd/A 54894-2024 artfynd.xlsx", "A 54894-2024")</f>
        <v/>
      </c>
      <c r="X66">
        <f>HYPERLINK("https://klasma.github.io/Logging_2280/kartor/A 54894-2024 karta.png", "A 54894-2024")</f>
        <v/>
      </c>
      <c r="Y66">
        <f>HYPERLINK("https://klasma.github.io/Logging_2280/kartor_geotiff/A 54894-2024 georefererad karta.tif", "A 54894-2024")</f>
        <v/>
      </c>
      <c r="AA66">
        <f>HYPERLINK("https://klasma.github.io/Logging_2280/klagomål/A 54894-2024 FSC-klagomål.docx", "A 54894-2024")</f>
        <v/>
      </c>
      <c r="AB66">
        <f>HYPERLINK("https://klasma.github.io/Logging_2280/klagomålsmail/A 54894-2024 FSC-klagomål mail.docx", "A 54894-2024")</f>
        <v/>
      </c>
      <c r="AC66">
        <f>HYPERLINK("https://klasma.github.io/Logging_2280/tillsyn/A 54894-2024 tillsynsbegäran.docx", "A 54894-2024")</f>
        <v/>
      </c>
      <c r="AD66">
        <f>HYPERLINK("https://klasma.github.io/Logging_2280/tillsynsmail/A 54894-2024 tillsynsbegäran mail.docx", "A 54894-2024")</f>
        <v/>
      </c>
    </row>
    <row r="67" ht="15" customHeight="1">
      <c r="A67" t="inlineStr">
        <is>
          <t>S 3450-2025</t>
        </is>
      </c>
      <c r="B67" t="inlineStr">
        <is>
          <t>samrådsanmälan</t>
        </is>
      </c>
      <c r="C67" t="inlineStr">
        <is>
          <t>Annan skogsbruksåtgärd</t>
        </is>
      </c>
      <c r="D67" s="1" t="n">
        <v>45996</v>
      </c>
      <c r="E67" s="1" t="n">
        <v>46319</v>
      </c>
      <c r="F67" t="inlineStr">
        <is>
          <t>VÄSTERNORRLANDS LÄN</t>
        </is>
      </c>
      <c r="G67" t="inlineStr">
        <is>
          <t>HÄRNÖSAND</t>
        </is>
      </c>
      <c r="H67" t="inlineStr">
        <is>
          <t>SCA</t>
        </is>
      </c>
      <c r="I67" t="n">
        <v>2.8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2</v>
      </c>
      <c r="R67" t="n">
        <v>1</v>
      </c>
      <c r="S67" t="n">
        <v>2</v>
      </c>
      <c r="T67" t="n">
        <v>2</v>
      </c>
      <c r="U67" t="n">
        <v>0</v>
      </c>
      <c r="V67" s="2" t="inlineStr">
        <is>
          <t>Garnlav
Ullticka</t>
        </is>
      </c>
      <c r="W67">
        <f>HYPERLINK("https://klasma.github.io/Logging_2280/artfynd/S 3450-2025 artfynd.xlsx", "S 3450-2025")</f>
        <v/>
      </c>
      <c r="X67">
        <f>HYPERLINK("https://klasma.github.io/Logging_2280/kartor/S 3450-2025 karta.png", "S 3450-2025")</f>
        <v/>
      </c>
      <c r="Y67">
        <f>HYPERLINK("https://klasma.github.io/Logging_2280/kartor_geotiff/S 3450-2025 georefererad karta.tif", "S 3450-2025")</f>
        <v/>
      </c>
      <c r="AA67">
        <f>HYPERLINK("https://klasma.github.io/Logging_2280/klagomål/S 3450-2025 FSC-klagomål.docx", "S 3450-2025")</f>
        <v/>
      </c>
      <c r="AB67">
        <f>HYPERLINK("https://klasma.github.io/Logging_2280/klagomålsmail/S 3450-2025 FSC-klagomål mail.docx", "S 3450-2025")</f>
        <v/>
      </c>
      <c r="AC67">
        <f>HYPERLINK("https://klasma.github.io/Logging_2280/tillsyn/S 3450-2025 tillsynsbegäran.docx", "S 3450-2025")</f>
        <v/>
      </c>
      <c r="AD67">
        <f>HYPERLINK("https://klasma.github.io/Logging_2280/tillsynsmail/S 3450-2025 tillsynsbegäran mail.docx", "S 3450-2025")</f>
        <v/>
      </c>
    </row>
    <row r="68" ht="15" customHeight="1">
      <c r="A68" t="inlineStr">
        <is>
          <t>A 16974-2022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44676</v>
      </c>
      <c r="E68" s="1" t="n">
        <v>46319</v>
      </c>
      <c r="F68" t="inlineStr">
        <is>
          <t>VÄSTERNORRLANDS LÄN</t>
        </is>
      </c>
      <c r="G68" t="inlineStr">
        <is>
          <t>HÄRNÖSAND</t>
        </is>
      </c>
      <c r="I68" t="n">
        <v>3.4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1</v>
      </c>
      <c r="U68" t="n">
        <v>0</v>
      </c>
      <c r="V68" s="2" t="inlineStr">
        <is>
          <t>Ullticka</t>
        </is>
      </c>
      <c r="W68">
        <f>HYPERLINK("https://klasma.github.io/Logging_2280/artfynd/A 16974-2022 artfynd.xlsx", "A 16974-2022")</f>
        <v/>
      </c>
      <c r="X68">
        <f>HYPERLINK("https://klasma.github.io/Logging_2280/kartor/A 16974-2022 karta.png", "A 16974-2022")</f>
        <v/>
      </c>
      <c r="Y68">
        <f>HYPERLINK("https://klasma.github.io/Logging_2280/kartor_geotiff/A 16974-2022 georefererad karta.tif", "A 16974-2022")</f>
        <v/>
      </c>
      <c r="AA68">
        <f>HYPERLINK("https://klasma.github.io/Logging_2280/klagomål/A 16974-2022 FSC-klagomål.docx", "A 16974-2022")</f>
        <v/>
      </c>
      <c r="AB68">
        <f>HYPERLINK("https://klasma.github.io/Logging_2280/klagomålsmail/A 16974-2022 FSC-klagomål mail.docx", "A 16974-2022")</f>
        <v/>
      </c>
      <c r="AC68">
        <f>HYPERLINK("https://klasma.github.io/Logging_2280/tillsyn/A 16974-2022 tillsynsbegäran.docx", "A 16974-2022")</f>
        <v/>
      </c>
      <c r="AD68">
        <f>HYPERLINK("https://klasma.github.io/Logging_2280/tillsynsmail/A 16974-2022 tillsynsbegäran mail.docx", "A 16974-2022")</f>
        <v/>
      </c>
    </row>
    <row r="69" ht="15" customHeight="1">
      <c r="A69" t="inlineStr">
        <is>
          <t>A 3531-2022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44585</v>
      </c>
      <c r="E69" s="1" t="n">
        <v>46319</v>
      </c>
      <c r="F69" t="inlineStr">
        <is>
          <t>VÄSTERNORRLANDS LÄN</t>
        </is>
      </c>
      <c r="G69" t="inlineStr">
        <is>
          <t>HÄRNÖSAND</t>
        </is>
      </c>
      <c r="I69" t="n">
        <v>0.7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s="2" t="inlineStr">
        <is>
          <t>Mörk husmossa</t>
        </is>
      </c>
      <c r="W69">
        <f>HYPERLINK("https://klasma.github.io/Logging_2280/artfynd/A 3531-2022 artfynd.xlsx", "A 3531-2022")</f>
        <v/>
      </c>
      <c r="X69">
        <f>HYPERLINK("https://klasma.github.io/Logging_2280/kartor/A 3531-2022 karta.png", "A 3531-2022")</f>
        <v/>
      </c>
      <c r="Y69">
        <f>HYPERLINK("https://klasma.github.io/Logging_2280/kartor_geotiff/A 3531-2022 georefererad karta.tif", "A 3531-2022")</f>
        <v/>
      </c>
      <c r="AA69">
        <f>HYPERLINK("https://klasma.github.io/Logging_2280/klagomål/A 3531-2022 FSC-klagomål.docx", "A 3531-2022")</f>
        <v/>
      </c>
      <c r="AB69">
        <f>HYPERLINK("https://klasma.github.io/Logging_2280/klagomålsmail/A 3531-2022 FSC-klagomål mail.docx", "A 3531-2022")</f>
        <v/>
      </c>
      <c r="AC69">
        <f>HYPERLINK("https://klasma.github.io/Logging_2280/tillsyn/A 3531-2022 tillsynsbegäran.docx", "A 3531-2022")</f>
        <v/>
      </c>
      <c r="AD69">
        <f>HYPERLINK("https://klasma.github.io/Logging_2280/tillsynsmail/A 3531-2022 tillsynsbegäran mail.docx", "A 3531-2022")</f>
        <v/>
      </c>
    </row>
    <row r="70" ht="15" customHeight="1">
      <c r="A70" t="inlineStr">
        <is>
          <t>A 14597-2022</t>
        </is>
      </c>
      <c r="B70" t="inlineStr">
        <is>
          <t>avverkningsanmälan</t>
        </is>
      </c>
      <c r="C70" t="inlineStr">
        <is>
          <t>Avverkning för annat ändamål</t>
        </is>
      </c>
      <c r="D70" s="1" t="n">
        <v>44655</v>
      </c>
      <c r="E70" s="1" t="n">
        <v>46319</v>
      </c>
      <c r="F70" t="inlineStr">
        <is>
          <t>VÄSTERNORRLANDS LÄN</t>
        </is>
      </c>
      <c r="G70" t="inlineStr">
        <is>
          <t>HÄRNÖSAND</t>
        </is>
      </c>
      <c r="I70" t="n">
        <v>1.6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s="2" t="inlineStr">
        <is>
          <t>Utter</t>
        </is>
      </c>
      <c r="W70">
        <f>HYPERLINK("https://klasma.github.io/Logging_2280/artfynd/A 14597-2022 artfynd.xlsx", "A 14597-2022")</f>
        <v/>
      </c>
      <c r="X70">
        <f>HYPERLINK("https://klasma.github.io/Logging_2280/kartor/A 14597-2022 karta.png", "A 14597-2022")</f>
        <v/>
      </c>
      <c r="Y70">
        <f>HYPERLINK("https://klasma.github.io/Logging_2280/kartor_geotiff/A 14597-2022 georefererad karta.tif", "A 14597-2022")</f>
        <v/>
      </c>
      <c r="AA70">
        <f>HYPERLINK("https://klasma.github.io/Logging_2280/klagomål/A 14597-2022 FSC-klagomål.docx", "A 14597-2022")</f>
        <v/>
      </c>
      <c r="AB70">
        <f>HYPERLINK("https://klasma.github.io/Logging_2280/klagomålsmail/A 14597-2022 FSC-klagomål mail.docx", "A 14597-2022")</f>
        <v/>
      </c>
      <c r="AC70">
        <f>HYPERLINK("https://klasma.github.io/Logging_2280/tillsyn/A 14597-2022 tillsynsbegäran.docx", "A 14597-2022")</f>
        <v/>
      </c>
      <c r="AD70">
        <f>HYPERLINK("https://klasma.github.io/Logging_2280/tillsynsmail/A 14597-2022 tillsynsbegäran mail.docx", "A 14597-2022")</f>
        <v/>
      </c>
    </row>
    <row r="71" ht="15" customHeight="1">
      <c r="A71" t="inlineStr">
        <is>
          <t>A 45060-2025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45919</v>
      </c>
      <c r="E71" s="1" t="n">
        <v>46319</v>
      </c>
      <c r="F71" t="inlineStr">
        <is>
          <t>VÄSTERNORRLANDS LÄN</t>
        </is>
      </c>
      <c r="G71" t="inlineStr">
        <is>
          <t>HÄRNÖSAND</t>
        </is>
      </c>
      <c r="H71" t="inlineStr">
        <is>
          <t>SCA</t>
        </is>
      </c>
      <c r="I71" t="n">
        <v>7.4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1</v>
      </c>
      <c r="U71" t="n">
        <v>0</v>
      </c>
      <c r="V71" s="2" t="inlineStr">
        <is>
          <t>Gammelgransskål</t>
        </is>
      </c>
      <c r="W71">
        <f>HYPERLINK("https://klasma.github.io/Logging_2280/artfynd/A 45060-2025 artfynd.xlsx", "A 45060-2025")</f>
        <v/>
      </c>
      <c r="X71">
        <f>HYPERLINK("https://klasma.github.io/Logging_2280/kartor/A 45060-2025 karta.png", "A 45060-2025")</f>
        <v/>
      </c>
      <c r="Y71">
        <f>HYPERLINK("https://klasma.github.io/Logging_2280/kartor_geotiff/A 45060-2025 georefererad karta.tif", "A 45060-2025")</f>
        <v/>
      </c>
      <c r="AA71">
        <f>HYPERLINK("https://klasma.github.io/Logging_2280/klagomål/A 45060-2025 FSC-klagomål.docx", "A 45060-2025")</f>
        <v/>
      </c>
      <c r="AB71">
        <f>HYPERLINK("https://klasma.github.io/Logging_2280/klagomålsmail/A 45060-2025 FSC-klagomål mail.docx", "A 45060-2025")</f>
        <v/>
      </c>
      <c r="AC71">
        <f>HYPERLINK("https://klasma.github.io/Logging_2280/tillsyn/A 45060-2025 tillsynsbegäran.docx", "A 45060-2025")</f>
        <v/>
      </c>
      <c r="AD71">
        <f>HYPERLINK("https://klasma.github.io/Logging_2280/tillsynsmail/A 45060-2025 tillsynsbegäran mail.docx", "A 45060-2025")</f>
        <v/>
      </c>
    </row>
    <row r="72" ht="15" customHeight="1">
      <c r="A72" t="inlineStr">
        <is>
          <t>A 40265-2024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45554</v>
      </c>
      <c r="E72" s="1" t="n">
        <v>46319</v>
      </c>
      <c r="F72" t="inlineStr">
        <is>
          <t>VÄSTERNORRLANDS LÄN</t>
        </is>
      </c>
      <c r="G72" t="inlineStr">
        <is>
          <t>HÄRNÖSAND</t>
        </is>
      </c>
      <c r="I72" t="n">
        <v>4.9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s="2" t="inlineStr">
        <is>
          <t>Stor aspticka</t>
        </is>
      </c>
      <c r="W72">
        <f>HYPERLINK("https://klasma.github.io/Logging_2280/artfynd/A 40265-2024 artfynd.xlsx", "A 40265-2024")</f>
        <v/>
      </c>
      <c r="X72">
        <f>HYPERLINK("https://klasma.github.io/Logging_2280/kartor/A 40265-2024 karta.png", "A 40265-2024")</f>
        <v/>
      </c>
      <c r="Y72">
        <f>HYPERLINK("https://klasma.github.io/Logging_2280/kartor_geotiff/A 40265-2024 georefererad karta.tif", "A 40265-2024")</f>
        <v/>
      </c>
      <c r="AA72">
        <f>HYPERLINK("https://klasma.github.io/Logging_2280/klagomål/A 40265-2024 FSC-klagomål.docx", "A 40265-2024")</f>
        <v/>
      </c>
      <c r="AB72">
        <f>HYPERLINK("https://klasma.github.io/Logging_2280/klagomålsmail/A 40265-2024 FSC-klagomål mail.docx", "A 40265-2024")</f>
        <v/>
      </c>
      <c r="AC72">
        <f>HYPERLINK("https://klasma.github.io/Logging_2280/tillsyn/A 40265-2024 tillsynsbegäran.docx", "A 40265-2024")</f>
        <v/>
      </c>
      <c r="AD72">
        <f>HYPERLINK("https://klasma.github.io/Logging_2280/tillsynsmail/A 40265-2024 tillsynsbegäran mail.docx", "A 40265-2024")</f>
        <v/>
      </c>
    </row>
    <row r="73" ht="15" customHeight="1">
      <c r="A73" t="inlineStr">
        <is>
          <t>A 63724-2023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45276</v>
      </c>
      <c r="E73" s="1" t="n">
        <v>46319</v>
      </c>
      <c r="F73" t="inlineStr">
        <is>
          <t>VÄSTERNORRLANDS LÄN</t>
        </is>
      </c>
      <c r="G73" t="inlineStr">
        <is>
          <t>HÄRNÖSAND</t>
        </is>
      </c>
      <c r="I73" t="n">
        <v>10.1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2</v>
      </c>
      <c r="U73" t="n">
        <v>0</v>
      </c>
      <c r="V73" s="2" t="inlineStr">
        <is>
          <t>Älg</t>
        </is>
      </c>
      <c r="W73">
        <f>HYPERLINK("https://klasma.github.io/Logging_2280/artfynd/A 63724-2023 artfynd.xlsx", "A 63724-2023")</f>
        <v/>
      </c>
      <c r="X73">
        <f>HYPERLINK("https://klasma.github.io/Logging_2280/kartor/A 63724-2023 karta.png", "A 63724-2023")</f>
        <v/>
      </c>
      <c r="Y73">
        <f>HYPERLINK("https://klasma.github.io/Logging_2280/kartor_geotiff/A 63724-2023 georefererad karta.tif", "A 63724-2023")</f>
        <v/>
      </c>
      <c r="AA73">
        <f>HYPERLINK("https://klasma.github.io/Logging_2280/klagomål/A 63724-2023 FSC-klagomål.docx", "A 63724-2023")</f>
        <v/>
      </c>
      <c r="AB73">
        <f>HYPERLINK("https://klasma.github.io/Logging_2280/klagomålsmail/A 63724-2023 FSC-klagomål mail.docx", "A 63724-2023")</f>
        <v/>
      </c>
      <c r="AC73">
        <f>HYPERLINK("https://klasma.github.io/Logging_2280/tillsyn/A 63724-2023 tillsynsbegäran.docx", "A 63724-2023")</f>
        <v/>
      </c>
      <c r="AD73">
        <f>HYPERLINK("https://klasma.github.io/Logging_2280/tillsynsmail/A 63724-2023 tillsynsbegäran mail.docx", "A 63724-2023")</f>
        <v/>
      </c>
    </row>
    <row r="74" ht="15" customHeight="1">
      <c r="A74" t="inlineStr">
        <is>
          <t>A 25340-2026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46176</v>
      </c>
      <c r="E74" s="1" t="n">
        <v>46319</v>
      </c>
      <c r="F74" t="inlineStr">
        <is>
          <t>VÄSTERNORRLANDS LÄN</t>
        </is>
      </c>
      <c r="G74" t="inlineStr">
        <is>
          <t>HÄRNÖSAND</t>
        </is>
      </c>
      <c r="H74" t="inlineStr">
        <is>
          <t>SCA</t>
        </is>
      </c>
      <c r="I74" t="n">
        <v>1.5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2</v>
      </c>
      <c r="U74" t="n">
        <v>0</v>
      </c>
      <c r="V74" s="2" t="inlineStr">
        <is>
          <t>Garnlav</t>
        </is>
      </c>
      <c r="W74">
        <f>HYPERLINK("https://klasma.github.io/Logging_2280/artfynd/A 25340-2026 artfynd.xlsx", "A 25340-2026")</f>
        <v/>
      </c>
      <c r="X74">
        <f>HYPERLINK("https://klasma.github.io/Logging_2280/kartor/A 25340-2026 karta.png", "A 25340-2026")</f>
        <v/>
      </c>
      <c r="Y74">
        <f>HYPERLINK("https://klasma.github.io/Logging_2280/kartor_geotiff/A 25340-2026 georefererad karta.tif", "A 25340-2026")</f>
        <v/>
      </c>
      <c r="AA74">
        <f>HYPERLINK("https://klasma.github.io/Logging_2280/klagomål/A 25340-2026 FSC-klagomål.docx", "A 25340-2026")</f>
        <v/>
      </c>
      <c r="AB74">
        <f>HYPERLINK("https://klasma.github.io/Logging_2280/klagomålsmail/A 25340-2026 FSC-klagomål mail.docx", "A 25340-2026")</f>
        <v/>
      </c>
      <c r="AC74">
        <f>HYPERLINK("https://klasma.github.io/Logging_2280/tillsyn/A 25340-2026 tillsynsbegäran.docx", "A 25340-2026")</f>
        <v/>
      </c>
      <c r="AD74">
        <f>HYPERLINK("https://klasma.github.io/Logging_2280/tillsynsmail/A 25340-2026 tillsynsbegäran mail.docx", "A 25340-2026")</f>
        <v/>
      </c>
    </row>
    <row r="75" ht="15" customHeight="1">
      <c r="A75" t="inlineStr">
        <is>
          <t>A 27457-2026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46189</v>
      </c>
      <c r="E75" s="1" t="n">
        <v>46319</v>
      </c>
      <c r="F75" t="inlineStr">
        <is>
          <t>VÄSTERNORRLANDS LÄN</t>
        </is>
      </c>
      <c r="G75" t="inlineStr">
        <is>
          <t>HÄRNÖSAND</t>
        </is>
      </c>
      <c r="I75" t="n">
        <v>3.8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1</v>
      </c>
      <c r="U75" t="n">
        <v>0</v>
      </c>
      <c r="V75" s="2" t="inlineStr">
        <is>
          <t>Ullticka</t>
        </is>
      </c>
      <c r="W75">
        <f>HYPERLINK("https://klasma.github.io/Logging_2280/artfynd/A 27457-2026 artfynd.xlsx", "A 27457-2026")</f>
        <v/>
      </c>
      <c r="X75">
        <f>HYPERLINK("https://klasma.github.io/Logging_2280/kartor/A 27457-2026 karta.png", "A 27457-2026")</f>
        <v/>
      </c>
      <c r="Y75">
        <f>HYPERLINK("https://klasma.github.io/Logging_2280/kartor_geotiff/A 27457-2026 georefererad karta.tif", "A 27457-2026")</f>
        <v/>
      </c>
      <c r="AA75">
        <f>HYPERLINK("https://klasma.github.io/Logging_2280/klagomål/A 27457-2026 FSC-klagomål.docx", "A 27457-2026")</f>
        <v/>
      </c>
      <c r="AB75">
        <f>HYPERLINK("https://klasma.github.io/Logging_2280/klagomålsmail/A 27457-2026 FSC-klagomål mail.docx", "A 27457-2026")</f>
        <v/>
      </c>
      <c r="AC75">
        <f>HYPERLINK("https://klasma.github.io/Logging_2280/tillsyn/A 27457-2026 tillsynsbegäran.docx", "A 27457-2026")</f>
        <v/>
      </c>
      <c r="AD75">
        <f>HYPERLINK("https://klasma.github.io/Logging_2280/tillsynsmail/A 27457-2026 tillsynsbegäran mail.docx", "A 27457-2026")</f>
        <v/>
      </c>
    </row>
    <row r="76" ht="15" customHeight="1">
      <c r="A76" t="inlineStr">
        <is>
          <t>A 26664-2026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46184</v>
      </c>
      <c r="E76" s="1" t="n">
        <v>46319</v>
      </c>
      <c r="F76" t="inlineStr">
        <is>
          <t>VÄSTERNORRLANDS LÄN</t>
        </is>
      </c>
      <c r="G76" t="inlineStr">
        <is>
          <t>HÄRNÖSAND</t>
        </is>
      </c>
      <c r="I76" t="n">
        <v>4.8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1</v>
      </c>
      <c r="U76" t="n">
        <v>0</v>
      </c>
      <c r="V76" s="2" t="inlineStr">
        <is>
          <t>Duvhök</t>
        </is>
      </c>
      <c r="W76">
        <f>HYPERLINK("https://klasma.github.io/Logging_2280/artfynd/A 26664-2026 artfynd.xlsx", "A 26664-2026")</f>
        <v/>
      </c>
      <c r="X76">
        <f>HYPERLINK("https://klasma.github.io/Logging_2280/kartor/A 26664-2026 karta.png", "A 26664-2026")</f>
        <v/>
      </c>
      <c r="Y76">
        <f>HYPERLINK("https://klasma.github.io/Logging_2280/kartor_geotiff/A 26664-2026 georefererad karta.tif", "A 26664-2026")</f>
        <v/>
      </c>
      <c r="AA76">
        <f>HYPERLINK("https://klasma.github.io/Logging_2280/klagomål/A 26664-2026 FSC-klagomål.docx", "A 26664-2026")</f>
        <v/>
      </c>
      <c r="AB76">
        <f>HYPERLINK("https://klasma.github.io/Logging_2280/klagomålsmail/A 26664-2026 FSC-klagomål mail.docx", "A 26664-2026")</f>
        <v/>
      </c>
      <c r="AC76">
        <f>HYPERLINK("https://klasma.github.io/Logging_2280/tillsyn/A 26664-2026 tillsynsbegäran.docx", "A 26664-2026")</f>
        <v/>
      </c>
      <c r="AD76">
        <f>HYPERLINK("https://klasma.github.io/Logging_2280/tillsynsmail/A 26664-2026 tillsynsbegäran mail.docx", "A 26664-2026")</f>
        <v/>
      </c>
      <c r="AE76">
        <f>HYPERLINK("https://klasma.github.io/Logging_2280/fåglar/A 26664-2026 prioriterade fågelarter.docx", "A 26664-2026")</f>
        <v/>
      </c>
    </row>
    <row r="77" ht="15" customHeight="1">
      <c r="A77" t="inlineStr">
        <is>
          <t>A 19077-2024</t>
        </is>
      </c>
      <c r="B77" t="inlineStr">
        <is>
          <t>avverkningsanmälan</t>
        </is>
      </c>
      <c r="C77" t="inlineStr">
        <is>
          <t>Avverkning för att bevara och utveckla /försöksver</t>
        </is>
      </c>
      <c r="D77" s="1" t="n">
        <v>45428</v>
      </c>
      <c r="E77" s="1" t="n">
        <v>46319</v>
      </c>
      <c r="F77" t="inlineStr">
        <is>
          <t>VÄSTERNORRLANDS LÄN</t>
        </is>
      </c>
      <c r="G77" t="inlineStr">
        <is>
          <t>HÄRNÖSAND</t>
        </is>
      </c>
      <c r="H77" t="inlineStr">
        <is>
          <t>SCA</t>
        </is>
      </c>
      <c r="I77" t="n">
        <v>3.3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s="2" t="inlineStr">
        <is>
          <t>Garnlav</t>
        </is>
      </c>
      <c r="W77">
        <f>HYPERLINK("https://klasma.github.io/Logging_2280/artfynd/A 19077-2024 artfynd.xlsx", "A 19077-2024")</f>
        <v/>
      </c>
      <c r="X77">
        <f>HYPERLINK("https://klasma.github.io/Logging_2280/kartor/A 19077-2024 karta.png", "A 19077-2024")</f>
        <v/>
      </c>
      <c r="Y77">
        <f>HYPERLINK("https://klasma.github.io/Logging_2280/kartor_geotiff/A 19077-2024 georefererad karta.tif", "A 19077-2024")</f>
        <v/>
      </c>
      <c r="AA77">
        <f>HYPERLINK("https://klasma.github.io/Logging_2280/klagomål/A 19077-2024 FSC-klagomål.docx", "A 19077-2024")</f>
        <v/>
      </c>
      <c r="AB77">
        <f>HYPERLINK("https://klasma.github.io/Logging_2280/klagomålsmail/A 19077-2024 FSC-klagomål mail.docx", "A 19077-2024")</f>
        <v/>
      </c>
      <c r="AC77">
        <f>HYPERLINK("https://klasma.github.io/Logging_2280/tillsyn/A 19077-2024 tillsynsbegäran.docx", "A 19077-2024")</f>
        <v/>
      </c>
      <c r="AD77">
        <f>HYPERLINK("https://klasma.github.io/Logging_2280/tillsynsmail/A 19077-2024 tillsynsbegäran mail.docx", "A 19077-2024")</f>
        <v/>
      </c>
    </row>
    <row r="78" ht="15" customHeight="1">
      <c r="A78" t="inlineStr">
        <is>
          <t>A 8407-2024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45352</v>
      </c>
      <c r="E78" s="1" t="n">
        <v>46319</v>
      </c>
      <c r="F78" t="inlineStr">
        <is>
          <t>VÄSTERNORRLANDS LÄN</t>
        </is>
      </c>
      <c r="G78" t="inlineStr">
        <is>
          <t>HÄRNÖSAND</t>
        </is>
      </c>
      <c r="H78" t="inlineStr">
        <is>
          <t>SCA</t>
        </is>
      </c>
      <c r="I78" t="n">
        <v>1.4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1</v>
      </c>
      <c r="U78" t="n">
        <v>0</v>
      </c>
      <c r="V78" s="2" t="inlineStr">
        <is>
          <t>Lunglav</t>
        </is>
      </c>
      <c r="W78">
        <f>HYPERLINK("https://klasma.github.io/Logging_2280/artfynd/A 8407-2024 artfynd.xlsx", "A 8407-2024")</f>
        <v/>
      </c>
      <c r="X78">
        <f>HYPERLINK("https://klasma.github.io/Logging_2280/kartor/A 8407-2024 karta.png", "A 8407-2024")</f>
        <v/>
      </c>
      <c r="Y78">
        <f>HYPERLINK("https://klasma.github.io/Logging_2280/kartor_geotiff/A 8407-2024 georefererad karta.tif", "A 8407-2024")</f>
        <v/>
      </c>
      <c r="AA78">
        <f>HYPERLINK("https://klasma.github.io/Logging_2280/klagomål/A 8407-2024 FSC-klagomål.docx", "A 8407-2024")</f>
        <v/>
      </c>
      <c r="AB78">
        <f>HYPERLINK("https://klasma.github.io/Logging_2280/klagomålsmail/A 8407-2024 FSC-klagomål mail.docx", "A 8407-2024")</f>
        <v/>
      </c>
      <c r="AC78">
        <f>HYPERLINK("https://klasma.github.io/Logging_2280/tillsyn/A 8407-2024 tillsynsbegäran.docx", "A 8407-2024")</f>
        <v/>
      </c>
      <c r="AD78">
        <f>HYPERLINK("https://klasma.github.io/Logging_2280/tillsynsmail/A 8407-2024 tillsynsbegäran mail.docx", "A 8407-2024")</f>
        <v/>
      </c>
    </row>
    <row r="79" ht="15" customHeight="1">
      <c r="A79" t="inlineStr">
        <is>
          <t>A 30907-2026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46213</v>
      </c>
      <c r="E79" s="1" t="n">
        <v>46319</v>
      </c>
      <c r="F79" t="inlineStr">
        <is>
          <t>VÄSTERNORRLANDS LÄN</t>
        </is>
      </c>
      <c r="G79" t="inlineStr">
        <is>
          <t>HÄRNÖSAND</t>
        </is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1</v>
      </c>
      <c r="V79" s="2" t="inlineStr">
        <is>
          <t>Spillkråka</t>
        </is>
      </c>
      <c r="W79">
        <f>HYPERLINK("https://klasma.github.io/Logging_2280/artfynd/A 30907-2026 artfynd.xlsx", "A 30907-2026")</f>
        <v/>
      </c>
      <c r="X79">
        <f>HYPERLINK("https://klasma.github.io/Logging_2280/kartor/A 30907-2026 karta.png", "A 30907-2026")</f>
        <v/>
      </c>
      <c r="Y79">
        <f>HYPERLINK("https://klasma.github.io/Logging_2280/kartor_geotiff/A 30907-2026 georefererad karta.tif", "A 30907-2026")</f>
        <v/>
      </c>
      <c r="AA79">
        <f>HYPERLINK("https://klasma.github.io/Logging_2280/klagomål/A 30907-2026 FSC-klagomål.docx", "A 30907-2026")</f>
        <v/>
      </c>
      <c r="AB79">
        <f>HYPERLINK("https://klasma.github.io/Logging_2280/klagomålsmail/A 30907-2026 FSC-klagomål mail.docx", "A 30907-2026")</f>
        <v/>
      </c>
      <c r="AC79">
        <f>HYPERLINK("https://klasma.github.io/Logging_2280/tillsyn/A 30907-2026 tillsynsbegäran.docx", "A 30907-2026")</f>
        <v/>
      </c>
      <c r="AD79">
        <f>HYPERLINK("https://klasma.github.io/Logging_2280/tillsynsmail/A 30907-2026 tillsynsbegäran mail.docx", "A 30907-2026")</f>
        <v/>
      </c>
      <c r="AE79">
        <f>HYPERLINK("https://klasma.github.io/Logging_2280/fåglar/A 30907-2026 prioriterade fågelarter.docx", "A 30907-2026")</f>
        <v/>
      </c>
    </row>
    <row r="80" ht="15" customHeight="1">
      <c r="A80" t="inlineStr">
        <is>
          <t>A 1190-2026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46031</v>
      </c>
      <c r="E80" s="1" t="n">
        <v>46319</v>
      </c>
      <c r="F80" t="inlineStr">
        <is>
          <t>VÄSTERNORRLANDS LÄN</t>
        </is>
      </c>
      <c r="G80" t="inlineStr">
        <is>
          <t>HÄRNÖSAND</t>
        </is>
      </c>
      <c r="I80" t="n">
        <v>3.5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1</v>
      </c>
      <c r="U80" t="n">
        <v>0</v>
      </c>
      <c r="V80" s="2" t="inlineStr">
        <is>
          <t>Tretåig hackspett</t>
        </is>
      </c>
      <c r="W80">
        <f>HYPERLINK("https://klasma.github.io/Logging_2280/artfynd/A 1190-2026 artfynd.xlsx", "A 1190-2026")</f>
        <v/>
      </c>
      <c r="X80">
        <f>HYPERLINK("https://klasma.github.io/Logging_2280/kartor/A 1190-2026 karta.png", "A 1190-2026")</f>
        <v/>
      </c>
      <c r="Y80">
        <f>HYPERLINK("https://klasma.github.io/Logging_2280/kartor_geotiff/A 1190-2026 georefererad karta.tif", "A 1190-2026")</f>
        <v/>
      </c>
      <c r="AA80">
        <f>HYPERLINK("https://klasma.github.io/Logging_2280/klagomål/A 1190-2026 FSC-klagomål.docx", "A 1190-2026")</f>
        <v/>
      </c>
      <c r="AB80">
        <f>HYPERLINK("https://klasma.github.io/Logging_2280/klagomålsmail/A 1190-2026 FSC-klagomål mail.docx", "A 1190-2026")</f>
        <v/>
      </c>
      <c r="AC80">
        <f>HYPERLINK("https://klasma.github.io/Logging_2280/tillsyn/A 1190-2026 tillsynsbegäran.docx", "A 1190-2026")</f>
        <v/>
      </c>
      <c r="AD80">
        <f>HYPERLINK("https://klasma.github.io/Logging_2280/tillsynsmail/A 1190-2026 tillsynsbegäran mail.docx", "A 1190-2026")</f>
        <v/>
      </c>
      <c r="AE80">
        <f>HYPERLINK("https://klasma.github.io/Logging_2280/fåglar/A 1190-2026 prioriterade fågelarter.docx", "A 1190-2026")</f>
        <v/>
      </c>
    </row>
    <row r="81" ht="15" customHeight="1">
      <c r="A81" t="inlineStr">
        <is>
          <t>A 26174-2025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45805</v>
      </c>
      <c r="E81" s="1" t="n">
        <v>46319</v>
      </c>
      <c r="F81" t="inlineStr">
        <is>
          <t>VÄSTERNORRLANDS LÄN</t>
        </is>
      </c>
      <c r="G81" t="inlineStr">
        <is>
          <t>HÄRNÖSAND</t>
        </is>
      </c>
      <c r="I81" t="n">
        <v>1.5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1</v>
      </c>
      <c r="U81" t="n">
        <v>1</v>
      </c>
      <c r="V81" s="2" t="inlineStr">
        <is>
          <t>Lunglav</t>
        </is>
      </c>
      <c r="W81">
        <f>HYPERLINK("https://klasma.github.io/Logging_2280/artfynd/A 26174-2025 artfynd.xlsx", "A 26174-2025")</f>
        <v/>
      </c>
      <c r="X81">
        <f>HYPERLINK("https://klasma.github.io/Logging_2280/kartor/A 26174-2025 karta.png", "A 26174-2025")</f>
        <v/>
      </c>
      <c r="Y81">
        <f>HYPERLINK("https://klasma.github.io/Logging_2280/kartor_geotiff/A 26174-2025 georefererad karta.tif", "A 26174-2025")</f>
        <v/>
      </c>
      <c r="AA81">
        <f>HYPERLINK("https://klasma.github.io/Logging_2280/klagomål/A 26174-2025 FSC-klagomål.docx", "A 26174-2025")</f>
        <v/>
      </c>
      <c r="AB81">
        <f>HYPERLINK("https://klasma.github.io/Logging_2280/klagomålsmail/A 26174-2025 FSC-klagomål mail.docx", "A 26174-2025")</f>
        <v/>
      </c>
      <c r="AC81">
        <f>HYPERLINK("https://klasma.github.io/Logging_2280/tillsyn/A 26174-2025 tillsynsbegäran.docx", "A 26174-2025")</f>
        <v/>
      </c>
      <c r="AD81">
        <f>HYPERLINK("https://klasma.github.io/Logging_2280/tillsynsmail/A 26174-2025 tillsynsbegäran mail.docx", "A 26174-2025")</f>
        <v/>
      </c>
    </row>
    <row r="82" ht="15" customHeight="1">
      <c r="A82" t="inlineStr">
        <is>
          <t>A 26086-2025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45805</v>
      </c>
      <c r="E82" s="1" t="n">
        <v>46319</v>
      </c>
      <c r="F82" t="inlineStr">
        <is>
          <t>VÄSTERNORRLANDS LÄN</t>
        </is>
      </c>
      <c r="G82" t="inlineStr">
        <is>
          <t>HÄRNÖSAND</t>
        </is>
      </c>
      <c r="H82" t="inlineStr">
        <is>
          <t>SCA</t>
        </is>
      </c>
      <c r="I82" t="n">
        <v>0.8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s="2" t="inlineStr">
        <is>
          <t>Orre</t>
        </is>
      </c>
      <c r="W82">
        <f>HYPERLINK("https://klasma.github.io/Logging_2280/artfynd/A 26086-2025 artfynd.xlsx", "A 26086-2025")</f>
        <v/>
      </c>
      <c r="X82">
        <f>HYPERLINK("https://klasma.github.io/Logging_2280/kartor/A 26086-2025 karta.png", "A 26086-2025")</f>
        <v/>
      </c>
      <c r="Y82">
        <f>HYPERLINK("https://klasma.github.io/Logging_2280/kartor_geotiff/A 26086-2025 georefererad karta.tif", "A 26086-2025")</f>
        <v/>
      </c>
      <c r="AA82">
        <f>HYPERLINK("https://klasma.github.io/Logging_2280/klagomål/A 26086-2025 FSC-klagomål.docx", "A 26086-2025")</f>
        <v/>
      </c>
      <c r="AB82">
        <f>HYPERLINK("https://klasma.github.io/Logging_2280/klagomålsmail/A 26086-2025 FSC-klagomål mail.docx", "A 26086-2025")</f>
        <v/>
      </c>
      <c r="AC82">
        <f>HYPERLINK("https://klasma.github.io/Logging_2280/tillsyn/A 26086-2025 tillsynsbegäran.docx", "A 26086-2025")</f>
        <v/>
      </c>
      <c r="AD82">
        <f>HYPERLINK("https://klasma.github.io/Logging_2280/tillsynsmail/A 26086-2025 tillsynsbegäran mail.docx", "A 26086-2025")</f>
        <v/>
      </c>
      <c r="AE82">
        <f>HYPERLINK("https://klasma.github.io/Logging_2280/fåglar/A 26086-2025 prioriterade fågelarter.docx", "A 26086-2025")</f>
        <v/>
      </c>
    </row>
    <row r="83" ht="15" customHeight="1">
      <c r="A83" t="inlineStr">
        <is>
          <t>A 26922-2025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45811</v>
      </c>
      <c r="E83" s="1" t="n">
        <v>46319</v>
      </c>
      <c r="F83" t="inlineStr">
        <is>
          <t>VÄSTERNORRLANDS LÄN</t>
        </is>
      </c>
      <c r="G83" t="inlineStr">
        <is>
          <t>HÄRNÖSAND</t>
        </is>
      </c>
      <c r="I83" t="n">
        <v>2.4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1</v>
      </c>
      <c r="V83" s="2" t="inlineStr">
        <is>
          <t>Barkticka</t>
        </is>
      </c>
      <c r="W83">
        <f>HYPERLINK("https://klasma.github.io/Logging_2280/artfynd/A 26922-2025 artfynd.xlsx", "A 26922-2025")</f>
        <v/>
      </c>
      <c r="X83">
        <f>HYPERLINK("https://klasma.github.io/Logging_2280/kartor/A 26922-2025 karta.png", "A 26922-2025")</f>
        <v/>
      </c>
      <c r="Y83">
        <f>HYPERLINK("https://klasma.github.io/Logging_2280/kartor_geotiff/A 26922-2025 georefererad karta.tif", "A 26922-2025")</f>
        <v/>
      </c>
      <c r="AA83">
        <f>HYPERLINK("https://klasma.github.io/Logging_2280/klagomål/A 26922-2025 FSC-klagomål.docx", "A 26922-2025")</f>
        <v/>
      </c>
      <c r="AB83">
        <f>HYPERLINK("https://klasma.github.io/Logging_2280/klagomålsmail/A 26922-2025 FSC-klagomål mail.docx", "A 26922-2025")</f>
        <v/>
      </c>
      <c r="AC83">
        <f>HYPERLINK("https://klasma.github.io/Logging_2280/tillsyn/A 26922-2025 tillsynsbegäran.docx", "A 26922-2025")</f>
        <v/>
      </c>
      <c r="AD83">
        <f>HYPERLINK("https://klasma.github.io/Logging_2280/tillsynsmail/A 26922-2025 tillsynsbegäran mail.docx", "A 26922-2025")</f>
        <v/>
      </c>
    </row>
    <row r="84" ht="15" customHeight="1">
      <c r="A84" t="inlineStr">
        <is>
          <t>A 18583-2026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46127</v>
      </c>
      <c r="E84" s="1" t="n">
        <v>46319</v>
      </c>
      <c r="F84" t="inlineStr">
        <is>
          <t>VÄSTERNORRLANDS LÄN</t>
        </is>
      </c>
      <c r="G84" t="inlineStr">
        <is>
          <t>HÄRNÖSAND</t>
        </is>
      </c>
      <c r="I84" t="n">
        <v>2.4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0</v>
      </c>
      <c r="V84" s="2" t="inlineStr">
        <is>
          <t>Violettgrå tagellav</t>
        </is>
      </c>
      <c r="W84">
        <f>HYPERLINK("https://klasma.github.io/Logging_2280/artfynd/A 18583-2026 artfynd.xlsx", "A 18583-2026")</f>
        <v/>
      </c>
      <c r="X84">
        <f>HYPERLINK("https://klasma.github.io/Logging_2280/kartor/A 18583-2026 karta.png", "A 18583-2026")</f>
        <v/>
      </c>
      <c r="Y84">
        <f>HYPERLINK("https://klasma.github.io/Logging_2280/kartor_geotiff/A 18583-2026 georefererad karta.tif", "A 18583-2026")</f>
        <v/>
      </c>
      <c r="AA84">
        <f>HYPERLINK("https://klasma.github.io/Logging_2280/klagomål/A 18583-2026 FSC-klagomål.docx", "A 18583-2026")</f>
        <v/>
      </c>
      <c r="AB84">
        <f>HYPERLINK("https://klasma.github.io/Logging_2280/klagomålsmail/A 18583-2026 FSC-klagomål mail.docx", "A 18583-2026")</f>
        <v/>
      </c>
      <c r="AC84">
        <f>HYPERLINK("https://klasma.github.io/Logging_2280/tillsyn/A 18583-2026 tillsynsbegäran.docx", "A 18583-2026")</f>
        <v/>
      </c>
      <c r="AD84">
        <f>HYPERLINK("https://klasma.github.io/Logging_2280/tillsynsmail/A 18583-2026 tillsynsbegäran mail.docx", "A 18583-2026")</f>
        <v/>
      </c>
    </row>
    <row r="85" ht="15" customHeight="1">
      <c r="A85" t="inlineStr">
        <is>
          <t>A 27923-2026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46191</v>
      </c>
      <c r="E85" s="1" t="n">
        <v>46319</v>
      </c>
      <c r="F85" t="inlineStr">
        <is>
          <t>VÄSTERNORRLANDS LÄN</t>
        </is>
      </c>
      <c r="G85" t="inlineStr">
        <is>
          <t>HÄRNÖSAND</t>
        </is>
      </c>
      <c r="H85" t="inlineStr">
        <is>
          <t>SCA</t>
        </is>
      </c>
      <c r="I85" t="n">
        <v>9.300000000000001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1</v>
      </c>
      <c r="U85" t="n">
        <v>0</v>
      </c>
      <c r="V85" s="2" t="inlineStr">
        <is>
          <t>Veckticka</t>
        </is>
      </c>
      <c r="W85">
        <f>HYPERLINK("https://klasma.github.io/Logging_2280/artfynd/A 27923-2026 artfynd.xlsx", "A 27923-2026")</f>
        <v/>
      </c>
      <c r="X85">
        <f>HYPERLINK("https://klasma.github.io/Logging_2280/kartor/A 27923-2026 karta.png", "A 27923-2026")</f>
        <v/>
      </c>
      <c r="Y85">
        <f>HYPERLINK("https://klasma.github.io/Logging_2280/kartor_geotiff/A 27923-2026 georefererad karta.tif", "A 27923-2026")</f>
        <v/>
      </c>
      <c r="AA85">
        <f>HYPERLINK("https://klasma.github.io/Logging_2280/klagomål/A 27923-2026 FSC-klagomål.docx", "A 27923-2026")</f>
        <v/>
      </c>
      <c r="AB85">
        <f>HYPERLINK("https://klasma.github.io/Logging_2280/klagomålsmail/A 27923-2026 FSC-klagomål mail.docx", "A 27923-2026")</f>
        <v/>
      </c>
      <c r="AC85">
        <f>HYPERLINK("https://klasma.github.io/Logging_2280/tillsyn/A 27923-2026 tillsynsbegäran.docx", "A 27923-2026")</f>
        <v/>
      </c>
      <c r="AD85">
        <f>HYPERLINK("https://klasma.github.io/Logging_2280/tillsynsmail/A 27923-2026 tillsynsbegäran mail.docx", "A 27923-2026")</f>
        <v/>
      </c>
    </row>
    <row r="86" ht="15" customHeight="1">
      <c r="A86" t="inlineStr">
        <is>
          <t>A 46707-2024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45583</v>
      </c>
      <c r="E86" s="1" t="n">
        <v>46319</v>
      </c>
      <c r="F86" t="inlineStr">
        <is>
          <t>VÄSTERNORRLANDS LÄN</t>
        </is>
      </c>
      <c r="G86" t="inlineStr">
        <is>
          <t>HÄRNÖSAND</t>
        </is>
      </c>
      <c r="I86" t="n">
        <v>0.6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1</v>
      </c>
      <c r="U86" t="n">
        <v>1</v>
      </c>
      <c r="V86" s="2" t="inlineStr">
        <is>
          <t>Tretåig hackspett</t>
        </is>
      </c>
      <c r="W86">
        <f>HYPERLINK("https://klasma.github.io/Logging_2280/artfynd/A 46707-2024 artfynd.xlsx", "A 46707-2024")</f>
        <v/>
      </c>
      <c r="X86">
        <f>HYPERLINK("https://klasma.github.io/Logging_2280/kartor/A 46707-2024 karta.png", "A 46707-2024")</f>
        <v/>
      </c>
      <c r="Y86">
        <f>HYPERLINK("https://klasma.github.io/Logging_2280/kartor_geotiff/A 46707-2024 georefererad karta.tif", "A 46707-2024")</f>
        <v/>
      </c>
      <c r="AA86">
        <f>HYPERLINK("https://klasma.github.io/Logging_2280/klagomål/A 46707-2024 FSC-klagomål.docx", "A 46707-2024")</f>
        <v/>
      </c>
      <c r="AB86">
        <f>HYPERLINK("https://klasma.github.io/Logging_2280/klagomålsmail/A 46707-2024 FSC-klagomål mail.docx", "A 46707-2024")</f>
        <v/>
      </c>
      <c r="AC86">
        <f>HYPERLINK("https://klasma.github.io/Logging_2280/tillsyn/A 46707-2024 tillsynsbegäran.docx", "A 46707-2024")</f>
        <v/>
      </c>
      <c r="AD86">
        <f>HYPERLINK("https://klasma.github.io/Logging_2280/tillsynsmail/A 46707-2024 tillsynsbegäran mail.docx", "A 46707-2024")</f>
        <v/>
      </c>
      <c r="AE86">
        <f>HYPERLINK("https://klasma.github.io/Logging_2280/fåglar/A 46707-2024 prioriterade fågelarter.docx", "A 46707-2024")</f>
        <v/>
      </c>
    </row>
    <row r="87" ht="15" customHeight="1">
      <c r="A87" t="inlineStr">
        <is>
          <t>A 13984-2023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45008</v>
      </c>
      <c r="E87" s="1" t="n">
        <v>46319</v>
      </c>
      <c r="F87" t="inlineStr">
        <is>
          <t>VÄSTERNORRLANDS LÄN</t>
        </is>
      </c>
      <c r="G87" t="inlineStr">
        <is>
          <t>HÄRNÖSAND</t>
        </is>
      </c>
      <c r="I87" t="n">
        <v>2.3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s="2" t="inlineStr">
        <is>
          <t>Fläcknycklar</t>
        </is>
      </c>
      <c r="W87">
        <f>HYPERLINK("https://klasma.github.io/Logging_2280/artfynd/A 13984-2023 artfynd.xlsx", "A 13984-2023")</f>
        <v/>
      </c>
      <c r="X87">
        <f>HYPERLINK("https://klasma.github.io/Logging_2280/kartor/A 13984-2023 karta.png", "A 13984-2023")</f>
        <v/>
      </c>
      <c r="Y87">
        <f>HYPERLINK("https://klasma.github.io/Logging_2280/kartor_geotiff/A 13984-2023 georefererad karta.tif", "A 13984-2023")</f>
        <v/>
      </c>
      <c r="AA87">
        <f>HYPERLINK("https://klasma.github.io/Logging_2280/klagomål/A 13984-2023 FSC-klagomål.docx", "A 13984-2023")</f>
        <v/>
      </c>
      <c r="AB87">
        <f>HYPERLINK("https://klasma.github.io/Logging_2280/klagomålsmail/A 13984-2023 FSC-klagomål mail.docx", "A 13984-2023")</f>
        <v/>
      </c>
      <c r="AC87">
        <f>HYPERLINK("https://klasma.github.io/Logging_2280/tillsyn/A 13984-2023 tillsynsbegäran.docx", "A 13984-2023")</f>
        <v/>
      </c>
      <c r="AD87">
        <f>HYPERLINK("https://klasma.github.io/Logging_2280/tillsynsmail/A 13984-2023 tillsynsbegäran mail.docx", "A 13984-2023")</f>
        <v/>
      </c>
    </row>
    <row r="88" ht="15" customHeight="1">
      <c r="A88" t="inlineStr">
        <is>
          <t>A 43541-2022</t>
        </is>
      </c>
      <c r="B88" t="inlineStr">
        <is>
          <t>avverkningsanmälan</t>
        </is>
      </c>
      <c r="C88" t="inlineStr">
        <is>
          <t>Avverkning för att bevara och utveckla /försöksver</t>
        </is>
      </c>
      <c r="D88" s="1" t="n">
        <v>44837</v>
      </c>
      <c r="E88" s="1" t="n">
        <v>46319</v>
      </c>
      <c r="F88" t="inlineStr">
        <is>
          <t>VÄSTERNORRLANDS LÄN</t>
        </is>
      </c>
      <c r="G88" t="inlineStr">
        <is>
          <t>HÄRNÖSAND</t>
        </is>
      </c>
      <c r="I88" t="n">
        <v>2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2</v>
      </c>
      <c r="U88" t="n">
        <v>2</v>
      </c>
      <c r="V88" s="2" t="inlineStr">
        <is>
          <t>Sötgräs</t>
        </is>
      </c>
      <c r="W88">
        <f>HYPERLINK("https://klasma.github.io/Logging_2280/artfynd/A 43541-2022 artfynd.xlsx", "A 43541-2022")</f>
        <v/>
      </c>
      <c r="X88">
        <f>HYPERLINK("https://klasma.github.io/Logging_2280/kartor/A 43541-2022 karta.png", "A 43541-2022")</f>
        <v/>
      </c>
      <c r="Y88">
        <f>HYPERLINK("https://klasma.github.io/Logging_2280/kartor_geotiff/A 43541-2022 georefererad karta.tif", "A 43541-2022")</f>
        <v/>
      </c>
      <c r="AA88">
        <f>HYPERLINK("https://klasma.github.io/Logging_2280/klagomål/A 43541-2022 FSC-klagomål.docx", "A 43541-2022")</f>
        <v/>
      </c>
      <c r="AB88">
        <f>HYPERLINK("https://klasma.github.io/Logging_2280/klagomålsmail/A 43541-2022 FSC-klagomål mail.docx", "A 43541-2022")</f>
        <v/>
      </c>
      <c r="AC88">
        <f>HYPERLINK("https://klasma.github.io/Logging_2280/tillsyn/A 43541-2022 tillsynsbegäran.docx", "A 43541-2022")</f>
        <v/>
      </c>
      <c r="AD88">
        <f>HYPERLINK("https://klasma.github.io/Logging_2280/tillsynsmail/A 43541-2022 tillsynsbegäran mail.docx", "A 43541-2022")</f>
        <v/>
      </c>
    </row>
    <row r="89" ht="15" customHeight="1">
      <c r="A89" t="inlineStr">
        <is>
          <t>A 61828-2024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45649</v>
      </c>
      <c r="E89" s="1" t="n">
        <v>46319</v>
      </c>
      <c r="F89" t="inlineStr">
        <is>
          <t>VÄSTERNORRLANDS LÄN</t>
        </is>
      </c>
      <c r="G89" t="inlineStr">
        <is>
          <t>HÄRNÖSAND</t>
        </is>
      </c>
      <c r="I89" t="n">
        <v>0.7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1</v>
      </c>
      <c r="U89" t="n">
        <v>0</v>
      </c>
      <c r="V89" s="2" t="inlineStr">
        <is>
          <t>Luddfingersvamp</t>
        </is>
      </c>
      <c r="W89">
        <f>HYPERLINK("https://klasma.github.io/Logging_2280/artfynd/A 61828-2024 artfynd.xlsx", "A 61828-2024")</f>
        <v/>
      </c>
      <c r="X89">
        <f>HYPERLINK("https://klasma.github.io/Logging_2280/kartor/A 61828-2024 karta.png", "A 61828-2024")</f>
        <v/>
      </c>
      <c r="Y89">
        <f>HYPERLINK("https://klasma.github.io/Logging_2280/kartor_geotiff/A 61828-2024 georefererad karta.tif", "A 61828-2024")</f>
        <v/>
      </c>
      <c r="AA89">
        <f>HYPERLINK("https://klasma.github.io/Logging_2280/klagomål/A 61828-2024 FSC-klagomål.docx", "A 61828-2024")</f>
        <v/>
      </c>
      <c r="AB89">
        <f>HYPERLINK("https://klasma.github.io/Logging_2280/klagomålsmail/A 61828-2024 FSC-klagomål mail.docx", "A 61828-2024")</f>
        <v/>
      </c>
      <c r="AC89">
        <f>HYPERLINK("https://klasma.github.io/Logging_2280/tillsyn/A 61828-2024 tillsynsbegäran.docx", "A 61828-2024")</f>
        <v/>
      </c>
      <c r="AD89">
        <f>HYPERLINK("https://klasma.github.io/Logging_2280/tillsynsmail/A 61828-2024 tillsynsbegäran mail.docx", "A 61828-2024")</f>
        <v/>
      </c>
    </row>
    <row r="90" ht="15" customHeight="1">
      <c r="A90" t="inlineStr">
        <is>
          <t>A 74325-2021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44559</v>
      </c>
      <c r="E90" s="1" t="n">
        <v>46319</v>
      </c>
      <c r="F90" t="inlineStr">
        <is>
          <t>VÄSTERNORRLANDS LÄN</t>
        </is>
      </c>
      <c r="G90" t="inlineStr">
        <is>
          <t>HÄRNÖSAND</t>
        </is>
      </c>
      <c r="I90" t="n">
        <v>4.6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1</v>
      </c>
      <c r="U90" t="n">
        <v>1</v>
      </c>
      <c r="V90" s="2" t="inlineStr">
        <is>
          <t>Skogshare</t>
        </is>
      </c>
      <c r="W90">
        <f>HYPERLINK("https://klasma.github.io/Logging_2280/artfynd/A 74325-2021 artfynd.xlsx", "A 74325-2021")</f>
        <v/>
      </c>
      <c r="X90">
        <f>HYPERLINK("https://klasma.github.io/Logging_2280/kartor/A 74325-2021 karta.png", "A 74325-2021")</f>
        <v/>
      </c>
      <c r="Y90">
        <f>HYPERLINK("https://klasma.github.io/Logging_2280/kartor_geotiff/A 74325-2021 georefererad karta.tif", "A 74325-2021")</f>
        <v/>
      </c>
      <c r="AA90">
        <f>HYPERLINK("https://klasma.github.io/Logging_2280/klagomål/A 74325-2021 FSC-klagomål.docx", "A 74325-2021")</f>
        <v/>
      </c>
      <c r="AB90">
        <f>HYPERLINK("https://klasma.github.io/Logging_2280/klagomålsmail/A 74325-2021 FSC-klagomål mail.docx", "A 74325-2021")</f>
        <v/>
      </c>
      <c r="AC90">
        <f>HYPERLINK("https://klasma.github.io/Logging_2280/tillsyn/A 74325-2021 tillsynsbegäran.docx", "A 74325-2021")</f>
        <v/>
      </c>
      <c r="AD90">
        <f>HYPERLINK("https://klasma.github.io/Logging_2280/tillsynsmail/A 74325-2021 tillsynsbegäran mail.docx", "A 74325-2021")</f>
        <v/>
      </c>
    </row>
    <row r="91" ht="15" customHeight="1">
      <c r="A91" t="inlineStr">
        <is>
          <t>A 7853-2024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45350</v>
      </c>
      <c r="E91" s="1" t="n">
        <v>46319</v>
      </c>
      <c r="F91" t="inlineStr">
        <is>
          <t>VÄSTERNORRLANDS LÄN</t>
        </is>
      </c>
      <c r="G91" t="inlineStr">
        <is>
          <t>HÄRNÖSAND</t>
        </is>
      </c>
      <c r="H91" t="inlineStr">
        <is>
          <t>SCA</t>
        </is>
      </c>
      <c r="I91" t="n">
        <v>4.1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s="2" t="inlineStr">
        <is>
          <t>Igelkott</t>
        </is>
      </c>
      <c r="W91">
        <f>HYPERLINK("https://klasma.github.io/Logging_2280/artfynd/A 7853-2024 artfynd.xlsx", "A 7853-2024")</f>
        <v/>
      </c>
      <c r="X91">
        <f>HYPERLINK("https://klasma.github.io/Logging_2280/kartor/A 7853-2024 karta.png", "A 7853-2024")</f>
        <v/>
      </c>
      <c r="Y91">
        <f>HYPERLINK("https://klasma.github.io/Logging_2280/kartor_geotiff/A 7853-2024 georefererad karta.tif", "A 7853-2024")</f>
        <v/>
      </c>
      <c r="AA91">
        <f>HYPERLINK("https://klasma.github.io/Logging_2280/klagomål/A 7853-2024 FSC-klagomål.docx", "A 7853-2024")</f>
        <v/>
      </c>
      <c r="AB91">
        <f>HYPERLINK("https://klasma.github.io/Logging_2280/klagomålsmail/A 7853-2024 FSC-klagomål mail.docx", "A 7853-2024")</f>
        <v/>
      </c>
      <c r="AC91">
        <f>HYPERLINK("https://klasma.github.io/Logging_2280/tillsyn/A 7853-2024 tillsynsbegäran.docx", "A 7853-2024")</f>
        <v/>
      </c>
      <c r="AD91">
        <f>HYPERLINK("https://klasma.github.io/Logging_2280/tillsynsmail/A 7853-2024 tillsynsbegäran mail.docx", "A 7853-2024")</f>
        <v/>
      </c>
    </row>
    <row r="92" ht="15" customHeight="1">
      <c r="A92" t="inlineStr">
        <is>
          <t>A 11546-2024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45372</v>
      </c>
      <c r="E92" s="1" t="n">
        <v>46319</v>
      </c>
      <c r="F92" t="inlineStr">
        <is>
          <t>VÄSTERNORRLANDS LÄN</t>
        </is>
      </c>
      <c r="G92" t="inlineStr">
        <is>
          <t>HÄRNÖSAND</t>
        </is>
      </c>
      <c r="H92" t="inlineStr">
        <is>
          <t>SCA</t>
        </is>
      </c>
      <c r="I92" t="n">
        <v>3.1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n">
        <v>1</v>
      </c>
      <c r="T92" t="n">
        <v>1</v>
      </c>
      <c r="U92" t="n">
        <v>0</v>
      </c>
      <c r="V92" s="2" t="inlineStr">
        <is>
          <t>Garnlav</t>
        </is>
      </c>
      <c r="W92">
        <f>HYPERLINK("https://klasma.github.io/Logging_2280/artfynd/A 11546-2024 artfynd.xlsx", "A 11546-2024")</f>
        <v/>
      </c>
      <c r="X92">
        <f>HYPERLINK("https://klasma.github.io/Logging_2280/kartor/A 11546-2024 karta.png", "A 11546-2024")</f>
        <v/>
      </c>
      <c r="Y92">
        <f>HYPERLINK("https://klasma.github.io/Logging_2280/kartor_geotiff/A 11546-2024 georefererad karta.tif", "A 11546-2024")</f>
        <v/>
      </c>
      <c r="AA92">
        <f>HYPERLINK("https://klasma.github.io/Logging_2280/klagomål/A 11546-2024 FSC-klagomål.docx", "A 11546-2024")</f>
        <v/>
      </c>
      <c r="AB92">
        <f>HYPERLINK("https://klasma.github.io/Logging_2280/klagomålsmail/A 11546-2024 FSC-klagomål mail.docx", "A 11546-2024")</f>
        <v/>
      </c>
      <c r="AC92">
        <f>HYPERLINK("https://klasma.github.io/Logging_2280/tillsyn/A 11546-2024 tillsynsbegäran.docx", "A 11546-2024")</f>
        <v/>
      </c>
      <c r="AD92">
        <f>HYPERLINK("https://klasma.github.io/Logging_2280/tillsynsmail/A 11546-2024 tillsynsbegäran mail.docx", "A 11546-2024")</f>
        <v/>
      </c>
    </row>
    <row r="93" ht="15" customHeight="1">
      <c r="A93" t="inlineStr">
        <is>
          <t>A 24202-2024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45456</v>
      </c>
      <c r="E93" s="1" t="n">
        <v>46319</v>
      </c>
      <c r="F93" t="inlineStr">
        <is>
          <t>VÄSTERNORRLANDS LÄN</t>
        </is>
      </c>
      <c r="G93" t="inlineStr">
        <is>
          <t>HÄRNÖSAND</t>
        </is>
      </c>
      <c r="H93" t="inlineStr">
        <is>
          <t>SCA</t>
        </is>
      </c>
      <c r="I93" t="n">
        <v>2.2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1</v>
      </c>
      <c r="S93" t="n">
        <v>1</v>
      </c>
      <c r="T93" t="n">
        <v>2</v>
      </c>
      <c r="U93" t="n">
        <v>2</v>
      </c>
      <c r="V93" s="2" t="inlineStr">
        <is>
          <t>Garnlav</t>
        </is>
      </c>
      <c r="W93">
        <f>HYPERLINK("https://klasma.github.io/Logging_2280/artfynd/A 24202-2024 artfynd.xlsx", "A 24202-2024")</f>
        <v/>
      </c>
      <c r="X93">
        <f>HYPERLINK("https://klasma.github.io/Logging_2280/kartor/A 24202-2024 karta.png", "A 24202-2024")</f>
        <v/>
      </c>
      <c r="Y93">
        <f>HYPERLINK("https://klasma.github.io/Logging_2280/kartor_geotiff/A 24202-2024 georefererad karta.tif", "A 24202-2024")</f>
        <v/>
      </c>
      <c r="AA93">
        <f>HYPERLINK("https://klasma.github.io/Logging_2280/klagomål/A 24202-2024 FSC-klagomål.docx", "A 24202-2024")</f>
        <v/>
      </c>
      <c r="AB93">
        <f>HYPERLINK("https://klasma.github.io/Logging_2280/klagomålsmail/A 24202-2024 FSC-klagomål mail.docx", "A 24202-2024")</f>
        <v/>
      </c>
      <c r="AC93">
        <f>HYPERLINK("https://klasma.github.io/Logging_2280/tillsyn/A 24202-2024 tillsynsbegäran.docx", "A 24202-2024")</f>
        <v/>
      </c>
      <c r="AD93">
        <f>HYPERLINK("https://klasma.github.io/Logging_2280/tillsynsmail/A 24202-2024 tillsynsbegäran mail.docx", "A 24202-2024")</f>
        <v/>
      </c>
    </row>
    <row r="94" ht="15" customHeight="1">
      <c r="A94" t="inlineStr">
        <is>
          <t>A 52700-2022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44874</v>
      </c>
      <c r="E94" s="1" t="n">
        <v>46319</v>
      </c>
      <c r="F94" t="inlineStr">
        <is>
          <t>VÄSTERNORRLANDS LÄN</t>
        </is>
      </c>
      <c r="G94" t="inlineStr">
        <is>
          <t>HÄRNÖSAND</t>
        </is>
      </c>
      <c r="I94" t="n">
        <v>1.1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15895-2022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44664</v>
      </c>
      <c r="E95" s="1" t="n">
        <v>46319</v>
      </c>
      <c r="F95" t="inlineStr">
        <is>
          <t>VÄSTERNORRLANDS LÄN</t>
        </is>
      </c>
      <c r="G95" t="inlineStr">
        <is>
          <t>HÄRNÖSAND</t>
        </is>
      </c>
      <c r="I95" t="n">
        <v>2.3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37149-2022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44806</v>
      </c>
      <c r="E96" s="1" t="n">
        <v>46319</v>
      </c>
      <c r="F96" t="inlineStr">
        <is>
          <t>VÄSTERNORRLANDS LÄN</t>
        </is>
      </c>
      <c r="G96" t="inlineStr">
        <is>
          <t>HÄRNÖSAND</t>
        </is>
      </c>
      <c r="I96" t="n">
        <v>4.5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46045-2022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44846</v>
      </c>
      <c r="E97" s="1" t="n">
        <v>46319</v>
      </c>
      <c r="F97" t="inlineStr">
        <is>
          <t>VÄSTERNORRLANDS LÄN</t>
        </is>
      </c>
      <c r="G97" t="inlineStr">
        <is>
          <t>HÄRNÖSAND</t>
        </is>
      </c>
      <c r="H97" t="inlineStr">
        <is>
          <t>SCA</t>
        </is>
      </c>
      <c r="I97" t="n">
        <v>2.4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52985-2022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44875</v>
      </c>
      <c r="E98" s="1" t="n">
        <v>46319</v>
      </c>
      <c r="F98" t="inlineStr">
        <is>
          <t>VÄSTERNORRLANDS LÄN</t>
        </is>
      </c>
      <c r="G98" t="inlineStr">
        <is>
          <t>HÄRNÖSAND</t>
        </is>
      </c>
      <c r="I98" t="n">
        <v>1.4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69929-2021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44532</v>
      </c>
      <c r="E99" s="1" t="n">
        <v>46319</v>
      </c>
      <c r="F99" t="inlineStr">
        <is>
          <t>VÄSTERNORRLANDS LÄN</t>
        </is>
      </c>
      <c r="G99" t="inlineStr">
        <is>
          <t>HÄRNÖSAND</t>
        </is>
      </c>
      <c r="I99" t="n">
        <v>7.4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7784-2022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44608</v>
      </c>
      <c r="E100" s="1" t="n">
        <v>46319</v>
      </c>
      <c r="F100" t="inlineStr">
        <is>
          <t>VÄSTERNORRLANDS LÄN</t>
        </is>
      </c>
      <c r="G100" t="inlineStr">
        <is>
          <t>HÄRNÖSAND</t>
        </is>
      </c>
      <c r="I100" t="n">
        <v>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23381-2022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44720</v>
      </c>
      <c r="E101" s="1" t="n">
        <v>46319</v>
      </c>
      <c r="F101" t="inlineStr">
        <is>
          <t>VÄSTERNORRLANDS LÄN</t>
        </is>
      </c>
      <c r="G101" t="inlineStr">
        <is>
          <t>HÄRNÖSAND</t>
        </is>
      </c>
      <c r="I101" t="n">
        <v>1.2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6431-2022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44600</v>
      </c>
      <c r="E102" s="1" t="n">
        <v>46319</v>
      </c>
      <c r="F102" t="inlineStr">
        <is>
          <t>VÄSTERNORRLANDS LÄN</t>
        </is>
      </c>
      <c r="G102" t="inlineStr">
        <is>
          <t>HÄRNÖSAND</t>
        </is>
      </c>
      <c r="H102" t="inlineStr">
        <is>
          <t>SCA</t>
        </is>
      </c>
      <c r="I102" t="n">
        <v>0.7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41000-2022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44824</v>
      </c>
      <c r="E103" s="1" t="n">
        <v>46319</v>
      </c>
      <c r="F103" t="inlineStr">
        <is>
          <t>VÄSTERNORRLANDS LÄN</t>
        </is>
      </c>
      <c r="G103" t="inlineStr">
        <is>
          <t>HÄRNÖSAND</t>
        </is>
      </c>
      <c r="I103" t="n">
        <v>0.5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26072-2022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44734</v>
      </c>
      <c r="E104" s="1" t="n">
        <v>46319</v>
      </c>
      <c r="F104" t="inlineStr">
        <is>
          <t>VÄSTERNORRLANDS LÄN</t>
        </is>
      </c>
      <c r="G104" t="inlineStr">
        <is>
          <t>HÄRNÖSAND</t>
        </is>
      </c>
      <c r="I104" t="n">
        <v>3.2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64933-2021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44512</v>
      </c>
      <c r="E105" s="1" t="n">
        <v>46319</v>
      </c>
      <c r="F105" t="inlineStr">
        <is>
          <t>VÄSTERNORRLANDS LÄN</t>
        </is>
      </c>
      <c r="G105" t="inlineStr">
        <is>
          <t>HÄRNÖSAND</t>
        </is>
      </c>
      <c r="I105" t="n">
        <v>7.1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66159-2021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44517</v>
      </c>
      <c r="E106" s="1" t="n">
        <v>46319</v>
      </c>
      <c r="F106" t="inlineStr">
        <is>
          <t>VÄSTERNORRLANDS LÄN</t>
        </is>
      </c>
      <c r="G106" t="inlineStr">
        <is>
          <t>HÄRNÖSAND</t>
        </is>
      </c>
      <c r="H106" t="inlineStr">
        <is>
          <t>SCA</t>
        </is>
      </c>
      <c r="I106" t="n">
        <v>1.7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25033-2022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44728</v>
      </c>
      <c r="E107" s="1" t="n">
        <v>46319</v>
      </c>
      <c r="F107" t="inlineStr">
        <is>
          <t>VÄSTERNORRLANDS LÄN</t>
        </is>
      </c>
      <c r="G107" t="inlineStr">
        <is>
          <t>HÄRNÖSAND</t>
        </is>
      </c>
      <c r="H107" t="inlineStr">
        <is>
          <t>SCA</t>
        </is>
      </c>
      <c r="I107" t="n">
        <v>1.6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15849-2022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44664</v>
      </c>
      <c r="E108" s="1" t="n">
        <v>46319</v>
      </c>
      <c r="F108" t="inlineStr">
        <is>
          <t>VÄSTERNORRLANDS LÄN</t>
        </is>
      </c>
      <c r="G108" t="inlineStr">
        <is>
          <t>HÄRNÖSAND</t>
        </is>
      </c>
      <c r="I108" t="n">
        <v>1.5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36649-2022</t>
        </is>
      </c>
      <c r="B109" t="inlineStr">
        <is>
          <t>avverkningsanmälan</t>
        </is>
      </c>
      <c r="C109" t="inlineStr">
        <is>
          <t>Avverkning för annat ändamål</t>
        </is>
      </c>
      <c r="D109" s="1" t="n">
        <v>44804</v>
      </c>
      <c r="E109" s="1" t="n">
        <v>46319</v>
      </c>
      <c r="F109" t="inlineStr">
        <is>
          <t>VÄSTERNORRLANDS LÄN</t>
        </is>
      </c>
      <c r="G109" t="inlineStr">
        <is>
          <t>HÄRNÖSAND</t>
        </is>
      </c>
      <c r="I109" t="n">
        <v>0.7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65034-2021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44512</v>
      </c>
      <c r="E110" s="1" t="n">
        <v>46319</v>
      </c>
      <c r="F110" t="inlineStr">
        <is>
          <t>VÄSTERNORRLANDS LÄN</t>
        </is>
      </c>
      <c r="G110" t="inlineStr">
        <is>
          <t>HÄRNÖSAND</t>
        </is>
      </c>
      <c r="I110" t="n">
        <v>1.2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62300-2021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44503</v>
      </c>
      <c r="E111" s="1" t="n">
        <v>46319</v>
      </c>
      <c r="F111" t="inlineStr">
        <is>
          <t>VÄSTERNORRLANDS LÄN</t>
        </is>
      </c>
      <c r="G111" t="inlineStr">
        <is>
          <t>HÄRNÖSAND</t>
        </is>
      </c>
      <c r="I111" t="n">
        <v>0.7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26398-2022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44735</v>
      </c>
      <c r="E112" s="1" t="n">
        <v>46319</v>
      </c>
      <c r="F112" t="inlineStr">
        <is>
          <t>VÄSTERNORRLANDS LÄN</t>
        </is>
      </c>
      <c r="G112" t="inlineStr">
        <is>
          <t>HÄRNÖSAND</t>
        </is>
      </c>
      <c r="I112" t="n">
        <v>1.2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2786-2022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44581</v>
      </c>
      <c r="E113" s="1" t="n">
        <v>46319</v>
      </c>
      <c r="F113" t="inlineStr">
        <is>
          <t>VÄSTERNORRLANDS LÄN</t>
        </is>
      </c>
      <c r="G113" t="inlineStr">
        <is>
          <t>HÄRNÖSAND</t>
        </is>
      </c>
      <c r="I113" t="n">
        <v>1.2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46837-2022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44848</v>
      </c>
      <c r="E114" s="1" t="n">
        <v>46319</v>
      </c>
      <c r="F114" t="inlineStr">
        <is>
          <t>VÄSTERNORRLANDS LÄN</t>
        </is>
      </c>
      <c r="G114" t="inlineStr">
        <is>
          <t>HÄRNÖSAND</t>
        </is>
      </c>
      <c r="I114" t="n">
        <v>0.6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16616-2022</t>
        </is>
      </c>
      <c r="B115" t="inlineStr">
        <is>
          <t>avverkningsanmälan</t>
        </is>
      </c>
      <c r="C115" t="inlineStr">
        <is>
          <t>Avverkning för annat ändamål</t>
        </is>
      </c>
      <c r="D115" s="1" t="n">
        <v>44672</v>
      </c>
      <c r="E115" s="1" t="n">
        <v>46319</v>
      </c>
      <c r="F115" t="inlineStr">
        <is>
          <t>VÄSTERNORRLANDS LÄN</t>
        </is>
      </c>
      <c r="G115" t="inlineStr">
        <is>
          <t>HÄRNÖSAND</t>
        </is>
      </c>
      <c r="I115" t="n">
        <v>2.5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14372-2022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44652</v>
      </c>
      <c r="E116" s="1" t="n">
        <v>46319</v>
      </c>
      <c r="F116" t="inlineStr">
        <is>
          <t>VÄSTERNORRLANDS LÄN</t>
        </is>
      </c>
      <c r="G116" t="inlineStr">
        <is>
          <t>HÄRNÖSAND</t>
        </is>
      </c>
      <c r="I116" t="n">
        <v>0.5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65024-2021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44515</v>
      </c>
      <c r="E117" s="1" t="n">
        <v>46319</v>
      </c>
      <c r="F117" t="inlineStr">
        <is>
          <t>VÄSTERNORRLANDS LÄN</t>
        </is>
      </c>
      <c r="G117" t="inlineStr">
        <is>
          <t>HÄRNÖSAND</t>
        </is>
      </c>
      <c r="I117" t="n">
        <v>0.9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15844-2022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44664</v>
      </c>
      <c r="E118" s="1" t="n">
        <v>46319</v>
      </c>
      <c r="F118" t="inlineStr">
        <is>
          <t>VÄSTERNORRLANDS LÄN</t>
        </is>
      </c>
      <c r="G118" t="inlineStr">
        <is>
          <t>HÄRNÖSAND</t>
        </is>
      </c>
      <c r="I118" t="n">
        <v>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9452-2022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44616</v>
      </c>
      <c r="E119" s="1" t="n">
        <v>46319</v>
      </c>
      <c r="F119" t="inlineStr">
        <is>
          <t>VÄSTERNORRLANDS LÄN</t>
        </is>
      </c>
      <c r="G119" t="inlineStr">
        <is>
          <t>HÄRNÖSAND</t>
        </is>
      </c>
      <c r="I119" t="n">
        <v>1.2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60935-2021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44496</v>
      </c>
      <c r="E120" s="1" t="n">
        <v>46319</v>
      </c>
      <c r="F120" t="inlineStr">
        <is>
          <t>VÄSTERNORRLANDS LÄN</t>
        </is>
      </c>
      <c r="G120" t="inlineStr">
        <is>
          <t>HÄRNÖSAND</t>
        </is>
      </c>
      <c r="I120" t="n">
        <v>1.6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70563-2021</t>
        </is>
      </c>
      <c r="B121" t="inlineStr">
        <is>
          <t>avverkningsanmälan</t>
        </is>
      </c>
      <c r="C121" t="inlineStr">
        <is>
          <t>Avverkning för annat ändamål</t>
        </is>
      </c>
      <c r="D121" s="1" t="n">
        <v>44532</v>
      </c>
      <c r="E121" s="1" t="n">
        <v>46319</v>
      </c>
      <c r="F121" t="inlineStr">
        <is>
          <t>VÄSTERNORRLANDS LÄN</t>
        </is>
      </c>
      <c r="G121" t="inlineStr">
        <is>
          <t>HÄRNÖSAND</t>
        </is>
      </c>
      <c r="I121" t="n">
        <v>2.6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64682-2021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44512</v>
      </c>
      <c r="E122" s="1" t="n">
        <v>46319</v>
      </c>
      <c r="F122" t="inlineStr">
        <is>
          <t>VÄSTERNORRLANDS LÄN</t>
        </is>
      </c>
      <c r="G122" t="inlineStr">
        <is>
          <t>HÄRNÖSAND</t>
        </is>
      </c>
      <c r="I122" t="n">
        <v>0.6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992-2022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44571</v>
      </c>
      <c r="E123" s="1" t="n">
        <v>46319</v>
      </c>
      <c r="F123" t="inlineStr">
        <is>
          <t>VÄSTERNORRLANDS LÄN</t>
        </is>
      </c>
      <c r="G123" t="inlineStr">
        <is>
          <t>HÄRNÖSAND</t>
        </is>
      </c>
      <c r="I123" t="n">
        <v>1.2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15855-2022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44664</v>
      </c>
      <c r="E124" s="1" t="n">
        <v>46319</v>
      </c>
      <c r="F124" t="inlineStr">
        <is>
          <t>VÄSTERNORRLANDS LÄN</t>
        </is>
      </c>
      <c r="G124" t="inlineStr">
        <is>
          <t>HÄRNÖSAND</t>
        </is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70603-2021</t>
        </is>
      </c>
      <c r="B125" t="inlineStr">
        <is>
          <t>avverkningsanmälan</t>
        </is>
      </c>
      <c r="C125" t="inlineStr">
        <is>
          <t>Avverkning för annat ändamål</t>
        </is>
      </c>
      <c r="D125" s="1" t="n">
        <v>44536</v>
      </c>
      <c r="E125" s="1" t="n">
        <v>46319</v>
      </c>
      <c r="F125" t="inlineStr">
        <is>
          <t>VÄSTERNORRLANDS LÄN</t>
        </is>
      </c>
      <c r="G125" t="inlineStr">
        <is>
          <t>HÄRNÖSAND</t>
        </is>
      </c>
      <c r="I125" t="n">
        <v>2.6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67078-2021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44522</v>
      </c>
      <c r="E126" s="1" t="n">
        <v>46319</v>
      </c>
      <c r="F126" t="inlineStr">
        <is>
          <t>VÄSTERNORRLANDS LÄN</t>
        </is>
      </c>
      <c r="G126" t="inlineStr">
        <is>
          <t>HÄRNÖSAND</t>
        </is>
      </c>
      <c r="I126" t="n">
        <v>1.9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3532-2022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44585</v>
      </c>
      <c r="E127" s="1" t="n">
        <v>46319</v>
      </c>
      <c r="F127" t="inlineStr">
        <is>
          <t>VÄSTERNORRLANDS LÄN</t>
        </is>
      </c>
      <c r="G127" t="inlineStr">
        <is>
          <t>HÄRNÖSAND</t>
        </is>
      </c>
      <c r="I127" t="n">
        <v>0.6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39070-2025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45888</v>
      </c>
      <c r="E128" s="1" t="n">
        <v>46319</v>
      </c>
      <c r="F128" t="inlineStr">
        <is>
          <t>VÄSTERNORRLANDS LÄN</t>
        </is>
      </c>
      <c r="G128" t="inlineStr">
        <is>
          <t>HÄRNÖSAND</t>
        </is>
      </c>
      <c r="I128" t="n">
        <v>3.4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38734-2025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45887</v>
      </c>
      <c r="E129" s="1" t="n">
        <v>46319</v>
      </c>
      <c r="F129" t="inlineStr">
        <is>
          <t>VÄSTERNORRLANDS LÄN</t>
        </is>
      </c>
      <c r="G129" t="inlineStr">
        <is>
          <t>HÄRNÖSAND</t>
        </is>
      </c>
      <c r="H129" t="inlineStr">
        <is>
          <t>SCA</t>
        </is>
      </c>
      <c r="I129" t="n">
        <v>2.6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29429-2024</t>
        </is>
      </c>
      <c r="B130" t="inlineStr">
        <is>
          <t>avverkningsanmälan</t>
        </is>
      </c>
      <c r="C130" t="inlineStr">
        <is>
          <t>Avverkning för annat ändamål</t>
        </is>
      </c>
      <c r="D130" s="1" t="n">
        <v>45483</v>
      </c>
      <c r="E130" s="1" t="n">
        <v>46319</v>
      </c>
      <c r="F130" t="inlineStr">
        <is>
          <t>VÄSTERNORRLANDS LÄN</t>
        </is>
      </c>
      <c r="G130" t="inlineStr">
        <is>
          <t>HÄRNÖSAND</t>
        </is>
      </c>
      <c r="I130" t="n">
        <v>0.6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56165-2022</t>
        </is>
      </c>
      <c r="B131" t="inlineStr">
        <is>
          <t>avverkningsanmälan</t>
        </is>
      </c>
      <c r="C131" t="inlineStr">
        <is>
          <t>Avverkning för att bevara och utveckla /försöksver</t>
        </is>
      </c>
      <c r="D131" s="1" t="n">
        <v>44889</v>
      </c>
      <c r="E131" s="1" t="n">
        <v>46319</v>
      </c>
      <c r="F131" t="inlineStr">
        <is>
          <t>VÄSTERNORRLANDS LÄN</t>
        </is>
      </c>
      <c r="G131" t="inlineStr">
        <is>
          <t>HÄRNÖSAND</t>
        </is>
      </c>
      <c r="H131" t="inlineStr">
        <is>
          <t>SCA</t>
        </is>
      </c>
      <c r="I131" t="n">
        <v>1.5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65224-2023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45289</v>
      </c>
      <c r="E132" s="1" t="n">
        <v>46319</v>
      </c>
      <c r="F132" t="inlineStr">
        <is>
          <t>VÄSTERNORRLANDS LÄN</t>
        </is>
      </c>
      <c r="G132" t="inlineStr">
        <is>
          <t>HÄRNÖSAND</t>
        </is>
      </c>
      <c r="I132" t="n">
        <v>2.6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45687-2022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44845</v>
      </c>
      <c r="E133" s="1" t="n">
        <v>46319</v>
      </c>
      <c r="F133" t="inlineStr">
        <is>
          <t>VÄSTERNORRLANDS LÄN</t>
        </is>
      </c>
      <c r="G133" t="inlineStr">
        <is>
          <t>HÄRNÖSAND</t>
        </is>
      </c>
      <c r="I133" t="n">
        <v>3.6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18885-2023</t>
        </is>
      </c>
      <c r="B134" t="inlineStr">
        <is>
          <t>avverkningsanmälan</t>
        </is>
      </c>
      <c r="C134" t="inlineStr">
        <is>
          <t>Avverkning för annat ändamål</t>
        </is>
      </c>
      <c r="D134" s="1" t="n">
        <v>45044</v>
      </c>
      <c r="E134" s="1" t="n">
        <v>46319</v>
      </c>
      <c r="F134" t="inlineStr">
        <is>
          <t>VÄSTERNORRLANDS LÄN</t>
        </is>
      </c>
      <c r="G134" t="inlineStr">
        <is>
          <t>HÄRNÖSAND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18103-2025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45761</v>
      </c>
      <c r="E135" s="1" t="n">
        <v>46319</v>
      </c>
      <c r="F135" t="inlineStr">
        <is>
          <t>VÄSTERNORRLANDS LÄN</t>
        </is>
      </c>
      <c r="G135" t="inlineStr">
        <is>
          <t>HÄRNÖSAND</t>
        </is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38926-2025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45887</v>
      </c>
      <c r="E136" s="1" t="n">
        <v>46319</v>
      </c>
      <c r="F136" t="inlineStr">
        <is>
          <t>VÄSTERNORRLANDS LÄN</t>
        </is>
      </c>
      <c r="G136" t="inlineStr">
        <is>
          <t>HÄRNÖSAND</t>
        </is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39474-2025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45890</v>
      </c>
      <c r="E137" s="1" t="n">
        <v>46319</v>
      </c>
      <c r="F137" t="inlineStr">
        <is>
          <t>VÄSTERNORRLANDS LÄN</t>
        </is>
      </c>
      <c r="G137" t="inlineStr">
        <is>
          <t>HÄRNÖSAND</t>
        </is>
      </c>
      <c r="H137" t="inlineStr">
        <is>
          <t>SCA</t>
        </is>
      </c>
      <c r="I137" t="n">
        <v>3.1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39667-2025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45890</v>
      </c>
      <c r="E138" s="1" t="n">
        <v>46319</v>
      </c>
      <c r="F138" t="inlineStr">
        <is>
          <t>VÄSTERNORRLANDS LÄN</t>
        </is>
      </c>
      <c r="G138" t="inlineStr">
        <is>
          <t>HÄRNÖSAND</t>
        </is>
      </c>
      <c r="H138" t="inlineStr">
        <is>
          <t>SCA</t>
        </is>
      </c>
      <c r="I138" t="n">
        <v>6.7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22875-2023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45072</v>
      </c>
      <c r="E139" s="1" t="n">
        <v>46319</v>
      </c>
      <c r="F139" t="inlineStr">
        <is>
          <t>VÄSTERNORRLANDS LÄN</t>
        </is>
      </c>
      <c r="G139" t="inlineStr">
        <is>
          <t>HÄRNÖSAND</t>
        </is>
      </c>
      <c r="H139" t="inlineStr">
        <is>
          <t>Kyrkan</t>
        </is>
      </c>
      <c r="I139" t="n">
        <v>0.6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39876-2025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45891</v>
      </c>
      <c r="E140" s="1" t="n">
        <v>46319</v>
      </c>
      <c r="F140" t="inlineStr">
        <is>
          <t>VÄSTERNORRLANDS LÄN</t>
        </is>
      </c>
      <c r="G140" t="inlineStr">
        <is>
          <t>HÄRNÖSAND</t>
        </is>
      </c>
      <c r="H140" t="inlineStr">
        <is>
          <t>SCA</t>
        </is>
      </c>
      <c r="I140" t="n">
        <v>1.4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4818-2024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45328</v>
      </c>
      <c r="E141" s="1" t="n">
        <v>46319</v>
      </c>
      <c r="F141" t="inlineStr">
        <is>
          <t>VÄSTERNORRLANDS LÄN</t>
        </is>
      </c>
      <c r="G141" t="inlineStr">
        <is>
          <t>HÄRNÖSAND</t>
        </is>
      </c>
      <c r="H141" t="inlineStr">
        <is>
          <t>SCA</t>
        </is>
      </c>
      <c r="I141" t="n">
        <v>1.8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4819-2024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45328</v>
      </c>
      <c r="E142" s="1" t="n">
        <v>46319</v>
      </c>
      <c r="F142" t="inlineStr">
        <is>
          <t>VÄSTERNORRLANDS LÄN</t>
        </is>
      </c>
      <c r="G142" t="inlineStr">
        <is>
          <t>HÄRNÖSAND</t>
        </is>
      </c>
      <c r="H142" t="inlineStr">
        <is>
          <t>SCA</t>
        </is>
      </c>
      <c r="I142" t="n">
        <v>1.6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46508-2023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45194</v>
      </c>
      <c r="E143" s="1" t="n">
        <v>46319</v>
      </c>
      <c r="F143" t="inlineStr">
        <is>
          <t>VÄSTERNORRLANDS LÄN</t>
        </is>
      </c>
      <c r="G143" t="inlineStr">
        <is>
          <t>HÄRNÖSAND</t>
        </is>
      </c>
      <c r="I143" t="n">
        <v>1.4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65222-2023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45289</v>
      </c>
      <c r="E144" s="1" t="n">
        <v>46319</v>
      </c>
      <c r="F144" t="inlineStr">
        <is>
          <t>VÄSTERNORRLANDS LÄN</t>
        </is>
      </c>
      <c r="G144" t="inlineStr">
        <is>
          <t>HÄRNÖSAND</t>
        </is>
      </c>
      <c r="I144" t="n">
        <v>0.8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40743-2025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45897</v>
      </c>
      <c r="E145" s="1" t="n">
        <v>46319</v>
      </c>
      <c r="F145" t="inlineStr">
        <is>
          <t>VÄSTERNORRLANDS LÄN</t>
        </is>
      </c>
      <c r="G145" t="inlineStr">
        <is>
          <t>HÄRNÖSAND</t>
        </is>
      </c>
      <c r="I145" t="n">
        <v>6.7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2756-2022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44580</v>
      </c>
      <c r="E146" s="1" t="n">
        <v>46319</v>
      </c>
      <c r="F146" t="inlineStr">
        <is>
          <t>VÄSTERNORRLANDS LÄN</t>
        </is>
      </c>
      <c r="G146" t="inlineStr">
        <is>
          <t>HÄRNÖSAND</t>
        </is>
      </c>
      <c r="I146" t="n">
        <v>1.2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27976-2024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45476</v>
      </c>
      <c r="E147" s="1" t="n">
        <v>46319</v>
      </c>
      <c r="F147" t="inlineStr">
        <is>
          <t>VÄSTERNORRLANDS LÄN</t>
        </is>
      </c>
      <c r="G147" t="inlineStr">
        <is>
          <t>HÄRNÖSAND</t>
        </is>
      </c>
      <c r="I147" t="n">
        <v>1.6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41562-2025</t>
        </is>
      </c>
      <c r="B148" t="inlineStr">
        <is>
          <t>avverkningsanmälan</t>
        </is>
      </c>
      <c r="C148" t="inlineStr">
        <is>
          <t>Avverkning för annat ändamål</t>
        </is>
      </c>
      <c r="D148" s="1" t="n">
        <v>45901</v>
      </c>
      <c r="E148" s="1" t="n">
        <v>46319</v>
      </c>
      <c r="F148" t="inlineStr">
        <is>
          <t>VÄSTERNORRLANDS LÄN</t>
        </is>
      </c>
      <c r="G148" t="inlineStr">
        <is>
          <t>HÄRNÖSAND</t>
        </is>
      </c>
      <c r="I148" t="n">
        <v>1.5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13611-2023</t>
        </is>
      </c>
      <c r="B149" t="inlineStr">
        <is>
          <t>avverkningsanmälan</t>
        </is>
      </c>
      <c r="C149" t="inlineStr">
        <is>
          <t>Avverkning för annat ändamål</t>
        </is>
      </c>
      <c r="D149" s="1" t="n">
        <v>45006</v>
      </c>
      <c r="E149" s="1" t="n">
        <v>46319</v>
      </c>
      <c r="F149" t="inlineStr">
        <is>
          <t>VÄSTERNORRLANDS LÄN</t>
        </is>
      </c>
      <c r="G149" t="inlineStr">
        <is>
          <t>HÄRNÖSAND</t>
        </is>
      </c>
      <c r="I149" t="n">
        <v>1.7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35595-2024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45531</v>
      </c>
      <c r="E150" s="1" t="n">
        <v>46319</v>
      </c>
      <c r="F150" t="inlineStr">
        <is>
          <t>VÄSTERNORRLANDS LÄN</t>
        </is>
      </c>
      <c r="G150" t="inlineStr">
        <is>
          <t>HÄRNÖSAND</t>
        </is>
      </c>
      <c r="H150" t="inlineStr">
        <is>
          <t>SCA</t>
        </is>
      </c>
      <c r="I150" t="n">
        <v>1.3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25696-2025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45803</v>
      </c>
      <c r="E151" s="1" t="n">
        <v>46319</v>
      </c>
      <c r="F151" t="inlineStr">
        <is>
          <t>VÄSTERNORRLANDS LÄN</t>
        </is>
      </c>
      <c r="G151" t="inlineStr">
        <is>
          <t>HÄRNÖSAND</t>
        </is>
      </c>
      <c r="I151" t="n">
        <v>1.7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16875-2024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45409</v>
      </c>
      <c r="E152" s="1" t="n">
        <v>46319</v>
      </c>
      <c r="F152" t="inlineStr">
        <is>
          <t>VÄSTERNORRLANDS LÄN</t>
        </is>
      </c>
      <c r="G152" t="inlineStr">
        <is>
          <t>HÄRNÖSAND</t>
        </is>
      </c>
      <c r="I152" t="n">
        <v>4.8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786-2024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45300</v>
      </c>
      <c r="E153" s="1" t="n">
        <v>46319</v>
      </c>
      <c r="F153" t="inlineStr">
        <is>
          <t>VÄSTERNORRLANDS LÄN</t>
        </is>
      </c>
      <c r="G153" t="inlineStr">
        <is>
          <t>HÄRNÖSAND</t>
        </is>
      </c>
      <c r="I153" t="n">
        <v>1.7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23182-2026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46161</v>
      </c>
      <c r="E154" s="1" t="n">
        <v>46319</v>
      </c>
      <c r="F154" t="inlineStr">
        <is>
          <t>VÄSTERNORRLANDS LÄN</t>
        </is>
      </c>
      <c r="G154" t="inlineStr">
        <is>
          <t>HÄRNÖSAND</t>
        </is>
      </c>
      <c r="I154" t="n">
        <v>0.8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31165-2025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45832</v>
      </c>
      <c r="E155" s="1" t="n">
        <v>46319</v>
      </c>
      <c r="F155" t="inlineStr">
        <is>
          <t>VÄSTERNORRLANDS LÄN</t>
        </is>
      </c>
      <c r="G155" t="inlineStr">
        <is>
          <t>HÄRNÖSAND</t>
        </is>
      </c>
      <c r="I155" t="n">
        <v>5.4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23130-2026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46161</v>
      </c>
      <c r="E156" s="1" t="n">
        <v>46319</v>
      </c>
      <c r="F156" t="inlineStr">
        <is>
          <t>VÄSTERNORRLANDS LÄN</t>
        </is>
      </c>
      <c r="G156" t="inlineStr">
        <is>
          <t>HÄRNÖSAND</t>
        </is>
      </c>
      <c r="I156" t="n">
        <v>9.199999999999999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23148-2026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46161</v>
      </c>
      <c r="E157" s="1" t="n">
        <v>46319</v>
      </c>
      <c r="F157" t="inlineStr">
        <is>
          <t>VÄSTERNORRLANDS LÄN</t>
        </is>
      </c>
      <c r="G157" t="inlineStr">
        <is>
          <t>HÄRNÖSAND</t>
        </is>
      </c>
      <c r="I157" t="n">
        <v>1.9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17431-2023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45035</v>
      </c>
      <c r="E158" s="1" t="n">
        <v>46319</v>
      </c>
      <c r="F158" t="inlineStr">
        <is>
          <t>VÄSTERNORRLANDS LÄN</t>
        </is>
      </c>
      <c r="G158" t="inlineStr">
        <is>
          <t>HÄRNÖSAND</t>
        </is>
      </c>
      <c r="I158" t="n">
        <v>3.4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10544-2023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44987</v>
      </c>
      <c r="E159" s="1" t="n">
        <v>46319</v>
      </c>
      <c r="F159" t="inlineStr">
        <is>
          <t>VÄSTERNORRLANDS LÄN</t>
        </is>
      </c>
      <c r="G159" t="inlineStr">
        <is>
          <t>HÄRNÖSAND</t>
        </is>
      </c>
      <c r="H159" t="inlineStr">
        <is>
          <t>SCA</t>
        </is>
      </c>
      <c r="I159" t="n">
        <v>0.9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23176-2026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46161</v>
      </c>
      <c r="E160" s="1" t="n">
        <v>46319</v>
      </c>
      <c r="F160" t="inlineStr">
        <is>
          <t>VÄSTERNORRLANDS LÄN</t>
        </is>
      </c>
      <c r="G160" t="inlineStr">
        <is>
          <t>HÄRNÖSAND</t>
        </is>
      </c>
      <c r="I160" t="n">
        <v>2.1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23185-2026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46161</v>
      </c>
      <c r="E161" s="1" t="n">
        <v>46319</v>
      </c>
      <c r="F161" t="inlineStr">
        <is>
          <t>VÄSTERNORRLANDS LÄN</t>
        </is>
      </c>
      <c r="G161" t="inlineStr">
        <is>
          <t>HÄRNÖSAND</t>
        </is>
      </c>
      <c r="I161" t="n">
        <v>2.5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23231-2026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46162</v>
      </c>
      <c r="E162" s="1" t="n">
        <v>46319</v>
      </c>
      <c r="F162" t="inlineStr">
        <is>
          <t>VÄSTERNORRLANDS LÄN</t>
        </is>
      </c>
      <c r="G162" t="inlineStr">
        <is>
          <t>HÄRNÖSAND</t>
        </is>
      </c>
      <c r="I162" t="n">
        <v>4.4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23179-2026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46161</v>
      </c>
      <c r="E163" s="1" t="n">
        <v>46319</v>
      </c>
      <c r="F163" t="inlineStr">
        <is>
          <t>VÄSTERNORRLANDS LÄN</t>
        </is>
      </c>
      <c r="G163" t="inlineStr">
        <is>
          <t>HÄRNÖSAND</t>
        </is>
      </c>
      <c r="I163" t="n">
        <v>1.6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22515-2025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45786</v>
      </c>
      <c r="E164" s="1" t="n">
        <v>46319</v>
      </c>
      <c r="F164" t="inlineStr">
        <is>
          <t>VÄSTERNORRLANDS LÄN</t>
        </is>
      </c>
      <c r="G164" t="inlineStr">
        <is>
          <t>HÄRNÖSAND</t>
        </is>
      </c>
      <c r="H164" t="inlineStr">
        <is>
          <t>SCA</t>
        </is>
      </c>
      <c r="I164" t="n">
        <v>31.8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27694-2025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45813</v>
      </c>
      <c r="E165" s="1" t="n">
        <v>46319</v>
      </c>
      <c r="F165" t="inlineStr">
        <is>
          <t>VÄSTERNORRLANDS LÄN</t>
        </is>
      </c>
      <c r="G165" t="inlineStr">
        <is>
          <t>HÄRNÖSAND</t>
        </is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23233-2026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46162</v>
      </c>
      <c r="E166" s="1" t="n">
        <v>46319</v>
      </c>
      <c r="F166" t="inlineStr">
        <is>
          <t>VÄSTERNORRLANDS LÄN</t>
        </is>
      </c>
      <c r="G166" t="inlineStr">
        <is>
          <t>HÄRNÖSAND</t>
        </is>
      </c>
      <c r="I166" t="n">
        <v>2.3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22852-2025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45790</v>
      </c>
      <c r="E167" s="1" t="n">
        <v>46319</v>
      </c>
      <c r="F167" t="inlineStr">
        <is>
          <t>VÄSTERNORRLANDS LÄN</t>
        </is>
      </c>
      <c r="G167" t="inlineStr">
        <is>
          <t>HÄRNÖSAND</t>
        </is>
      </c>
      <c r="H167" t="inlineStr">
        <is>
          <t>SCA</t>
        </is>
      </c>
      <c r="I167" t="n">
        <v>31.8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23140-2026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46161</v>
      </c>
      <c r="E168" s="1" t="n">
        <v>46319</v>
      </c>
      <c r="F168" t="inlineStr">
        <is>
          <t>VÄSTERNORRLANDS LÄN</t>
        </is>
      </c>
      <c r="G168" t="inlineStr">
        <is>
          <t>HÄRNÖSAND</t>
        </is>
      </c>
      <c r="I168" t="n">
        <v>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23168-2026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46161</v>
      </c>
      <c r="E169" s="1" t="n">
        <v>46319</v>
      </c>
      <c r="F169" t="inlineStr">
        <is>
          <t>VÄSTERNORRLANDS LÄN</t>
        </is>
      </c>
      <c r="G169" t="inlineStr">
        <is>
          <t>HÄRNÖSAND</t>
        </is>
      </c>
      <c r="I169" t="n">
        <v>1.9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44039-2025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45915</v>
      </c>
      <c r="E170" s="1" t="n">
        <v>46319</v>
      </c>
      <c r="F170" t="inlineStr">
        <is>
          <t>VÄSTERNORRLANDS LÄN</t>
        </is>
      </c>
      <c r="G170" t="inlineStr">
        <is>
          <t>HÄRNÖSAND</t>
        </is>
      </c>
      <c r="H170" t="inlineStr">
        <is>
          <t>SCA</t>
        </is>
      </c>
      <c r="I170" t="n">
        <v>1.3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52237-2022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44869</v>
      </c>
      <c r="E171" s="1" t="n">
        <v>46319</v>
      </c>
      <c r="F171" t="inlineStr">
        <is>
          <t>VÄSTERNORRLANDS LÄN</t>
        </is>
      </c>
      <c r="G171" t="inlineStr">
        <is>
          <t>HÄRNÖSAND</t>
        </is>
      </c>
      <c r="I171" t="n">
        <v>1.9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44032-2025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45915</v>
      </c>
      <c r="E172" s="1" t="n">
        <v>46319</v>
      </c>
      <c r="F172" t="inlineStr">
        <is>
          <t>VÄSTERNORRLANDS LÄN</t>
        </is>
      </c>
      <c r="G172" t="inlineStr">
        <is>
          <t>HÄRNÖSAND</t>
        </is>
      </c>
      <c r="H172" t="inlineStr">
        <is>
          <t>SCA</t>
        </is>
      </c>
      <c r="I172" t="n">
        <v>2.8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44765-2025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45917</v>
      </c>
      <c r="E173" s="1" t="n">
        <v>46319</v>
      </c>
      <c r="F173" t="inlineStr">
        <is>
          <t>VÄSTERNORRLANDS LÄN</t>
        </is>
      </c>
      <c r="G173" t="inlineStr">
        <is>
          <t>HÄRNÖSAND</t>
        </is>
      </c>
      <c r="I173" t="n">
        <v>0.8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14018-2024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45392</v>
      </c>
      <c r="E174" s="1" t="n">
        <v>46319</v>
      </c>
      <c r="F174" t="inlineStr">
        <is>
          <t>VÄSTERNORRLANDS LÄN</t>
        </is>
      </c>
      <c r="G174" t="inlineStr">
        <is>
          <t>HÄRNÖSAND</t>
        </is>
      </c>
      <c r="I174" t="n">
        <v>1.1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45063-2025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45919</v>
      </c>
      <c r="E175" s="1" t="n">
        <v>46319</v>
      </c>
      <c r="F175" t="inlineStr">
        <is>
          <t>VÄSTERNORRLANDS LÄN</t>
        </is>
      </c>
      <c r="G175" t="inlineStr">
        <is>
          <t>HÄRNÖSAND</t>
        </is>
      </c>
      <c r="H175" t="inlineStr">
        <is>
          <t>SCA</t>
        </is>
      </c>
      <c r="I175" t="n">
        <v>0.9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24120-2026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46168</v>
      </c>
      <c r="E176" s="1" t="n">
        <v>46319</v>
      </c>
      <c r="F176" t="inlineStr">
        <is>
          <t>VÄSTERNORRLANDS LÄN</t>
        </is>
      </c>
      <c r="G176" t="inlineStr">
        <is>
          <t>HÄRNÖSAND</t>
        </is>
      </c>
      <c r="I176" t="n">
        <v>2.3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45341-2025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45922</v>
      </c>
      <c r="E177" s="1" t="n">
        <v>46319</v>
      </c>
      <c r="F177" t="inlineStr">
        <is>
          <t>VÄSTERNORRLANDS LÄN</t>
        </is>
      </c>
      <c r="G177" t="inlineStr">
        <is>
          <t>HÄRNÖSAND</t>
        </is>
      </c>
      <c r="I177" t="n">
        <v>2.8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58467-2025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45985</v>
      </c>
      <c r="E178" s="1" t="n">
        <v>46319</v>
      </c>
      <c r="F178" t="inlineStr">
        <is>
          <t>VÄSTERNORRLANDS LÄN</t>
        </is>
      </c>
      <c r="G178" t="inlineStr">
        <is>
          <t>HÄRNÖSAND</t>
        </is>
      </c>
      <c r="I178" t="n">
        <v>12.3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23896-2026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46167</v>
      </c>
      <c r="E179" s="1" t="n">
        <v>46319</v>
      </c>
      <c r="F179" t="inlineStr">
        <is>
          <t>VÄSTERNORRLANDS LÄN</t>
        </is>
      </c>
      <c r="G179" t="inlineStr">
        <is>
          <t>HÄRNÖSAND</t>
        </is>
      </c>
      <c r="I179" t="n">
        <v>3.3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45354-2025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45922</v>
      </c>
      <c r="E180" s="1" t="n">
        <v>46319</v>
      </c>
      <c r="F180" t="inlineStr">
        <is>
          <t>VÄSTERNORRLANDS LÄN</t>
        </is>
      </c>
      <c r="G180" t="inlineStr">
        <is>
          <t>HÄRNÖSAND</t>
        </is>
      </c>
      <c r="I180" t="n">
        <v>4.5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45739-2025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45923</v>
      </c>
      <c r="E181" s="1" t="n">
        <v>46319</v>
      </c>
      <c r="F181" t="inlineStr">
        <is>
          <t>VÄSTERNORRLANDS LÄN</t>
        </is>
      </c>
      <c r="G181" t="inlineStr">
        <is>
          <t>HÄRNÖSAND</t>
        </is>
      </c>
      <c r="H181" t="inlineStr">
        <is>
          <t>SCA</t>
        </is>
      </c>
      <c r="I181" t="n">
        <v>3.1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45997-2025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45924</v>
      </c>
      <c r="E182" s="1" t="n">
        <v>46319</v>
      </c>
      <c r="F182" t="inlineStr">
        <is>
          <t>VÄSTERNORRLANDS LÄN</t>
        </is>
      </c>
      <c r="G182" t="inlineStr">
        <is>
          <t>HÄRNÖSAND</t>
        </is>
      </c>
      <c r="I182" t="n">
        <v>6.6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59591-2024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45638</v>
      </c>
      <c r="E183" s="1" t="n">
        <v>46319</v>
      </c>
      <c r="F183" t="inlineStr">
        <is>
          <t>VÄSTERNORRLANDS LÄN</t>
        </is>
      </c>
      <c r="G183" t="inlineStr">
        <is>
          <t>HÄRNÖSAND</t>
        </is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45990-2025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45924</v>
      </c>
      <c r="E184" s="1" t="n">
        <v>46319</v>
      </c>
      <c r="F184" t="inlineStr">
        <is>
          <t>VÄSTERNORRLANDS LÄN</t>
        </is>
      </c>
      <c r="G184" t="inlineStr">
        <is>
          <t>HÄRNÖSAND</t>
        </is>
      </c>
      <c r="I184" t="n">
        <v>1.3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46101-2025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45924</v>
      </c>
      <c r="E185" s="1" t="n">
        <v>46319</v>
      </c>
      <c r="F185" t="inlineStr">
        <is>
          <t>VÄSTERNORRLANDS LÄN</t>
        </is>
      </c>
      <c r="G185" t="inlineStr">
        <is>
          <t>HÄRNÖSAND</t>
        </is>
      </c>
      <c r="I185" t="n">
        <v>0.7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23884-2026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46167</v>
      </c>
      <c r="E186" s="1" t="n">
        <v>46319</v>
      </c>
      <c r="F186" t="inlineStr">
        <is>
          <t>VÄSTERNORRLANDS LÄN</t>
        </is>
      </c>
      <c r="G186" t="inlineStr">
        <is>
          <t>HÄRNÖSAND</t>
        </is>
      </c>
      <c r="I186" t="n">
        <v>2.6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45981-2025</t>
        </is>
      </c>
      <c r="B187" t="inlineStr">
        <is>
          <t>avverkningsanmälan</t>
        </is>
      </c>
      <c r="C187" t="inlineStr">
        <is>
          <t>Avverkning för annat ändamål</t>
        </is>
      </c>
      <c r="D187" s="1" t="n">
        <v>45924</v>
      </c>
      <c r="E187" s="1" t="n">
        <v>46319</v>
      </c>
      <c r="F187" t="inlineStr">
        <is>
          <t>VÄSTERNORRLANDS LÄN</t>
        </is>
      </c>
      <c r="G187" t="inlineStr">
        <is>
          <t>HÄRNÖSAND</t>
        </is>
      </c>
      <c r="I187" t="n">
        <v>1.2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46021-2025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45924</v>
      </c>
      <c r="E188" s="1" t="n">
        <v>46319</v>
      </c>
      <c r="F188" t="inlineStr">
        <is>
          <t>VÄSTERNORRLANDS LÄN</t>
        </is>
      </c>
      <c r="G188" t="inlineStr">
        <is>
          <t>HÄRNÖSAND</t>
        </is>
      </c>
      <c r="I188" t="n">
        <v>3.4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21585-2026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46149</v>
      </c>
      <c r="E189" s="1" t="n">
        <v>46319</v>
      </c>
      <c r="F189" t="inlineStr">
        <is>
          <t>VÄSTERNORRLANDS LÄN</t>
        </is>
      </c>
      <c r="G189" t="inlineStr">
        <is>
          <t>HÄRNÖSAND</t>
        </is>
      </c>
      <c r="I189" t="n">
        <v>13.8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12533-2023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45000</v>
      </c>
      <c r="E190" s="1" t="n">
        <v>46319</v>
      </c>
      <c r="F190" t="inlineStr">
        <is>
          <t>VÄSTERNORRLANDS LÄN</t>
        </is>
      </c>
      <c r="G190" t="inlineStr">
        <is>
          <t>HÄRNÖSAND</t>
        </is>
      </c>
      <c r="H190" t="inlineStr">
        <is>
          <t>SCA</t>
        </is>
      </c>
      <c r="I190" t="n">
        <v>3.2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12543-2023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45000</v>
      </c>
      <c r="E191" s="1" t="n">
        <v>46319</v>
      </c>
      <c r="F191" t="inlineStr">
        <is>
          <t>VÄSTERNORRLANDS LÄN</t>
        </is>
      </c>
      <c r="G191" t="inlineStr">
        <is>
          <t>HÄRNÖSAND</t>
        </is>
      </c>
      <c r="H191" t="inlineStr">
        <is>
          <t>SCA</t>
        </is>
      </c>
      <c r="I191" t="n">
        <v>4.2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58869-2023</t>
        </is>
      </c>
      <c r="B192" t="inlineStr">
        <is>
          <t>avverkningsanmälan</t>
        </is>
      </c>
      <c r="C192" t="inlineStr">
        <is>
          <t>Avverkning för att bevara och utveckla /försöksver</t>
        </is>
      </c>
      <c r="D192" s="1" t="n">
        <v>45250</v>
      </c>
      <c r="E192" s="1" t="n">
        <v>46319</v>
      </c>
      <c r="F192" t="inlineStr">
        <is>
          <t>VÄSTERNORRLANDS LÄN</t>
        </is>
      </c>
      <c r="G192" t="inlineStr">
        <is>
          <t>HÄRNÖSAND</t>
        </is>
      </c>
      <c r="I192" t="n">
        <v>3.4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23818-2026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46165</v>
      </c>
      <c r="E193" s="1" t="n">
        <v>46319</v>
      </c>
      <c r="F193" t="inlineStr">
        <is>
          <t>VÄSTERNORRLANDS LÄN</t>
        </is>
      </c>
      <c r="G193" t="inlineStr">
        <is>
          <t>HÄRNÖSAND</t>
        </is>
      </c>
      <c r="I193" t="n">
        <v>1.5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24502-2026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46170</v>
      </c>
      <c r="E194" s="1" t="n">
        <v>46319</v>
      </c>
      <c r="F194" t="inlineStr">
        <is>
          <t>VÄSTERNORRLANDS LÄN</t>
        </is>
      </c>
      <c r="G194" t="inlineStr">
        <is>
          <t>HÄRNÖSAND</t>
        </is>
      </c>
      <c r="I194" t="n">
        <v>0.8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43266-2025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45910</v>
      </c>
      <c r="E195" s="1" t="n">
        <v>46319</v>
      </c>
      <c r="F195" t="inlineStr">
        <is>
          <t>VÄSTERNORRLANDS LÄN</t>
        </is>
      </c>
      <c r="G195" t="inlineStr">
        <is>
          <t>HÄRNÖSAND</t>
        </is>
      </c>
      <c r="I195" t="n">
        <v>3.9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18979-2023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45044</v>
      </c>
      <c r="E196" s="1" t="n">
        <v>46319</v>
      </c>
      <c r="F196" t="inlineStr">
        <is>
          <t>VÄSTERNORRLANDS LÄN</t>
        </is>
      </c>
      <c r="G196" t="inlineStr">
        <is>
          <t>HÄRNÖSAND</t>
        </is>
      </c>
      <c r="H196" t="inlineStr">
        <is>
          <t>SCA</t>
        </is>
      </c>
      <c r="I196" t="n">
        <v>0.7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34226-2023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45126</v>
      </c>
      <c r="E197" s="1" t="n">
        <v>46319</v>
      </c>
      <c r="F197" t="inlineStr">
        <is>
          <t>VÄSTERNORRLANDS LÄN</t>
        </is>
      </c>
      <c r="G197" t="inlineStr">
        <is>
          <t>HÄRNÖSAND</t>
        </is>
      </c>
      <c r="I197" t="n">
        <v>1.7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45082-2025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45919</v>
      </c>
      <c r="E198" s="1" t="n">
        <v>46319</v>
      </c>
      <c r="F198" t="inlineStr">
        <is>
          <t>VÄSTERNORRLANDS LÄN</t>
        </is>
      </c>
      <c r="G198" t="inlineStr">
        <is>
          <t>HÄRNÖSAND</t>
        </is>
      </c>
      <c r="H198" t="inlineStr">
        <is>
          <t>SCA</t>
        </is>
      </c>
      <c r="I198" t="n">
        <v>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24503-2026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46170</v>
      </c>
      <c r="E199" s="1" t="n">
        <v>46319</v>
      </c>
      <c r="F199" t="inlineStr">
        <is>
          <t>VÄSTERNORRLANDS LÄN</t>
        </is>
      </c>
      <c r="G199" t="inlineStr">
        <is>
          <t>HÄRNÖSAND</t>
        </is>
      </c>
      <c r="I199" t="n">
        <v>2.6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48721-2025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45936</v>
      </c>
      <c r="E200" s="1" t="n">
        <v>46319</v>
      </c>
      <c r="F200" t="inlineStr">
        <is>
          <t>VÄSTERNORRLANDS LÄN</t>
        </is>
      </c>
      <c r="G200" t="inlineStr">
        <is>
          <t>HÄRNÖSAND</t>
        </is>
      </c>
      <c r="I200" t="n">
        <v>4.5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25251-2026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46175</v>
      </c>
      <c r="E201" s="1" t="n">
        <v>46319</v>
      </c>
      <c r="F201" t="inlineStr">
        <is>
          <t>VÄSTERNORRLANDS LÄN</t>
        </is>
      </c>
      <c r="G201" t="inlineStr">
        <is>
          <t>HÄRNÖSAND</t>
        </is>
      </c>
      <c r="I201" t="n">
        <v>1.1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25254-2026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46175</v>
      </c>
      <c r="E202" s="1" t="n">
        <v>46319</v>
      </c>
      <c r="F202" t="inlineStr">
        <is>
          <t>VÄSTERNORRLANDS LÄN</t>
        </is>
      </c>
      <c r="G202" t="inlineStr">
        <is>
          <t>HÄRNÖSAND</t>
        </is>
      </c>
      <c r="I202" t="n">
        <v>0.4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13417-2026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46094</v>
      </c>
      <c r="E203" s="1" t="n">
        <v>46319</v>
      </c>
      <c r="F203" t="inlineStr">
        <is>
          <t>VÄSTERNORRLANDS LÄN</t>
        </is>
      </c>
      <c r="G203" t="inlineStr">
        <is>
          <t>HÄRNÖSAND</t>
        </is>
      </c>
      <c r="I203" t="n">
        <v>5.8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48633-2025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45936</v>
      </c>
      <c r="E204" s="1" t="n">
        <v>46319</v>
      </c>
      <c r="F204" t="inlineStr">
        <is>
          <t>VÄSTERNORRLANDS LÄN</t>
        </is>
      </c>
      <c r="G204" t="inlineStr">
        <is>
          <t>HÄRNÖSAND</t>
        </is>
      </c>
      <c r="I204" t="n">
        <v>2.6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48630-2025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45936</v>
      </c>
      <c r="E205" s="1" t="n">
        <v>46319</v>
      </c>
      <c r="F205" t="inlineStr">
        <is>
          <t>VÄSTERNORRLANDS LÄN</t>
        </is>
      </c>
      <c r="G205" t="inlineStr">
        <is>
          <t>HÄRNÖSAND</t>
        </is>
      </c>
      <c r="I205" t="n">
        <v>4.7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48800-2025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45937</v>
      </c>
      <c r="E206" s="1" t="n">
        <v>46319</v>
      </c>
      <c r="F206" t="inlineStr">
        <is>
          <t>VÄSTERNORRLANDS LÄN</t>
        </is>
      </c>
      <c r="G206" t="inlineStr">
        <is>
          <t>HÄRNÖSAND</t>
        </is>
      </c>
      <c r="H206" t="inlineStr">
        <is>
          <t>SCA</t>
        </is>
      </c>
      <c r="I206" t="n">
        <v>1.9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25248-2026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46175</v>
      </c>
      <c r="E207" s="1" t="n">
        <v>46319</v>
      </c>
      <c r="F207" t="inlineStr">
        <is>
          <t>VÄSTERNORRLANDS LÄN</t>
        </is>
      </c>
      <c r="G207" t="inlineStr">
        <is>
          <t>HÄRNÖSAND</t>
        </is>
      </c>
      <c r="I207" t="n">
        <v>1.7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49625-2025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45939</v>
      </c>
      <c r="E208" s="1" t="n">
        <v>46319</v>
      </c>
      <c r="F208" t="inlineStr">
        <is>
          <t>VÄSTERNORRLANDS LÄN</t>
        </is>
      </c>
      <c r="G208" t="inlineStr">
        <is>
          <t>HÄRNÖSAND</t>
        </is>
      </c>
      <c r="H208" t="inlineStr">
        <is>
          <t>SCA</t>
        </is>
      </c>
      <c r="I208" t="n">
        <v>4.7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18345-2025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45762</v>
      </c>
      <c r="E209" s="1" t="n">
        <v>46319</v>
      </c>
      <c r="F209" t="inlineStr">
        <is>
          <t>VÄSTERNORRLANDS LÄN</t>
        </is>
      </c>
      <c r="G209" t="inlineStr">
        <is>
          <t>HÄRNÖSAND</t>
        </is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43248-2023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45180</v>
      </c>
      <c r="E210" s="1" t="n">
        <v>46319</v>
      </c>
      <c r="F210" t="inlineStr">
        <is>
          <t>VÄSTERNORRLANDS LÄN</t>
        </is>
      </c>
      <c r="G210" t="inlineStr">
        <is>
          <t>HÄRNÖSAND</t>
        </is>
      </c>
      <c r="I210" t="n">
        <v>1.2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24943-2026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46174</v>
      </c>
      <c r="E211" s="1" t="n">
        <v>46319</v>
      </c>
      <c r="F211" t="inlineStr">
        <is>
          <t>VÄSTERNORRLANDS LÄN</t>
        </is>
      </c>
      <c r="G211" t="inlineStr">
        <is>
          <t>HÄRNÖSAND</t>
        </is>
      </c>
      <c r="I211" t="n">
        <v>5.6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37172-2022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44806</v>
      </c>
      <c r="E212" s="1" t="n">
        <v>46319</v>
      </c>
      <c r="F212" t="inlineStr">
        <is>
          <t>VÄSTERNORRLANDS LÄN</t>
        </is>
      </c>
      <c r="G212" t="inlineStr">
        <is>
          <t>HÄRNÖSAND</t>
        </is>
      </c>
      <c r="I212" t="n">
        <v>2.4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37172-2022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44806</v>
      </c>
      <c r="E213" s="1" t="n">
        <v>46319</v>
      </c>
      <c r="F213" t="inlineStr">
        <is>
          <t>VÄSTERNORRLANDS LÄN</t>
        </is>
      </c>
      <c r="G213" t="inlineStr">
        <is>
          <t>HÄRNÖSAND</t>
        </is>
      </c>
      <c r="I213" t="n">
        <v>0.5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25465-2026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46177</v>
      </c>
      <c r="E214" s="1" t="n">
        <v>46319</v>
      </c>
      <c r="F214" t="inlineStr">
        <is>
          <t>VÄSTERNORRLANDS LÄN</t>
        </is>
      </c>
      <c r="G214" t="inlineStr">
        <is>
          <t>HÄRNÖSAND</t>
        </is>
      </c>
      <c r="I214" t="n">
        <v>1.4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45921-2024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45580</v>
      </c>
      <c r="E215" s="1" t="n">
        <v>46319</v>
      </c>
      <c r="F215" t="inlineStr">
        <is>
          <t>VÄSTERNORRLANDS LÄN</t>
        </is>
      </c>
      <c r="G215" t="inlineStr">
        <is>
          <t>HÄRNÖSAND</t>
        </is>
      </c>
      <c r="I215" t="n">
        <v>14.2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25451-2026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46177</v>
      </c>
      <c r="E216" s="1" t="n">
        <v>46319</v>
      </c>
      <c r="F216" t="inlineStr">
        <is>
          <t>VÄSTERNORRLANDS LÄN</t>
        </is>
      </c>
      <c r="G216" t="inlineStr">
        <is>
          <t>HÄRNÖSAND</t>
        </is>
      </c>
      <c r="I216" t="n">
        <v>2.3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35785-2023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45147</v>
      </c>
      <c r="E217" s="1" t="n">
        <v>46319</v>
      </c>
      <c r="F217" t="inlineStr">
        <is>
          <t>VÄSTERNORRLANDS LÄN</t>
        </is>
      </c>
      <c r="G217" t="inlineStr">
        <is>
          <t>HÄRNÖSAND</t>
        </is>
      </c>
      <c r="I217" t="n">
        <v>1.6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25452-2026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46177</v>
      </c>
      <c r="E218" s="1" t="n">
        <v>46319</v>
      </c>
      <c r="F218" t="inlineStr">
        <is>
          <t>VÄSTERNORRLANDS LÄN</t>
        </is>
      </c>
      <c r="G218" t="inlineStr">
        <is>
          <t>HÄRNÖSAND</t>
        </is>
      </c>
      <c r="I218" t="n">
        <v>1.5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25466-2026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46177</v>
      </c>
      <c r="E219" s="1" t="n">
        <v>46319</v>
      </c>
      <c r="F219" t="inlineStr">
        <is>
          <t>VÄSTERNORRLANDS LÄN</t>
        </is>
      </c>
      <c r="G219" t="inlineStr">
        <is>
          <t>HÄRNÖSAND</t>
        </is>
      </c>
      <c r="I219" t="n">
        <v>0.2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37586-2022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44809</v>
      </c>
      <c r="E220" s="1" t="n">
        <v>46319</v>
      </c>
      <c r="F220" t="inlineStr">
        <is>
          <t>VÄSTERNORRLANDS LÄN</t>
        </is>
      </c>
      <c r="G220" t="inlineStr">
        <is>
          <t>HÄRNÖSAND</t>
        </is>
      </c>
      <c r="I220" t="n">
        <v>1.8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25444-2026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46177</v>
      </c>
      <c r="E221" s="1" t="n">
        <v>46319</v>
      </c>
      <c r="F221" t="inlineStr">
        <is>
          <t>VÄSTERNORRLANDS LÄN</t>
        </is>
      </c>
      <c r="G221" t="inlineStr">
        <is>
          <t>HÄRNÖSAND</t>
        </is>
      </c>
      <c r="I221" t="n">
        <v>0.8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47552-2022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44853</v>
      </c>
      <c r="E222" s="1" t="n">
        <v>46319</v>
      </c>
      <c r="F222" t="inlineStr">
        <is>
          <t>VÄSTERNORRLANDS LÄN</t>
        </is>
      </c>
      <c r="G222" t="inlineStr">
        <is>
          <t>HÄRNÖSAND</t>
        </is>
      </c>
      <c r="I222" t="n">
        <v>1.3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25782-2026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46178</v>
      </c>
      <c r="E223" s="1" t="n">
        <v>46319</v>
      </c>
      <c r="F223" t="inlineStr">
        <is>
          <t>VÄSTERNORRLANDS LÄN</t>
        </is>
      </c>
      <c r="G223" t="inlineStr">
        <is>
          <t>HÄRNÖSAND</t>
        </is>
      </c>
      <c r="I223" t="n">
        <v>1.9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25974-2026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46181</v>
      </c>
      <c r="E224" s="1" t="n">
        <v>46319</v>
      </c>
      <c r="F224" t="inlineStr">
        <is>
          <t>VÄSTERNORRLANDS LÄN</t>
        </is>
      </c>
      <c r="G224" t="inlineStr">
        <is>
          <t>HÄRNÖSAND</t>
        </is>
      </c>
      <c r="I224" t="n">
        <v>1.6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25908-2026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46178</v>
      </c>
      <c r="E225" s="1" t="n">
        <v>46319</v>
      </c>
      <c r="F225" t="inlineStr">
        <is>
          <t>VÄSTERNORRLANDS LÄN</t>
        </is>
      </c>
      <c r="G225" t="inlineStr">
        <is>
          <t>HÄRNÖSAND</t>
        </is>
      </c>
      <c r="I225" t="n">
        <v>1.2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59121-2023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45251</v>
      </c>
      <c r="E226" s="1" t="n">
        <v>46319</v>
      </c>
      <c r="F226" t="inlineStr">
        <is>
          <t>VÄSTERNORRLANDS LÄN</t>
        </is>
      </c>
      <c r="G226" t="inlineStr">
        <is>
          <t>HÄRNÖSAND</t>
        </is>
      </c>
      <c r="I226" t="n">
        <v>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29255-2024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45482</v>
      </c>
      <c r="E227" s="1" t="n">
        <v>46319</v>
      </c>
      <c r="F227" t="inlineStr">
        <is>
          <t>VÄSTERNORRLANDS LÄN</t>
        </is>
      </c>
      <c r="G227" t="inlineStr">
        <is>
          <t>HÄRNÖSAND</t>
        </is>
      </c>
      <c r="H227" t="inlineStr">
        <is>
          <t>SCA</t>
        </is>
      </c>
      <c r="I227" t="n">
        <v>5.5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26256-2026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46182</v>
      </c>
      <c r="E228" s="1" t="n">
        <v>46319</v>
      </c>
      <c r="F228" t="inlineStr">
        <is>
          <t>VÄSTERNORRLANDS LÄN</t>
        </is>
      </c>
      <c r="G228" t="inlineStr">
        <is>
          <t>HÄRNÖSAND</t>
        </is>
      </c>
      <c r="I228" t="n">
        <v>7.5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26667-2026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46184</v>
      </c>
      <c r="E229" s="1" t="n">
        <v>46319</v>
      </c>
      <c r="F229" t="inlineStr">
        <is>
          <t>VÄSTERNORRLANDS LÄN</t>
        </is>
      </c>
      <c r="G229" t="inlineStr">
        <is>
          <t>HÄRNÖSAND</t>
        </is>
      </c>
      <c r="I229" t="n">
        <v>9.1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19167-2025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45769</v>
      </c>
      <c r="E230" s="1" t="n">
        <v>46319</v>
      </c>
      <c r="F230" t="inlineStr">
        <is>
          <t>VÄSTERNORRLANDS LÄN</t>
        </is>
      </c>
      <c r="G230" t="inlineStr">
        <is>
          <t>HÄRNÖSAND</t>
        </is>
      </c>
      <c r="H230" t="inlineStr">
        <is>
          <t>SCA</t>
        </is>
      </c>
      <c r="I230" t="n">
        <v>0.9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61337-2024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45646</v>
      </c>
      <c r="E231" s="1" t="n">
        <v>46319</v>
      </c>
      <c r="F231" t="inlineStr">
        <is>
          <t>VÄSTERNORRLANDS LÄN</t>
        </is>
      </c>
      <c r="G231" t="inlineStr">
        <is>
          <t>HÄRNÖSAND</t>
        </is>
      </c>
      <c r="I231" t="n">
        <v>1.3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32140-2023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45107</v>
      </c>
      <c r="E232" s="1" t="n">
        <v>46319</v>
      </c>
      <c r="F232" t="inlineStr">
        <is>
          <t>VÄSTERNORRLANDS LÄN</t>
        </is>
      </c>
      <c r="G232" t="inlineStr">
        <is>
          <t>HÄRNÖSAND</t>
        </is>
      </c>
      <c r="I232" t="n">
        <v>1.5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53327-2025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45959</v>
      </c>
      <c r="E233" s="1" t="n">
        <v>46319</v>
      </c>
      <c r="F233" t="inlineStr">
        <is>
          <t>VÄSTERNORRLANDS LÄN</t>
        </is>
      </c>
      <c r="G233" t="inlineStr">
        <is>
          <t>HÄRNÖSAND</t>
        </is>
      </c>
      <c r="I233" t="n">
        <v>2.6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53328-2025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45959</v>
      </c>
      <c r="E234" s="1" t="n">
        <v>46319</v>
      </c>
      <c r="F234" t="inlineStr">
        <is>
          <t>VÄSTERNORRLANDS LÄN</t>
        </is>
      </c>
      <c r="G234" t="inlineStr">
        <is>
          <t>HÄRNÖSAND</t>
        </is>
      </c>
      <c r="I234" t="n">
        <v>2.5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27459-2026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46189</v>
      </c>
      <c r="E235" s="1" t="n">
        <v>46319</v>
      </c>
      <c r="F235" t="inlineStr">
        <is>
          <t>VÄSTERNORRLANDS LÄN</t>
        </is>
      </c>
      <c r="G235" t="inlineStr">
        <is>
          <t>HÄRNÖSAND</t>
        </is>
      </c>
      <c r="I235" t="n">
        <v>1.2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25745-2025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45800</v>
      </c>
      <c r="E236" s="1" t="n">
        <v>46319</v>
      </c>
      <c r="F236" t="inlineStr">
        <is>
          <t>VÄSTERNORRLANDS LÄN</t>
        </is>
      </c>
      <c r="G236" t="inlineStr">
        <is>
          <t>HÄRNÖSAND</t>
        </is>
      </c>
      <c r="I236" t="n">
        <v>1.4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27162-2026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46188</v>
      </c>
      <c r="E237" s="1" t="n">
        <v>46319</v>
      </c>
      <c r="F237" t="inlineStr">
        <is>
          <t>VÄSTERNORRLANDS LÄN</t>
        </is>
      </c>
      <c r="G237" t="inlineStr">
        <is>
          <t>HÄRNÖSAND</t>
        </is>
      </c>
      <c r="I237" t="n">
        <v>3.9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27458-2026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46189</v>
      </c>
      <c r="E238" s="1" t="n">
        <v>46319</v>
      </c>
      <c r="F238" t="inlineStr">
        <is>
          <t>VÄSTERNORRLANDS LÄN</t>
        </is>
      </c>
      <c r="G238" t="inlineStr">
        <is>
          <t>HÄRNÖSAND</t>
        </is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27421-2026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46189</v>
      </c>
      <c r="E239" s="1" t="n">
        <v>46319</v>
      </c>
      <c r="F239" t="inlineStr">
        <is>
          <t>VÄSTERNORRLANDS LÄN</t>
        </is>
      </c>
      <c r="G239" t="inlineStr">
        <is>
          <t>HÄRNÖSAND</t>
        </is>
      </c>
      <c r="I239" t="n">
        <v>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27460-2026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46189</v>
      </c>
      <c r="E240" s="1" t="n">
        <v>46319</v>
      </c>
      <c r="F240" t="inlineStr">
        <is>
          <t>VÄSTERNORRLANDS LÄN</t>
        </is>
      </c>
      <c r="G240" t="inlineStr">
        <is>
          <t>HÄRNÖSAND</t>
        </is>
      </c>
      <c r="I240" t="n">
        <v>3.8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27461-2026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46189</v>
      </c>
      <c r="E241" s="1" t="n">
        <v>46319</v>
      </c>
      <c r="F241" t="inlineStr">
        <is>
          <t>VÄSTERNORRLANDS LÄN</t>
        </is>
      </c>
      <c r="G241" t="inlineStr">
        <is>
          <t>HÄRNÖSAND</t>
        </is>
      </c>
      <c r="I241" t="n">
        <v>0.6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27922-2026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46191</v>
      </c>
      <c r="E242" s="1" t="n">
        <v>46319</v>
      </c>
      <c r="F242" t="inlineStr">
        <is>
          <t>VÄSTERNORRLANDS LÄN</t>
        </is>
      </c>
      <c r="G242" t="inlineStr">
        <is>
          <t>HÄRNÖSAND</t>
        </is>
      </c>
      <c r="H242" t="inlineStr">
        <is>
          <t>SCA</t>
        </is>
      </c>
      <c r="I242" t="n">
        <v>1.1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27544-2026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46190</v>
      </c>
      <c r="E243" s="1" t="n">
        <v>46319</v>
      </c>
      <c r="F243" t="inlineStr">
        <is>
          <t>VÄSTERNORRLANDS LÄN</t>
        </is>
      </c>
      <c r="G243" t="inlineStr">
        <is>
          <t>HÄRNÖSAND</t>
        </is>
      </c>
      <c r="I243" t="n">
        <v>0.4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28001-2026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46195</v>
      </c>
      <c r="E244" s="1" t="n">
        <v>46319</v>
      </c>
      <c r="F244" t="inlineStr">
        <is>
          <t>VÄSTERNORRLANDS LÄN</t>
        </is>
      </c>
      <c r="G244" t="inlineStr">
        <is>
          <t>HÄRNÖSAND</t>
        </is>
      </c>
      <c r="I244" t="n">
        <v>1.5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28006-2026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46195</v>
      </c>
      <c r="E245" s="1" t="n">
        <v>46319</v>
      </c>
      <c r="F245" t="inlineStr">
        <is>
          <t>VÄSTERNORRLANDS LÄN</t>
        </is>
      </c>
      <c r="G245" t="inlineStr">
        <is>
          <t>HÄRNÖSAND</t>
        </is>
      </c>
      <c r="I245" t="n">
        <v>1.7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28005-2026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46195</v>
      </c>
      <c r="E246" s="1" t="n">
        <v>46319</v>
      </c>
      <c r="F246" t="inlineStr">
        <is>
          <t>VÄSTERNORRLANDS LÄN</t>
        </is>
      </c>
      <c r="G246" t="inlineStr">
        <is>
          <t>HÄRNÖSAND</t>
        </is>
      </c>
      <c r="I246" t="n">
        <v>3.6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11045-2025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45723</v>
      </c>
      <c r="E247" s="1" t="n">
        <v>46319</v>
      </c>
      <c r="F247" t="inlineStr">
        <is>
          <t>VÄSTERNORRLANDS LÄN</t>
        </is>
      </c>
      <c r="G247" t="inlineStr">
        <is>
          <t>HÄRNÖSAND</t>
        </is>
      </c>
      <c r="I247" t="n">
        <v>0.5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23688-2025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45793</v>
      </c>
      <c r="E248" s="1" t="n">
        <v>46319</v>
      </c>
      <c r="F248" t="inlineStr">
        <is>
          <t>VÄSTERNORRLANDS LÄN</t>
        </is>
      </c>
      <c r="G248" t="inlineStr">
        <is>
          <t>HÄRNÖSAND</t>
        </is>
      </c>
      <c r="H248" t="inlineStr">
        <is>
          <t>SCA</t>
        </is>
      </c>
      <c r="I248" t="n">
        <v>0.9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28004-2026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46195</v>
      </c>
      <c r="E249" s="1" t="n">
        <v>46319</v>
      </c>
      <c r="F249" t="inlineStr">
        <is>
          <t>VÄSTERNORRLANDS LÄN</t>
        </is>
      </c>
      <c r="G249" t="inlineStr">
        <is>
          <t>HÄRNÖSAND</t>
        </is>
      </c>
      <c r="I249" t="n">
        <v>1.5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28032-2026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46195</v>
      </c>
      <c r="E250" s="1" t="n">
        <v>46319</v>
      </c>
      <c r="F250" t="inlineStr">
        <is>
          <t>VÄSTERNORRLANDS LÄN</t>
        </is>
      </c>
      <c r="G250" t="inlineStr">
        <is>
          <t>HÄRNÖSAND</t>
        </is>
      </c>
      <c r="I250" t="n">
        <v>2.4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28043-2026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46195</v>
      </c>
      <c r="E251" s="1" t="n">
        <v>46319</v>
      </c>
      <c r="F251" t="inlineStr">
        <is>
          <t>VÄSTERNORRLANDS LÄN</t>
        </is>
      </c>
      <c r="G251" t="inlineStr">
        <is>
          <t>HÄRNÖSAND</t>
        </is>
      </c>
      <c r="I251" t="n">
        <v>4.7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29104-2023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45097</v>
      </c>
      <c r="E252" s="1" t="n">
        <v>46319</v>
      </c>
      <c r="F252" t="inlineStr">
        <is>
          <t>VÄSTERNORRLANDS LÄN</t>
        </is>
      </c>
      <c r="G252" t="inlineStr">
        <is>
          <t>HÄRNÖSAND</t>
        </is>
      </c>
      <c r="I252" t="n">
        <v>2.6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55772-2025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45972</v>
      </c>
      <c r="E253" s="1" t="n">
        <v>46319</v>
      </c>
      <c r="F253" t="inlineStr">
        <is>
          <t>VÄSTERNORRLANDS LÄN</t>
        </is>
      </c>
      <c r="G253" t="inlineStr">
        <is>
          <t>HÄRNÖSAND</t>
        </is>
      </c>
      <c r="H253" t="inlineStr">
        <is>
          <t>SCA</t>
        </is>
      </c>
      <c r="I253" t="n">
        <v>15.6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48047-2022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44855</v>
      </c>
      <c r="E254" s="1" t="n">
        <v>46319</v>
      </c>
      <c r="F254" t="inlineStr">
        <is>
          <t>VÄSTERNORRLANDS LÄN</t>
        </is>
      </c>
      <c r="G254" t="inlineStr">
        <is>
          <t>HÄRNÖSAND</t>
        </is>
      </c>
      <c r="I254" t="n">
        <v>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55773-2025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45972</v>
      </c>
      <c r="E255" s="1" t="n">
        <v>46319</v>
      </c>
      <c r="F255" t="inlineStr">
        <is>
          <t>VÄSTERNORRLANDS LÄN</t>
        </is>
      </c>
      <c r="G255" t="inlineStr">
        <is>
          <t>HÄRNÖSAND</t>
        </is>
      </c>
      <c r="H255" t="inlineStr">
        <is>
          <t>SCA</t>
        </is>
      </c>
      <c r="I255" t="n">
        <v>12.2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57154-2024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45629</v>
      </c>
      <c r="E256" s="1" t="n">
        <v>46319</v>
      </c>
      <c r="F256" t="inlineStr">
        <is>
          <t>VÄSTERNORRLANDS LÄN</t>
        </is>
      </c>
      <c r="G256" t="inlineStr">
        <is>
          <t>HÄRNÖSAND</t>
        </is>
      </c>
      <c r="I256" t="n">
        <v>3.3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56422-2025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45975</v>
      </c>
      <c r="E257" s="1" t="n">
        <v>46319</v>
      </c>
      <c r="F257" t="inlineStr">
        <is>
          <t>VÄSTERNORRLANDS LÄN</t>
        </is>
      </c>
      <c r="G257" t="inlineStr">
        <is>
          <t>HÄRNÖSAND</t>
        </is>
      </c>
      <c r="H257" t="inlineStr">
        <is>
          <t>SCA</t>
        </is>
      </c>
      <c r="I257" t="n">
        <v>4.8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56736-2025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45978</v>
      </c>
      <c r="E258" s="1" t="n">
        <v>46319</v>
      </c>
      <c r="F258" t="inlineStr">
        <is>
          <t>VÄSTERNORRLANDS LÄN</t>
        </is>
      </c>
      <c r="G258" t="inlineStr">
        <is>
          <t>HÄRNÖSAND</t>
        </is>
      </c>
      <c r="H258" t="inlineStr">
        <is>
          <t>SCA</t>
        </is>
      </c>
      <c r="I258" t="n">
        <v>1.7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4092-2024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45323</v>
      </c>
      <c r="E259" s="1" t="n">
        <v>46319</v>
      </c>
      <c r="F259" t="inlineStr">
        <is>
          <t>VÄSTERNORRLANDS LÄN</t>
        </is>
      </c>
      <c r="G259" t="inlineStr">
        <is>
          <t>HÄRNÖSAND</t>
        </is>
      </c>
      <c r="I259" t="n">
        <v>0.8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45500-2024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45578</v>
      </c>
      <c r="E260" s="1" t="n">
        <v>46319</v>
      </c>
      <c r="F260" t="inlineStr">
        <is>
          <t>VÄSTERNORRLANDS LÄN</t>
        </is>
      </c>
      <c r="G260" t="inlineStr">
        <is>
          <t>HÄRNÖSAND</t>
        </is>
      </c>
      <c r="I260" t="n">
        <v>1.9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45504-2024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45578</v>
      </c>
      <c r="E261" s="1" t="n">
        <v>46319</v>
      </c>
      <c r="F261" t="inlineStr">
        <is>
          <t>VÄSTERNORRLANDS LÄN</t>
        </is>
      </c>
      <c r="G261" t="inlineStr">
        <is>
          <t>HÄRNÖSAND</t>
        </is>
      </c>
      <c r="I261" t="n">
        <v>10.3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3897-2023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44951</v>
      </c>
      <c r="E262" s="1" t="n">
        <v>46319</v>
      </c>
      <c r="F262" t="inlineStr">
        <is>
          <t>VÄSTERNORRLANDS LÄN</t>
        </is>
      </c>
      <c r="G262" t="inlineStr">
        <is>
          <t>HÄRNÖSAND</t>
        </is>
      </c>
      <c r="H262" t="inlineStr">
        <is>
          <t>SCA</t>
        </is>
      </c>
      <c r="I262" t="n">
        <v>2.6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56633-2025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45975</v>
      </c>
      <c r="E263" s="1" t="n">
        <v>46319</v>
      </c>
      <c r="F263" t="inlineStr">
        <is>
          <t>VÄSTERNORRLANDS LÄN</t>
        </is>
      </c>
      <c r="G263" t="inlineStr">
        <is>
          <t>HÄRNÖSAND</t>
        </is>
      </c>
      <c r="H263" t="inlineStr">
        <is>
          <t>SCA</t>
        </is>
      </c>
      <c r="I263" t="n">
        <v>2.2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57037-2025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45979</v>
      </c>
      <c r="E264" s="1" t="n">
        <v>46319</v>
      </c>
      <c r="F264" t="inlineStr">
        <is>
          <t>VÄSTERNORRLANDS LÄN</t>
        </is>
      </c>
      <c r="G264" t="inlineStr">
        <is>
          <t>HÄRNÖSAND</t>
        </is>
      </c>
      <c r="H264" t="inlineStr">
        <is>
          <t>SCA</t>
        </is>
      </c>
      <c r="I264" t="n">
        <v>1.2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57033-2025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45979</v>
      </c>
      <c r="E265" s="1" t="n">
        <v>46319</v>
      </c>
      <c r="F265" t="inlineStr">
        <is>
          <t>VÄSTERNORRLANDS LÄN</t>
        </is>
      </c>
      <c r="G265" t="inlineStr">
        <is>
          <t>HÄRNÖSAND</t>
        </is>
      </c>
      <c r="H265" t="inlineStr">
        <is>
          <t>SCA</t>
        </is>
      </c>
      <c r="I265" t="n">
        <v>0.6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57132-2025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45979</v>
      </c>
      <c r="E266" s="1" t="n">
        <v>46319</v>
      </c>
      <c r="F266" t="inlineStr">
        <is>
          <t>VÄSTERNORRLANDS LÄN</t>
        </is>
      </c>
      <c r="G266" t="inlineStr">
        <is>
          <t>HÄRNÖSAND</t>
        </is>
      </c>
      <c r="I266" t="n">
        <v>4.3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35387-2024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45531</v>
      </c>
      <c r="E267" s="1" t="n">
        <v>46319</v>
      </c>
      <c r="F267" t="inlineStr">
        <is>
          <t>VÄSTERNORRLANDS LÄN</t>
        </is>
      </c>
      <c r="G267" t="inlineStr">
        <is>
          <t>HÄRNÖSAND</t>
        </is>
      </c>
      <c r="I267" t="n">
        <v>0.6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57099-2025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45979</v>
      </c>
      <c r="E268" s="1" t="n">
        <v>46319</v>
      </c>
      <c r="F268" t="inlineStr">
        <is>
          <t>VÄSTERNORRLANDS LÄN</t>
        </is>
      </c>
      <c r="G268" t="inlineStr">
        <is>
          <t>HÄRNÖSAND</t>
        </is>
      </c>
      <c r="I268" t="n">
        <v>3.9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57041-2025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45979</v>
      </c>
      <c r="E269" s="1" t="n">
        <v>46319</v>
      </c>
      <c r="F269" t="inlineStr">
        <is>
          <t>VÄSTERNORRLANDS LÄN</t>
        </is>
      </c>
      <c r="G269" t="inlineStr">
        <is>
          <t>HÄRNÖSAND</t>
        </is>
      </c>
      <c r="H269" t="inlineStr">
        <is>
          <t>SCA</t>
        </is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32418-2024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45512</v>
      </c>
      <c r="E270" s="1" t="n">
        <v>46319</v>
      </c>
      <c r="F270" t="inlineStr">
        <is>
          <t>VÄSTERNORRLANDS LÄN</t>
        </is>
      </c>
      <c r="G270" t="inlineStr">
        <is>
          <t>HÄRNÖSAND</t>
        </is>
      </c>
      <c r="I270" t="n">
        <v>6.8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64563-2023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45281</v>
      </c>
      <c r="E271" s="1" t="n">
        <v>46319</v>
      </c>
      <c r="F271" t="inlineStr">
        <is>
          <t>VÄSTERNORRLANDS LÄN</t>
        </is>
      </c>
      <c r="G271" t="inlineStr">
        <is>
          <t>HÄRNÖSAND</t>
        </is>
      </c>
      <c r="I271" t="n">
        <v>2.1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57035-2025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45979</v>
      </c>
      <c r="E272" s="1" t="n">
        <v>46319</v>
      </c>
      <c r="F272" t="inlineStr">
        <is>
          <t>VÄSTERNORRLANDS LÄN</t>
        </is>
      </c>
      <c r="G272" t="inlineStr">
        <is>
          <t>HÄRNÖSAND</t>
        </is>
      </c>
      <c r="H272" t="inlineStr">
        <is>
          <t>SCA</t>
        </is>
      </c>
      <c r="I272" t="n">
        <v>0.4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57089-2025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45979</v>
      </c>
      <c r="E273" s="1" t="n">
        <v>46319</v>
      </c>
      <c r="F273" t="inlineStr">
        <is>
          <t>VÄSTERNORRLANDS LÄN</t>
        </is>
      </c>
      <c r="G273" t="inlineStr">
        <is>
          <t>HÄRNÖSAND</t>
        </is>
      </c>
      <c r="I273" t="n">
        <v>1.2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51001-2022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44867</v>
      </c>
      <c r="E274" s="1" t="n">
        <v>46319</v>
      </c>
      <c r="F274" t="inlineStr">
        <is>
          <t>VÄSTERNORRLANDS LÄN</t>
        </is>
      </c>
      <c r="G274" t="inlineStr">
        <is>
          <t>HÄRNÖSAND</t>
        </is>
      </c>
      <c r="I274" t="n">
        <v>1.5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29476-2026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46203</v>
      </c>
      <c r="E275" s="1" t="n">
        <v>46319</v>
      </c>
      <c r="F275" t="inlineStr">
        <is>
          <t>VÄSTERNORRLANDS LÄN</t>
        </is>
      </c>
      <c r="G275" t="inlineStr">
        <is>
          <t>HÄRNÖSAND</t>
        </is>
      </c>
      <c r="H275" t="inlineStr">
        <is>
          <t>SCA</t>
        </is>
      </c>
      <c r="I275" t="n">
        <v>0.9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57618-2025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45981</v>
      </c>
      <c r="E276" s="1" t="n">
        <v>46319</v>
      </c>
      <c r="F276" t="inlineStr">
        <is>
          <t>VÄSTERNORRLANDS LÄN</t>
        </is>
      </c>
      <c r="G276" t="inlineStr">
        <is>
          <t>HÄRNÖSAND</t>
        </is>
      </c>
      <c r="H276" t="inlineStr">
        <is>
          <t>SCA</t>
        </is>
      </c>
      <c r="I276" t="n">
        <v>7.8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57877-2025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45981</v>
      </c>
      <c r="E277" s="1" t="n">
        <v>46319</v>
      </c>
      <c r="F277" t="inlineStr">
        <is>
          <t>VÄSTERNORRLANDS LÄN</t>
        </is>
      </c>
      <c r="G277" t="inlineStr">
        <is>
          <t>HÄRNÖSAND</t>
        </is>
      </c>
      <c r="H277" t="inlineStr">
        <is>
          <t>SCA</t>
        </is>
      </c>
      <c r="I277" t="n">
        <v>2.4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29714-2026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46204</v>
      </c>
      <c r="E278" s="1" t="n">
        <v>46319</v>
      </c>
      <c r="F278" t="inlineStr">
        <is>
          <t>VÄSTERNORRLANDS LÄN</t>
        </is>
      </c>
      <c r="G278" t="inlineStr">
        <is>
          <t>HÄRNÖSAND</t>
        </is>
      </c>
      <c r="I278" t="n">
        <v>4.6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29716-2026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46204</v>
      </c>
      <c r="E279" s="1" t="n">
        <v>46319</v>
      </c>
      <c r="F279" t="inlineStr">
        <is>
          <t>VÄSTERNORRLANDS LÄN</t>
        </is>
      </c>
      <c r="G279" t="inlineStr">
        <is>
          <t>HÄRNÖSAND</t>
        </is>
      </c>
      <c r="I279" t="n">
        <v>0.8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29877-2026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46205</v>
      </c>
      <c r="E280" s="1" t="n">
        <v>46319</v>
      </c>
      <c r="F280" t="inlineStr">
        <is>
          <t>VÄSTERNORRLANDS LÄN</t>
        </is>
      </c>
      <c r="G280" t="inlineStr">
        <is>
          <t>HÄRNÖSAND</t>
        </is>
      </c>
      <c r="I280" t="n">
        <v>14.6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64746-2023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45281</v>
      </c>
      <c r="E281" s="1" t="n">
        <v>46319</v>
      </c>
      <c r="F281" t="inlineStr">
        <is>
          <t>VÄSTERNORRLANDS LÄN</t>
        </is>
      </c>
      <c r="G281" t="inlineStr">
        <is>
          <t>HÄRNÖSAND</t>
        </is>
      </c>
      <c r="I281" t="n">
        <v>2.2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12129-2025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45729</v>
      </c>
      <c r="E282" s="1" t="n">
        <v>46319</v>
      </c>
      <c r="F282" t="inlineStr">
        <is>
          <t>VÄSTERNORRLANDS LÄN</t>
        </is>
      </c>
      <c r="G282" t="inlineStr">
        <is>
          <t>HÄRNÖSAND</t>
        </is>
      </c>
      <c r="I282" t="n">
        <v>1.9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29742-2026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46204</v>
      </c>
      <c r="E283" s="1" t="n">
        <v>46319</v>
      </c>
      <c r="F283" t="inlineStr">
        <is>
          <t>VÄSTERNORRLANDS LÄN</t>
        </is>
      </c>
      <c r="G283" t="inlineStr">
        <is>
          <t>HÄRNÖSAND</t>
        </is>
      </c>
      <c r="I283" t="n">
        <v>2.2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29754-2026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46204</v>
      </c>
      <c r="E284" s="1" t="n">
        <v>46319</v>
      </c>
      <c r="F284" t="inlineStr">
        <is>
          <t>VÄSTERNORRLANDS LÄN</t>
        </is>
      </c>
      <c r="G284" t="inlineStr">
        <is>
          <t>HÄRNÖSAND</t>
        </is>
      </c>
      <c r="I284" t="n">
        <v>1.6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29792-2026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46205</v>
      </c>
      <c r="E285" s="1" t="n">
        <v>46319</v>
      </c>
      <c r="F285" t="inlineStr">
        <is>
          <t>VÄSTERNORRLANDS LÄN</t>
        </is>
      </c>
      <c r="G285" t="inlineStr">
        <is>
          <t>HÄRNÖSAND</t>
        </is>
      </c>
      <c r="I285" t="n">
        <v>1.7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29793-2026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46205</v>
      </c>
      <c r="E286" s="1" t="n">
        <v>46319</v>
      </c>
      <c r="F286" t="inlineStr">
        <is>
          <t>VÄSTERNORRLANDS LÄN</t>
        </is>
      </c>
      <c r="G286" t="inlineStr">
        <is>
          <t>HÄRNÖSAND</t>
        </is>
      </c>
      <c r="I286" t="n">
        <v>0.6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25746-2025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45800</v>
      </c>
      <c r="E287" s="1" t="n">
        <v>46319</v>
      </c>
      <c r="F287" t="inlineStr">
        <is>
          <t>VÄSTERNORRLANDS LÄN</t>
        </is>
      </c>
      <c r="G287" t="inlineStr">
        <is>
          <t>HÄRNÖSAND</t>
        </is>
      </c>
      <c r="I287" t="n">
        <v>1.6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30184-2024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45489</v>
      </c>
      <c r="E288" s="1" t="n">
        <v>46319</v>
      </c>
      <c r="F288" t="inlineStr">
        <is>
          <t>VÄSTERNORRLANDS LÄN</t>
        </is>
      </c>
      <c r="G288" t="inlineStr">
        <is>
          <t>HÄRNÖSAND</t>
        </is>
      </c>
      <c r="H288" t="inlineStr">
        <is>
          <t>SCA</t>
        </is>
      </c>
      <c r="I288" t="n">
        <v>1.8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30201-2026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46206</v>
      </c>
      <c r="E289" s="1" t="n">
        <v>46319</v>
      </c>
      <c r="F289" t="inlineStr">
        <is>
          <t>VÄSTERNORRLANDS LÄN</t>
        </is>
      </c>
      <c r="G289" t="inlineStr">
        <is>
          <t>HÄRNÖSAND</t>
        </is>
      </c>
      <c r="I289" t="n">
        <v>7.9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30017-2026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46206</v>
      </c>
      <c r="E290" s="1" t="n">
        <v>46319</v>
      </c>
      <c r="F290" t="inlineStr">
        <is>
          <t>VÄSTERNORRLANDS LÄN</t>
        </is>
      </c>
      <c r="G290" t="inlineStr">
        <is>
          <t>HÄRNÖSAND</t>
        </is>
      </c>
      <c r="I290" t="n">
        <v>3.3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30216-2026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46206</v>
      </c>
      <c r="E291" s="1" t="n">
        <v>46319</v>
      </c>
      <c r="F291" t="inlineStr">
        <is>
          <t>VÄSTERNORRLANDS LÄN</t>
        </is>
      </c>
      <c r="G291" t="inlineStr">
        <is>
          <t>HÄRNÖSAND</t>
        </is>
      </c>
      <c r="I291" t="n">
        <v>3.8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30171-2026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46206</v>
      </c>
      <c r="E292" s="1" t="n">
        <v>46319</v>
      </c>
      <c r="F292" t="inlineStr">
        <is>
          <t>VÄSTERNORRLANDS LÄN</t>
        </is>
      </c>
      <c r="G292" t="inlineStr">
        <is>
          <t>HÄRNÖSAND</t>
        </is>
      </c>
      <c r="I292" t="n">
        <v>5.6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58995-2025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45987</v>
      </c>
      <c r="E293" s="1" t="n">
        <v>46319</v>
      </c>
      <c r="F293" t="inlineStr">
        <is>
          <t>VÄSTERNORRLANDS LÄN</t>
        </is>
      </c>
      <c r="G293" t="inlineStr">
        <is>
          <t>HÄRNÖSAND</t>
        </is>
      </c>
      <c r="I293" t="n">
        <v>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30413-2026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46209</v>
      </c>
      <c r="E294" s="1" t="n">
        <v>46319</v>
      </c>
      <c r="F294" t="inlineStr">
        <is>
          <t>VÄSTERNORRLANDS LÄN</t>
        </is>
      </c>
      <c r="G294" t="inlineStr">
        <is>
          <t>HÄRNÖSAND</t>
        </is>
      </c>
      <c r="I294" t="n">
        <v>0.7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30711-2026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46211</v>
      </c>
      <c r="E295" s="1" t="n">
        <v>46319</v>
      </c>
      <c r="F295" t="inlineStr">
        <is>
          <t>VÄSTERNORRLANDS LÄN</t>
        </is>
      </c>
      <c r="G295" t="inlineStr">
        <is>
          <t>HÄRNÖSAND</t>
        </is>
      </c>
      <c r="I295" t="n">
        <v>1.2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11903-2024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45376</v>
      </c>
      <c r="E296" s="1" t="n">
        <v>46319</v>
      </c>
      <c r="F296" t="inlineStr">
        <is>
          <t>VÄSTERNORRLANDS LÄN</t>
        </is>
      </c>
      <c r="G296" t="inlineStr">
        <is>
          <t>HÄRNÖSAND</t>
        </is>
      </c>
      <c r="I296" t="n">
        <v>2.1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30710-2026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46211</v>
      </c>
      <c r="E297" s="1" t="n">
        <v>46319</v>
      </c>
      <c r="F297" t="inlineStr">
        <is>
          <t>VÄSTERNORRLANDS LÄN</t>
        </is>
      </c>
      <c r="G297" t="inlineStr">
        <is>
          <t>HÄRNÖSAND</t>
        </is>
      </c>
      <c r="I297" t="n">
        <v>2.6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12497-2025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45730</v>
      </c>
      <c r="E298" s="1" t="n">
        <v>46319</v>
      </c>
      <c r="F298" t="inlineStr">
        <is>
          <t>VÄSTERNORRLANDS LÄN</t>
        </is>
      </c>
      <c r="G298" t="inlineStr">
        <is>
          <t>HÄRNÖSAND</t>
        </is>
      </c>
      <c r="I298" t="n">
        <v>1.4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30971-2026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46213</v>
      </c>
      <c r="E299" s="1" t="n">
        <v>46319</v>
      </c>
      <c r="F299" t="inlineStr">
        <is>
          <t>VÄSTERNORRLANDS LÄN</t>
        </is>
      </c>
      <c r="G299" t="inlineStr">
        <is>
          <t>HÄRNÖSAND</t>
        </is>
      </c>
      <c r="I299" t="n">
        <v>2.3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59869-2025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45992</v>
      </c>
      <c r="E300" s="1" t="n">
        <v>46319</v>
      </c>
      <c r="F300" t="inlineStr">
        <is>
          <t>VÄSTERNORRLANDS LÄN</t>
        </is>
      </c>
      <c r="G300" t="inlineStr">
        <is>
          <t>HÄRNÖSAND</t>
        </is>
      </c>
      <c r="I300" t="n">
        <v>4.9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7793-2024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45348</v>
      </c>
      <c r="E301" s="1" t="n">
        <v>46319</v>
      </c>
      <c r="F301" t="inlineStr">
        <is>
          <t>VÄSTERNORRLANDS LÄN</t>
        </is>
      </c>
      <c r="G301" t="inlineStr">
        <is>
          <t>HÄRNÖSAND</t>
        </is>
      </c>
      <c r="I301" t="n">
        <v>3.3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30976-2026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46213</v>
      </c>
      <c r="E302" s="1" t="n">
        <v>46319</v>
      </c>
      <c r="F302" t="inlineStr">
        <is>
          <t>VÄSTERNORRLANDS LÄN</t>
        </is>
      </c>
      <c r="G302" t="inlineStr">
        <is>
          <t>HÄRNÖSAND</t>
        </is>
      </c>
      <c r="I302" t="n">
        <v>13.6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25115-2024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45462</v>
      </c>
      <c r="E303" s="1" t="n">
        <v>46319</v>
      </c>
      <c r="F303" t="inlineStr">
        <is>
          <t>VÄSTERNORRLANDS LÄN</t>
        </is>
      </c>
      <c r="G303" t="inlineStr">
        <is>
          <t>HÄRNÖSAND</t>
        </is>
      </c>
      <c r="I303" t="n">
        <v>6.8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31049-2026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46215</v>
      </c>
      <c r="E304" s="1" t="n">
        <v>46319</v>
      </c>
      <c r="F304" t="inlineStr">
        <is>
          <t>VÄSTERNORRLANDS LÄN</t>
        </is>
      </c>
      <c r="G304" t="inlineStr">
        <is>
          <t>HÄRNÖSAND</t>
        </is>
      </c>
      <c r="I304" t="n">
        <v>12.7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31050-2026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46215</v>
      </c>
      <c r="E305" s="1" t="n">
        <v>46319</v>
      </c>
      <c r="F305" t="inlineStr">
        <is>
          <t>VÄSTERNORRLANDS LÄN</t>
        </is>
      </c>
      <c r="G305" t="inlineStr">
        <is>
          <t>HÄRNÖSAND</t>
        </is>
      </c>
      <c r="I305" t="n">
        <v>4.6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34224-2023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45126</v>
      </c>
      <c r="E306" s="1" t="n">
        <v>46319</v>
      </c>
      <c r="F306" t="inlineStr">
        <is>
          <t>VÄSTERNORRLANDS LÄN</t>
        </is>
      </c>
      <c r="G306" t="inlineStr">
        <is>
          <t>HÄRNÖSAND</t>
        </is>
      </c>
      <c r="I306" t="n">
        <v>1.7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60768-2025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45999</v>
      </c>
      <c r="E307" s="1" t="n">
        <v>46319</v>
      </c>
      <c r="F307" t="inlineStr">
        <is>
          <t>VÄSTERNORRLANDS LÄN</t>
        </is>
      </c>
      <c r="G307" t="inlineStr">
        <is>
          <t>HÄRNÖSAND</t>
        </is>
      </c>
      <c r="I307" t="n">
        <v>1.1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60771-2025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45999</v>
      </c>
      <c r="E308" s="1" t="n">
        <v>46319</v>
      </c>
      <c r="F308" t="inlineStr">
        <is>
          <t>VÄSTERNORRLANDS LÄN</t>
        </is>
      </c>
      <c r="G308" t="inlineStr">
        <is>
          <t>HÄRNÖSAND</t>
        </is>
      </c>
      <c r="I308" t="n">
        <v>0.8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60772-2025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45999</v>
      </c>
      <c r="E309" s="1" t="n">
        <v>46319</v>
      </c>
      <c r="F309" t="inlineStr">
        <is>
          <t>VÄSTERNORRLANDS LÄN</t>
        </is>
      </c>
      <c r="G309" t="inlineStr">
        <is>
          <t>HÄRNÖSAND</t>
        </is>
      </c>
      <c r="I309" t="n">
        <v>1.7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31503-2026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46219</v>
      </c>
      <c r="E310" s="1" t="n">
        <v>46319</v>
      </c>
      <c r="F310" t="inlineStr">
        <is>
          <t>VÄSTERNORRLANDS LÄN</t>
        </is>
      </c>
      <c r="G310" t="inlineStr">
        <is>
          <t>HÄRNÖSAND</t>
        </is>
      </c>
      <c r="I310" t="n">
        <v>0.9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31504-2026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46219</v>
      </c>
      <c r="E311" s="1" t="n">
        <v>46319</v>
      </c>
      <c r="F311" t="inlineStr">
        <is>
          <t>VÄSTERNORRLANDS LÄN</t>
        </is>
      </c>
      <c r="G311" t="inlineStr">
        <is>
          <t>HÄRNÖSAND</t>
        </is>
      </c>
      <c r="I311" t="n">
        <v>0.7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31506-2026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46219</v>
      </c>
      <c r="E312" s="1" t="n">
        <v>46319</v>
      </c>
      <c r="F312" t="inlineStr">
        <is>
          <t>VÄSTERNORRLANDS LÄN</t>
        </is>
      </c>
      <c r="G312" t="inlineStr">
        <is>
          <t>HÄRNÖSAND</t>
        </is>
      </c>
      <c r="I312" t="n">
        <v>0.9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4147-2025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45685</v>
      </c>
      <c r="E313" s="1" t="n">
        <v>46319</v>
      </c>
      <c r="F313" t="inlineStr">
        <is>
          <t>VÄSTERNORRLANDS LÄN</t>
        </is>
      </c>
      <c r="G313" t="inlineStr">
        <is>
          <t>HÄRNÖSAND</t>
        </is>
      </c>
      <c r="I313" t="n">
        <v>6.2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61189-2025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46000</v>
      </c>
      <c r="E314" s="1" t="n">
        <v>46319</v>
      </c>
      <c r="F314" t="inlineStr">
        <is>
          <t>VÄSTERNORRLANDS LÄN</t>
        </is>
      </c>
      <c r="G314" t="inlineStr">
        <is>
          <t>HÄRNÖSAND</t>
        </is>
      </c>
      <c r="I314" t="n">
        <v>6.3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20822-2025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45776</v>
      </c>
      <c r="E315" s="1" t="n">
        <v>46319</v>
      </c>
      <c r="F315" t="inlineStr">
        <is>
          <t>VÄSTERNORRLANDS LÄN</t>
        </is>
      </c>
      <c r="G315" t="inlineStr">
        <is>
          <t>HÄRNÖSAND</t>
        </is>
      </c>
      <c r="I315" t="n">
        <v>1.9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23186-2026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46161</v>
      </c>
      <c r="E316" s="1" t="n">
        <v>46319</v>
      </c>
      <c r="F316" t="inlineStr">
        <is>
          <t>VÄSTERNORRLANDS LÄN</t>
        </is>
      </c>
      <c r="G316" t="inlineStr">
        <is>
          <t>HÄRNÖSAND</t>
        </is>
      </c>
      <c r="I316" t="n">
        <v>3.4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29483-2026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46203</v>
      </c>
      <c r="E317" s="1" t="n">
        <v>46319</v>
      </c>
      <c r="F317" t="inlineStr">
        <is>
          <t>VÄSTERNORRLANDS LÄN</t>
        </is>
      </c>
      <c r="G317" t="inlineStr">
        <is>
          <t>HÄRNÖSAND</t>
        </is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20821-2025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45776</v>
      </c>
      <c r="E318" s="1" t="n">
        <v>46319</v>
      </c>
      <c r="F318" t="inlineStr">
        <is>
          <t>VÄSTERNORRLANDS LÄN</t>
        </is>
      </c>
      <c r="G318" t="inlineStr">
        <is>
          <t>HÄRNÖSAND</t>
        </is>
      </c>
      <c r="I318" t="n">
        <v>7.6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30893-2026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46213</v>
      </c>
      <c r="E319" s="1" t="n">
        <v>46319</v>
      </c>
      <c r="F319" t="inlineStr">
        <is>
          <t>VÄSTERNORRLANDS LÄN</t>
        </is>
      </c>
      <c r="G319" t="inlineStr">
        <is>
          <t>HÄRNÖSAND</t>
        </is>
      </c>
      <c r="I319" t="n">
        <v>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63375-2023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45273</v>
      </c>
      <c r="E320" s="1" t="n">
        <v>46319</v>
      </c>
      <c r="F320" t="inlineStr">
        <is>
          <t>VÄSTERNORRLANDS LÄN</t>
        </is>
      </c>
      <c r="G320" t="inlineStr">
        <is>
          <t>HÄRNÖSAND</t>
        </is>
      </c>
      <c r="I320" t="n">
        <v>0.7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21484-2025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45782</v>
      </c>
      <c r="E321" s="1" t="n">
        <v>46319</v>
      </c>
      <c r="F321" t="inlineStr">
        <is>
          <t>VÄSTERNORRLANDS LÄN</t>
        </is>
      </c>
      <c r="G321" t="inlineStr">
        <is>
          <t>HÄRNÖSAND</t>
        </is>
      </c>
      <c r="H321" t="inlineStr">
        <is>
          <t>SCA</t>
        </is>
      </c>
      <c r="I321" t="n">
        <v>32.1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21480-2025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45782</v>
      </c>
      <c r="E322" s="1" t="n">
        <v>46319</v>
      </c>
      <c r="F322" t="inlineStr">
        <is>
          <t>VÄSTERNORRLANDS LÄN</t>
        </is>
      </c>
      <c r="G322" t="inlineStr">
        <is>
          <t>HÄRNÖSAND</t>
        </is>
      </c>
      <c r="H322" t="inlineStr">
        <is>
          <t>SCA</t>
        </is>
      </c>
      <c r="I322" t="n">
        <v>12.3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42343-2024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45562</v>
      </c>
      <c r="E323" s="1" t="n">
        <v>46319</v>
      </c>
      <c r="F323" t="inlineStr">
        <is>
          <t>VÄSTERNORRLANDS LÄN</t>
        </is>
      </c>
      <c r="G323" t="inlineStr">
        <is>
          <t>HÄRNÖSAND</t>
        </is>
      </c>
      <c r="I323" t="n">
        <v>15.6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31956-2026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46232</v>
      </c>
      <c r="E324" s="1" t="n">
        <v>46319</v>
      </c>
      <c r="F324" t="inlineStr">
        <is>
          <t>VÄSTERNORRLANDS LÄN</t>
        </is>
      </c>
      <c r="G324" t="inlineStr">
        <is>
          <t>HÄRNÖSAND</t>
        </is>
      </c>
      <c r="I324" t="n">
        <v>1.7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64107-2025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46013</v>
      </c>
      <c r="E325" s="1" t="n">
        <v>46319</v>
      </c>
      <c r="F325" t="inlineStr">
        <is>
          <t>VÄSTERNORRLANDS LÄN</t>
        </is>
      </c>
      <c r="G325" t="inlineStr">
        <is>
          <t>HÄRNÖSAND</t>
        </is>
      </c>
      <c r="I325" t="n">
        <v>4.7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32293-2026</t>
        </is>
      </c>
      <c r="B326" t="inlineStr">
        <is>
          <t>avverkningsanmälan</t>
        </is>
      </c>
      <c r="C326" t="inlineStr">
        <is>
          <t>Avverkning för att bevara och utveckla /försöksver</t>
        </is>
      </c>
      <c r="D326" s="1" t="n">
        <v>46237</v>
      </c>
      <c r="E326" s="1" t="n">
        <v>46319</v>
      </c>
      <c r="F326" t="inlineStr">
        <is>
          <t>VÄSTERNORRLANDS LÄN</t>
        </is>
      </c>
      <c r="G326" t="inlineStr">
        <is>
          <t>HÄRNÖSAND</t>
        </is>
      </c>
      <c r="H326" t="inlineStr">
        <is>
          <t>SCA</t>
        </is>
      </c>
      <c r="I326" t="n">
        <v>3.7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4648-2023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44952</v>
      </c>
      <c r="E327" s="1" t="n">
        <v>46319</v>
      </c>
      <c r="F327" t="inlineStr">
        <is>
          <t>VÄSTERNORRLANDS LÄN</t>
        </is>
      </c>
      <c r="G327" t="inlineStr">
        <is>
          <t>HÄRNÖSAND</t>
        </is>
      </c>
      <c r="I327" t="n">
        <v>0.7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45502-2024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45578</v>
      </c>
      <c r="E328" s="1" t="n">
        <v>46319</v>
      </c>
      <c r="F328" t="inlineStr">
        <is>
          <t>VÄSTERNORRLANDS LÄN</t>
        </is>
      </c>
      <c r="G328" t="inlineStr">
        <is>
          <t>HÄRNÖSAND</t>
        </is>
      </c>
      <c r="I328" t="n">
        <v>5.5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38471-2026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46282</v>
      </c>
      <c r="E329" s="1" t="n">
        <v>46319</v>
      </c>
      <c r="F329" t="inlineStr">
        <is>
          <t>VÄSTERNORRLANDS LÄN</t>
        </is>
      </c>
      <c r="G329" t="inlineStr">
        <is>
          <t>HÄRNÖSAND</t>
        </is>
      </c>
      <c r="I329" t="n">
        <v>1.7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38229-2026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46281</v>
      </c>
      <c r="E330" s="1" t="n">
        <v>46319</v>
      </c>
      <c r="F330" t="inlineStr">
        <is>
          <t>VÄSTERNORRLANDS LÄN</t>
        </is>
      </c>
      <c r="G330" t="inlineStr">
        <is>
          <t>HÄRNÖSAND</t>
        </is>
      </c>
      <c r="I330" t="n">
        <v>2.9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655-2026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46024</v>
      </c>
      <c r="E331" s="1" t="n">
        <v>46319</v>
      </c>
      <c r="F331" t="inlineStr">
        <is>
          <t>VÄSTERNORRLANDS LÄN</t>
        </is>
      </c>
      <c r="G331" t="inlineStr">
        <is>
          <t>HÄRNÖSAND</t>
        </is>
      </c>
      <c r="I331" t="n">
        <v>2.8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64-2026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46024</v>
      </c>
      <c r="E332" s="1" t="n">
        <v>46319</v>
      </c>
      <c r="F332" t="inlineStr">
        <is>
          <t>VÄSTERNORRLANDS LÄN</t>
        </is>
      </c>
      <c r="G332" t="inlineStr">
        <is>
          <t>HÄRNÖSAND</t>
        </is>
      </c>
      <c r="I332" t="n">
        <v>0.5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13-2026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46023</v>
      </c>
      <c r="E333" s="1" t="n">
        <v>46319</v>
      </c>
      <c r="F333" t="inlineStr">
        <is>
          <t>VÄSTERNORRLANDS LÄN</t>
        </is>
      </c>
      <c r="G333" t="inlineStr">
        <is>
          <t>HÄRNÖSAND</t>
        </is>
      </c>
      <c r="I333" t="n">
        <v>0.7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54-2026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46024</v>
      </c>
      <c r="E334" s="1" t="n">
        <v>46319</v>
      </c>
      <c r="F334" t="inlineStr">
        <is>
          <t>VÄSTERNORRLANDS LÄN</t>
        </is>
      </c>
      <c r="G334" t="inlineStr">
        <is>
          <t>HÄRNÖSAND</t>
        </is>
      </c>
      <c r="I334" t="n">
        <v>0.6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32485-2026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46239</v>
      </c>
      <c r="E335" s="1" t="n">
        <v>46319</v>
      </c>
      <c r="F335" t="inlineStr">
        <is>
          <t>VÄSTERNORRLANDS LÄN</t>
        </is>
      </c>
      <c r="G335" t="inlineStr">
        <is>
          <t>HÄRNÖSAND</t>
        </is>
      </c>
      <c r="H335" t="inlineStr">
        <is>
          <t>SCA</t>
        </is>
      </c>
      <c r="I335" t="n">
        <v>4.4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14-2026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46023</v>
      </c>
      <c r="E336" s="1" t="n">
        <v>46319</v>
      </c>
      <c r="F336" t="inlineStr">
        <is>
          <t>VÄSTERNORRLANDS LÄN</t>
        </is>
      </c>
      <c r="G336" t="inlineStr">
        <is>
          <t>HÄRNÖSAND</t>
        </is>
      </c>
      <c r="I336" t="n">
        <v>5.1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78-2026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46024</v>
      </c>
      <c r="E337" s="1" t="n">
        <v>46319</v>
      </c>
      <c r="F337" t="inlineStr">
        <is>
          <t>VÄSTERNORRLANDS LÄN</t>
        </is>
      </c>
      <c r="G337" t="inlineStr">
        <is>
          <t>HÄRNÖSAND</t>
        </is>
      </c>
      <c r="I337" t="n">
        <v>0.3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38215-2026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46281</v>
      </c>
      <c r="E338" s="1" t="n">
        <v>46319</v>
      </c>
      <c r="F338" t="inlineStr">
        <is>
          <t>VÄSTERNORRLANDS LÄN</t>
        </is>
      </c>
      <c r="G338" t="inlineStr">
        <is>
          <t>HÄRNÖSAND</t>
        </is>
      </c>
      <c r="I338" t="n">
        <v>1.7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765-2026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46026</v>
      </c>
      <c r="E339" s="1" t="n">
        <v>46319</v>
      </c>
      <c r="F339" t="inlineStr">
        <is>
          <t>VÄSTERNORRLANDS LÄN</t>
        </is>
      </c>
      <c r="G339" t="inlineStr">
        <is>
          <t>HÄRNÖSAND</t>
        </is>
      </c>
      <c r="I339" t="n">
        <v>3.4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780-2026</t>
        </is>
      </c>
      <c r="B340" t="inlineStr">
        <is>
          <t>avverkningsanmälan</t>
        </is>
      </c>
      <c r="C340" t="inlineStr">
        <is>
          <t>Avverkning för annat ändamål</t>
        </is>
      </c>
      <c r="D340" s="1" t="n">
        <v>46029</v>
      </c>
      <c r="E340" s="1" t="n">
        <v>46319</v>
      </c>
      <c r="F340" t="inlineStr">
        <is>
          <t>VÄSTERNORRLANDS LÄN</t>
        </is>
      </c>
      <c r="G340" t="inlineStr">
        <is>
          <t>HÄRNÖSAND</t>
        </is>
      </c>
      <c r="I340" t="n">
        <v>0.3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544-2026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46029</v>
      </c>
      <c r="E341" s="1" t="n">
        <v>46319</v>
      </c>
      <c r="F341" t="inlineStr">
        <is>
          <t>VÄSTERNORRLANDS LÄN</t>
        </is>
      </c>
      <c r="G341" t="inlineStr">
        <is>
          <t>HÄRNÖSAND</t>
        </is>
      </c>
      <c r="I341" t="n">
        <v>5.6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774-2026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46029</v>
      </c>
      <c r="E342" s="1" t="n">
        <v>46319</v>
      </c>
      <c r="F342" t="inlineStr">
        <is>
          <t>VÄSTERNORRLANDS LÄN</t>
        </is>
      </c>
      <c r="G342" t="inlineStr">
        <is>
          <t>HÄRNÖSAND</t>
        </is>
      </c>
      <c r="I342" t="n">
        <v>2.2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966-2026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46030</v>
      </c>
      <c r="E343" s="1" t="n">
        <v>46319</v>
      </c>
      <c r="F343" t="inlineStr">
        <is>
          <t>VÄSTERNORRLANDS LÄN</t>
        </is>
      </c>
      <c r="G343" t="inlineStr">
        <is>
          <t>HÄRNÖSAND</t>
        </is>
      </c>
      <c r="I343" t="n">
        <v>2.7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530-2026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46029</v>
      </c>
      <c r="E344" s="1" t="n">
        <v>46319</v>
      </c>
      <c r="F344" t="inlineStr">
        <is>
          <t>VÄSTERNORRLANDS LÄN</t>
        </is>
      </c>
      <c r="G344" t="inlineStr">
        <is>
          <t>HÄRNÖSAND</t>
        </is>
      </c>
      <c r="I344" t="n">
        <v>0.9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1046-2026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46030</v>
      </c>
      <c r="E345" s="1" t="n">
        <v>46319</v>
      </c>
      <c r="F345" t="inlineStr">
        <is>
          <t>VÄSTERNORRLANDS LÄN</t>
        </is>
      </c>
      <c r="G345" t="inlineStr">
        <is>
          <t>HÄRNÖSAND</t>
        </is>
      </c>
      <c r="I345" t="n">
        <v>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23290-2025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45791</v>
      </c>
      <c r="E346" s="1" t="n">
        <v>46319</v>
      </c>
      <c r="F346" t="inlineStr">
        <is>
          <t>VÄSTERNORRLANDS LÄN</t>
        </is>
      </c>
      <c r="G346" t="inlineStr">
        <is>
          <t>HÄRNÖSAND</t>
        </is>
      </c>
      <c r="I346" t="n">
        <v>1.1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6831-2024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45342</v>
      </c>
      <c r="E347" s="1" t="n">
        <v>46319</v>
      </c>
      <c r="F347" t="inlineStr">
        <is>
          <t>VÄSTERNORRLANDS LÄN</t>
        </is>
      </c>
      <c r="G347" t="inlineStr">
        <is>
          <t>HÄRNÖSAND</t>
        </is>
      </c>
      <c r="I347" t="n">
        <v>3.8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1690-2026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46034</v>
      </c>
      <c r="E348" s="1" t="n">
        <v>46319</v>
      </c>
      <c r="F348" t="inlineStr">
        <is>
          <t>VÄSTERNORRLANDS LÄN</t>
        </is>
      </c>
      <c r="G348" t="inlineStr">
        <is>
          <t>HÄRNÖSAND</t>
        </is>
      </c>
      <c r="I348" t="n">
        <v>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44590-2024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45574</v>
      </c>
      <c r="E349" s="1" t="n">
        <v>46319</v>
      </c>
      <c r="F349" t="inlineStr">
        <is>
          <t>VÄSTERNORRLANDS LÄN</t>
        </is>
      </c>
      <c r="G349" t="inlineStr">
        <is>
          <t>HÄRNÖSAND</t>
        </is>
      </c>
      <c r="I349" t="n">
        <v>11.9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19949-2024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45433</v>
      </c>
      <c r="E350" s="1" t="n">
        <v>46319</v>
      </c>
      <c r="F350" t="inlineStr">
        <is>
          <t>VÄSTERNORRLANDS LÄN</t>
        </is>
      </c>
      <c r="G350" t="inlineStr">
        <is>
          <t>HÄRNÖSAND</t>
        </is>
      </c>
      <c r="I350" t="n">
        <v>0.7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38849-2026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46286</v>
      </c>
      <c r="E351" s="1" t="n">
        <v>46319</v>
      </c>
      <c r="F351" t="inlineStr">
        <is>
          <t>VÄSTERNORRLANDS LÄN</t>
        </is>
      </c>
      <c r="G351" t="inlineStr">
        <is>
          <t>HÄRNÖSAND</t>
        </is>
      </c>
      <c r="H351" t="inlineStr">
        <is>
          <t>SCA</t>
        </is>
      </c>
      <c r="I351" t="n">
        <v>23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8475-2024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45351</v>
      </c>
      <c r="E352" s="1" t="n">
        <v>46319</v>
      </c>
      <c r="F352" t="inlineStr">
        <is>
          <t>VÄSTERNORRLANDS LÄN</t>
        </is>
      </c>
      <c r="G352" t="inlineStr">
        <is>
          <t>HÄRNÖSAND</t>
        </is>
      </c>
      <c r="I352" t="n">
        <v>1.5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25981-2026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46181</v>
      </c>
      <c r="E353" s="1" t="n">
        <v>46319</v>
      </c>
      <c r="F353" t="inlineStr">
        <is>
          <t>VÄSTERNORRLANDS LÄN</t>
        </is>
      </c>
      <c r="G353" t="inlineStr">
        <is>
          <t>HÄRNÖSAND</t>
        </is>
      </c>
      <c r="I353" t="n">
        <v>8.6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1832-2026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46035</v>
      </c>
      <c r="E354" s="1" t="n">
        <v>46319</v>
      </c>
      <c r="F354" t="inlineStr">
        <is>
          <t>VÄSTERNORRLANDS LÄN</t>
        </is>
      </c>
      <c r="G354" t="inlineStr">
        <is>
          <t>HÄRNÖSAND</t>
        </is>
      </c>
      <c r="I354" t="n">
        <v>0.6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2817-2026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46038</v>
      </c>
      <c r="E355" s="1" t="n">
        <v>46319</v>
      </c>
      <c r="F355" t="inlineStr">
        <is>
          <t>VÄSTERNORRLANDS LÄN</t>
        </is>
      </c>
      <c r="G355" t="inlineStr">
        <is>
          <t>HÄRNÖSAND</t>
        </is>
      </c>
      <c r="I355" t="n">
        <v>3.2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38854-2026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46286</v>
      </c>
      <c r="E356" s="1" t="n">
        <v>46319</v>
      </c>
      <c r="F356" t="inlineStr">
        <is>
          <t>VÄSTERNORRLANDS LÄN</t>
        </is>
      </c>
      <c r="G356" t="inlineStr">
        <is>
          <t>HÄRNÖSAND</t>
        </is>
      </c>
      <c r="H356" t="inlineStr">
        <is>
          <t>SCA</t>
        </is>
      </c>
      <c r="I356" t="n">
        <v>2.2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2814-2026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46038</v>
      </c>
      <c r="E357" s="1" t="n">
        <v>46319</v>
      </c>
      <c r="F357" t="inlineStr">
        <is>
          <t>VÄSTERNORRLANDS LÄN</t>
        </is>
      </c>
      <c r="G357" t="inlineStr">
        <is>
          <t>HÄRNÖSAND</t>
        </is>
      </c>
      <c r="I357" t="n">
        <v>1.3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1088-2022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44571</v>
      </c>
      <c r="E358" s="1" t="n">
        <v>46319</v>
      </c>
      <c r="F358" t="inlineStr">
        <is>
          <t>VÄSTERNORRLANDS LÄN</t>
        </is>
      </c>
      <c r="G358" t="inlineStr">
        <is>
          <t>HÄRNÖSAND</t>
        </is>
      </c>
      <c r="I358" t="n">
        <v>1.7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3393-2026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46042</v>
      </c>
      <c r="E359" s="1" t="n">
        <v>46319</v>
      </c>
      <c r="F359" t="inlineStr">
        <is>
          <t>VÄSTERNORRLANDS LÄN</t>
        </is>
      </c>
      <c r="G359" t="inlineStr">
        <is>
          <t>HÄRNÖSAND</t>
        </is>
      </c>
      <c r="I359" t="n">
        <v>3.1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9160-2026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46070</v>
      </c>
      <c r="E360" s="1" t="n">
        <v>46319</v>
      </c>
      <c r="F360" t="inlineStr">
        <is>
          <t>VÄSTERNORRLANDS LÄN</t>
        </is>
      </c>
      <c r="G360" t="inlineStr">
        <is>
          <t>HÄRNÖSAND</t>
        </is>
      </c>
      <c r="I360" t="n">
        <v>3.9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45585-2024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45579</v>
      </c>
      <c r="E361" s="1" t="n">
        <v>46319</v>
      </c>
      <c r="F361" t="inlineStr">
        <is>
          <t>VÄSTERNORRLANDS LÄN</t>
        </is>
      </c>
      <c r="G361" t="inlineStr">
        <is>
          <t>HÄRNÖSAND</t>
        </is>
      </c>
      <c r="I361" t="n">
        <v>1.6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39384-2026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46288</v>
      </c>
      <c r="E362" s="1" t="n">
        <v>46319</v>
      </c>
      <c r="F362" t="inlineStr">
        <is>
          <t>VÄSTERNORRLANDS LÄN</t>
        </is>
      </c>
      <c r="G362" t="inlineStr">
        <is>
          <t>HÄRNÖSAND</t>
        </is>
      </c>
      <c r="I362" t="n">
        <v>4.2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23825-2025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45793</v>
      </c>
      <c r="E363" s="1" t="n">
        <v>46319</v>
      </c>
      <c r="F363" t="inlineStr">
        <is>
          <t>VÄSTERNORRLANDS LÄN</t>
        </is>
      </c>
      <c r="G363" t="inlineStr">
        <is>
          <t>HÄRNÖSAND</t>
        </is>
      </c>
      <c r="H363" t="inlineStr">
        <is>
          <t>SCA</t>
        </is>
      </c>
      <c r="I363" t="n">
        <v>2.1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61944-2023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45266</v>
      </c>
      <c r="E364" s="1" t="n">
        <v>46319</v>
      </c>
      <c r="F364" t="inlineStr">
        <is>
          <t>VÄSTERNORRLANDS LÄN</t>
        </is>
      </c>
      <c r="G364" t="inlineStr">
        <is>
          <t>HÄRNÖSAND</t>
        </is>
      </c>
      <c r="I364" t="n">
        <v>2.2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39202-2026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46286</v>
      </c>
      <c r="E365" s="1" t="n">
        <v>46319</v>
      </c>
      <c r="F365" t="inlineStr">
        <is>
          <t>VÄSTERNORRLANDS LÄN</t>
        </is>
      </c>
      <c r="G365" t="inlineStr">
        <is>
          <t>HÄRNÖSAND</t>
        </is>
      </c>
      <c r="I365" t="n">
        <v>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32790-2024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45516</v>
      </c>
      <c r="E366" s="1" t="n">
        <v>46319</v>
      </c>
      <c r="F366" t="inlineStr">
        <is>
          <t>VÄSTERNORRLANDS LÄN</t>
        </is>
      </c>
      <c r="G366" t="inlineStr">
        <is>
          <t>HÄRNÖSAND</t>
        </is>
      </c>
      <c r="I366" t="n">
        <v>4.2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34745-2023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45139</v>
      </c>
      <c r="E367" s="1" t="n">
        <v>46319</v>
      </c>
      <c r="F367" t="inlineStr">
        <is>
          <t>VÄSTERNORRLANDS LÄN</t>
        </is>
      </c>
      <c r="G367" t="inlineStr">
        <is>
          <t>HÄRNÖSAND</t>
        </is>
      </c>
      <c r="I367" t="n">
        <v>3.4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39390-2026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46288</v>
      </c>
      <c r="E368" s="1" t="n">
        <v>46319</v>
      </c>
      <c r="F368" t="inlineStr">
        <is>
          <t>VÄSTERNORRLANDS LÄN</t>
        </is>
      </c>
      <c r="G368" t="inlineStr">
        <is>
          <t>HÄRNÖSAND</t>
        </is>
      </c>
      <c r="I368" t="n">
        <v>3.1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32847-2026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46244</v>
      </c>
      <c r="E369" s="1" t="n">
        <v>46319</v>
      </c>
      <c r="F369" t="inlineStr">
        <is>
          <t>VÄSTERNORRLANDS LÄN</t>
        </is>
      </c>
      <c r="G369" t="inlineStr">
        <is>
          <t>HÄRNÖSAND</t>
        </is>
      </c>
      <c r="H369" t="inlineStr">
        <is>
          <t>Kyrkan</t>
        </is>
      </c>
      <c r="I369" t="n">
        <v>24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38999-2026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46287</v>
      </c>
      <c r="E370" s="1" t="n">
        <v>46319</v>
      </c>
      <c r="F370" t="inlineStr">
        <is>
          <t>VÄSTERNORRLANDS LÄN</t>
        </is>
      </c>
      <c r="G370" t="inlineStr">
        <is>
          <t>HÄRNÖSAND</t>
        </is>
      </c>
      <c r="H370" t="inlineStr">
        <is>
          <t>SCA</t>
        </is>
      </c>
      <c r="I370" t="n">
        <v>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24955-2025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45799</v>
      </c>
      <c r="E371" s="1" t="n">
        <v>46319</v>
      </c>
      <c r="F371" t="inlineStr">
        <is>
          <t>VÄSTERNORRLANDS LÄN</t>
        </is>
      </c>
      <c r="G371" t="inlineStr">
        <is>
          <t>HÄRNÖSAND</t>
        </is>
      </c>
      <c r="H371" t="inlineStr">
        <is>
          <t>SCA</t>
        </is>
      </c>
      <c r="I371" t="n">
        <v>2.1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4264-2026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46045</v>
      </c>
      <c r="E372" s="1" t="n">
        <v>46319</v>
      </c>
      <c r="F372" t="inlineStr">
        <is>
          <t>VÄSTERNORRLANDS LÄN</t>
        </is>
      </c>
      <c r="G372" t="inlineStr">
        <is>
          <t>HÄRNÖSAND</t>
        </is>
      </c>
      <c r="I372" t="n">
        <v>2.8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27453-2026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46189</v>
      </c>
      <c r="E373" s="1" t="n">
        <v>46319</v>
      </c>
      <c r="F373" t="inlineStr">
        <is>
          <t>VÄSTERNORRLANDS LÄN</t>
        </is>
      </c>
      <c r="G373" t="inlineStr">
        <is>
          <t>HÄRNÖSAND</t>
        </is>
      </c>
      <c r="I373" t="n">
        <v>1.4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39395-2026</t>
        </is>
      </c>
      <c r="B374" t="inlineStr">
        <is>
          <t>avverkningsanmälan</t>
        </is>
      </c>
      <c r="C374" t="inlineStr">
        <is>
          <t>Avverkning för annat ändamål</t>
        </is>
      </c>
      <c r="D374" s="1" t="n">
        <v>46288</v>
      </c>
      <c r="E374" s="1" t="n">
        <v>46319</v>
      </c>
      <c r="F374" t="inlineStr">
        <is>
          <t>VÄSTERNORRLANDS LÄN</t>
        </is>
      </c>
      <c r="G374" t="inlineStr">
        <is>
          <t>HÄRNÖSAND</t>
        </is>
      </c>
      <c r="I374" t="n">
        <v>4.3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25355-2025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45800</v>
      </c>
      <c r="E375" s="1" t="n">
        <v>46319</v>
      </c>
      <c r="F375" t="inlineStr">
        <is>
          <t>VÄSTERNORRLANDS LÄN</t>
        </is>
      </c>
      <c r="G375" t="inlineStr">
        <is>
          <t>HÄRNÖSAND</t>
        </is>
      </c>
      <c r="H375" t="inlineStr">
        <is>
          <t>SCA</t>
        </is>
      </c>
      <c r="I375" t="n">
        <v>2.2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5860-2026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46052</v>
      </c>
      <c r="E376" s="1" t="n">
        <v>46319</v>
      </c>
      <c r="F376" t="inlineStr">
        <is>
          <t>VÄSTERNORRLANDS LÄN</t>
        </is>
      </c>
      <c r="G376" t="inlineStr">
        <is>
          <t>HÄRNÖSAND</t>
        </is>
      </c>
      <c r="I376" t="n">
        <v>2.6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25541-2025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45803</v>
      </c>
      <c r="E377" s="1" t="n">
        <v>46319</v>
      </c>
      <c r="F377" t="inlineStr">
        <is>
          <t>VÄSTERNORRLANDS LÄN</t>
        </is>
      </c>
      <c r="G377" t="inlineStr">
        <is>
          <t>HÄRNÖSAND</t>
        </is>
      </c>
      <c r="I377" t="n">
        <v>2.3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5861-2026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46052</v>
      </c>
      <c r="E378" s="1" t="n">
        <v>46319</v>
      </c>
      <c r="F378" t="inlineStr">
        <is>
          <t>VÄSTERNORRLANDS LÄN</t>
        </is>
      </c>
      <c r="G378" t="inlineStr">
        <is>
          <t>HÄRNÖSAND</t>
        </is>
      </c>
      <c r="I378" t="n">
        <v>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18461-2025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45762</v>
      </c>
      <c r="E379" s="1" t="n">
        <v>46319</v>
      </c>
      <c r="F379" t="inlineStr">
        <is>
          <t>VÄSTERNORRLANDS LÄN</t>
        </is>
      </c>
      <c r="G379" t="inlineStr">
        <is>
          <t>HÄRNÖSAND</t>
        </is>
      </c>
      <c r="I379" t="n">
        <v>5.6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5911-2026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46052</v>
      </c>
      <c r="E380" s="1" t="n">
        <v>46319</v>
      </c>
      <c r="F380" t="inlineStr">
        <is>
          <t>VÄSTERNORRLANDS LÄN</t>
        </is>
      </c>
      <c r="G380" t="inlineStr">
        <is>
          <t>HÄRNÖSAND</t>
        </is>
      </c>
      <c r="H380" t="inlineStr">
        <is>
          <t>SCA</t>
        </is>
      </c>
      <c r="I380" t="n">
        <v>2.7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26176-2025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45805</v>
      </c>
      <c r="E381" s="1" t="n">
        <v>46319</v>
      </c>
      <c r="F381" t="inlineStr">
        <is>
          <t>VÄSTERNORRLANDS LÄN</t>
        </is>
      </c>
      <c r="G381" t="inlineStr">
        <is>
          <t>HÄRNÖSAND</t>
        </is>
      </c>
      <c r="I381" t="n">
        <v>1.7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6418-2026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46055</v>
      </c>
      <c r="E382" s="1" t="n">
        <v>46319</v>
      </c>
      <c r="F382" t="inlineStr">
        <is>
          <t>VÄSTERNORRLANDS LÄN</t>
        </is>
      </c>
      <c r="G382" t="inlineStr">
        <is>
          <t>HÄRNÖSAND</t>
        </is>
      </c>
      <c r="I382" t="n">
        <v>3.4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6646-2026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46056</v>
      </c>
      <c r="E383" s="1" t="n">
        <v>46319</v>
      </c>
      <c r="F383" t="inlineStr">
        <is>
          <t>VÄSTERNORRLANDS LÄN</t>
        </is>
      </c>
      <c r="G383" t="inlineStr">
        <is>
          <t>HÄRNÖSAND</t>
        </is>
      </c>
      <c r="I383" t="n">
        <v>1.5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57685-2024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45630</v>
      </c>
      <c r="E384" s="1" t="n">
        <v>46319</v>
      </c>
      <c r="F384" t="inlineStr">
        <is>
          <t>VÄSTERNORRLANDS LÄN</t>
        </is>
      </c>
      <c r="G384" t="inlineStr">
        <is>
          <t>HÄRNÖSAND</t>
        </is>
      </c>
      <c r="I384" t="n">
        <v>2.9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49531-2023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45205</v>
      </c>
      <c r="E385" s="1" t="n">
        <v>46319</v>
      </c>
      <c r="F385" t="inlineStr">
        <is>
          <t>VÄSTERNORRLANDS LÄN</t>
        </is>
      </c>
      <c r="G385" t="inlineStr">
        <is>
          <t>HÄRNÖSAND</t>
        </is>
      </c>
      <c r="I385" t="n">
        <v>7.9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26918-2025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45811</v>
      </c>
      <c r="E386" s="1" t="n">
        <v>46319</v>
      </c>
      <c r="F386" t="inlineStr">
        <is>
          <t>VÄSTERNORRLANDS LÄN</t>
        </is>
      </c>
      <c r="G386" t="inlineStr">
        <is>
          <t>HÄRNÖSAND</t>
        </is>
      </c>
      <c r="I386" t="n">
        <v>2.4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27272-2025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45812</v>
      </c>
      <c r="E387" s="1" t="n">
        <v>46319</v>
      </c>
      <c r="F387" t="inlineStr">
        <is>
          <t>VÄSTERNORRLANDS LÄN</t>
        </is>
      </c>
      <c r="G387" t="inlineStr">
        <is>
          <t>HÄRNÖSAND</t>
        </is>
      </c>
      <c r="I387" t="n">
        <v>2.4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27273-2025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45812</v>
      </c>
      <c r="E388" s="1" t="n">
        <v>46319</v>
      </c>
      <c r="F388" t="inlineStr">
        <is>
          <t>VÄSTERNORRLANDS LÄN</t>
        </is>
      </c>
      <c r="G388" t="inlineStr">
        <is>
          <t>HÄRNÖSAND</t>
        </is>
      </c>
      <c r="I388" t="n">
        <v>0.8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7896-2026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46063</v>
      </c>
      <c r="E389" s="1" t="n">
        <v>46319</v>
      </c>
      <c r="F389" t="inlineStr">
        <is>
          <t>VÄSTERNORRLANDS LÄN</t>
        </is>
      </c>
      <c r="G389" t="inlineStr">
        <is>
          <t>HÄRNÖSAND</t>
        </is>
      </c>
      <c r="I389" t="n">
        <v>0.9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8413-2026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46065</v>
      </c>
      <c r="E390" s="1" t="n">
        <v>46319</v>
      </c>
      <c r="F390" t="inlineStr">
        <is>
          <t>VÄSTERNORRLANDS LÄN</t>
        </is>
      </c>
      <c r="G390" t="inlineStr">
        <is>
          <t>HÄRNÖSAND</t>
        </is>
      </c>
      <c r="H390" t="inlineStr">
        <is>
          <t>Kyrkan</t>
        </is>
      </c>
      <c r="I390" t="n">
        <v>3.5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8414-2026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46065</v>
      </c>
      <c r="E391" s="1" t="n">
        <v>46319</v>
      </c>
      <c r="F391" t="inlineStr">
        <is>
          <t>VÄSTERNORRLANDS LÄN</t>
        </is>
      </c>
      <c r="G391" t="inlineStr">
        <is>
          <t>HÄRNÖSAND</t>
        </is>
      </c>
      <c r="H391" t="inlineStr">
        <is>
          <t>Kyrkan</t>
        </is>
      </c>
      <c r="I391" t="n">
        <v>1.9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8415-2026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46065</v>
      </c>
      <c r="E392" s="1" t="n">
        <v>46319</v>
      </c>
      <c r="F392" t="inlineStr">
        <is>
          <t>VÄSTERNORRLANDS LÄN</t>
        </is>
      </c>
      <c r="G392" t="inlineStr">
        <is>
          <t>HÄRNÖSAND</t>
        </is>
      </c>
      <c r="H392" t="inlineStr">
        <is>
          <t>Kyrkan</t>
        </is>
      </c>
      <c r="I392" t="n">
        <v>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33659-2026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46248</v>
      </c>
      <c r="E393" s="1" t="n">
        <v>46319</v>
      </c>
      <c r="F393" t="inlineStr">
        <is>
          <t>VÄSTERNORRLANDS LÄN</t>
        </is>
      </c>
      <c r="G393" t="inlineStr">
        <is>
          <t>HÄRNÖSAND</t>
        </is>
      </c>
      <c r="I393" t="n">
        <v>1.4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8495-2026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46065</v>
      </c>
      <c r="E394" s="1" t="n">
        <v>46319</v>
      </c>
      <c r="F394" t="inlineStr">
        <is>
          <t>VÄSTERNORRLANDS LÄN</t>
        </is>
      </c>
      <c r="G394" t="inlineStr">
        <is>
          <t>HÄRNÖSAND</t>
        </is>
      </c>
      <c r="I394" t="n">
        <v>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8421-2026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46065</v>
      </c>
      <c r="E395" s="1" t="n">
        <v>46319</v>
      </c>
      <c r="F395" t="inlineStr">
        <is>
          <t>VÄSTERNORRLANDS LÄN</t>
        </is>
      </c>
      <c r="G395" t="inlineStr">
        <is>
          <t>HÄRNÖSAND</t>
        </is>
      </c>
      <c r="I395" t="n">
        <v>3.2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9162-2026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46070</v>
      </c>
      <c r="E396" s="1" t="n">
        <v>46319</v>
      </c>
      <c r="F396" t="inlineStr">
        <is>
          <t>VÄSTERNORRLANDS LÄN</t>
        </is>
      </c>
      <c r="G396" t="inlineStr">
        <is>
          <t>HÄRNÖSAND</t>
        </is>
      </c>
      <c r="I396" t="n">
        <v>0.2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32180-2024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45511</v>
      </c>
      <c r="E397" s="1" t="n">
        <v>46319</v>
      </c>
      <c r="F397" t="inlineStr">
        <is>
          <t>VÄSTERNORRLANDS LÄN</t>
        </is>
      </c>
      <c r="G397" t="inlineStr">
        <is>
          <t>HÄRNÖSAND</t>
        </is>
      </c>
      <c r="I397" t="n">
        <v>0.5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9642-2026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46072</v>
      </c>
      <c r="E398" s="1" t="n">
        <v>46319</v>
      </c>
      <c r="F398" t="inlineStr">
        <is>
          <t>VÄSTERNORRLANDS LÄN</t>
        </is>
      </c>
      <c r="G398" t="inlineStr">
        <is>
          <t>HÄRNÖSAND</t>
        </is>
      </c>
      <c r="I398" t="n">
        <v>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56680-2023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45243</v>
      </c>
      <c r="E399" s="1" t="n">
        <v>46319</v>
      </c>
      <c r="F399" t="inlineStr">
        <is>
          <t>VÄSTERNORRLANDS LÄN</t>
        </is>
      </c>
      <c r="G399" t="inlineStr">
        <is>
          <t>HÄRNÖSAND</t>
        </is>
      </c>
      <c r="I399" t="n">
        <v>1.1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9804-2026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46071</v>
      </c>
      <c r="E400" s="1" t="n">
        <v>46319</v>
      </c>
      <c r="F400" t="inlineStr">
        <is>
          <t>VÄSTERNORRLANDS LÄN</t>
        </is>
      </c>
      <c r="G400" t="inlineStr">
        <is>
          <t>HÄRNÖSAND</t>
        </is>
      </c>
      <c r="I400" t="n">
        <v>2.2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9805-2026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46071</v>
      </c>
      <c r="E401" s="1" t="n">
        <v>46319</v>
      </c>
      <c r="F401" t="inlineStr">
        <is>
          <t>VÄSTERNORRLANDS LÄN</t>
        </is>
      </c>
      <c r="G401" t="inlineStr">
        <is>
          <t>HÄRNÖSAND</t>
        </is>
      </c>
      <c r="I401" t="n">
        <v>2.5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9656-2026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46072</v>
      </c>
      <c r="E402" s="1" t="n">
        <v>46319</v>
      </c>
      <c r="F402" t="inlineStr">
        <is>
          <t>VÄSTERNORRLANDS LÄN</t>
        </is>
      </c>
      <c r="G402" t="inlineStr">
        <is>
          <t>HÄRNÖSAND</t>
        </is>
      </c>
      <c r="I402" t="n">
        <v>4.7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40797-2026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46296</v>
      </c>
      <c r="E403" s="1" t="n">
        <v>46319</v>
      </c>
      <c r="F403" t="inlineStr">
        <is>
          <t>VÄSTERNORRLANDS LÄN</t>
        </is>
      </c>
      <c r="G403" t="inlineStr">
        <is>
          <t>HÄRNÖSAND</t>
        </is>
      </c>
      <c r="H403" t="inlineStr">
        <is>
          <t>SCA</t>
        </is>
      </c>
      <c r="I403" t="n">
        <v>7.4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29233-2025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45824</v>
      </c>
      <c r="E404" s="1" t="n">
        <v>46319</v>
      </c>
      <c r="F404" t="inlineStr">
        <is>
          <t>VÄSTERNORRLANDS LÄN</t>
        </is>
      </c>
      <c r="G404" t="inlineStr">
        <is>
          <t>HÄRNÖSAND</t>
        </is>
      </c>
      <c r="H404" t="inlineStr">
        <is>
          <t>SCA</t>
        </is>
      </c>
      <c r="I404" t="n">
        <v>5.3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10571-2026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46077</v>
      </c>
      <c r="E405" s="1" t="n">
        <v>46319</v>
      </c>
      <c r="F405" t="inlineStr">
        <is>
          <t>VÄSTERNORRLANDS LÄN</t>
        </is>
      </c>
      <c r="G405" t="inlineStr">
        <is>
          <t>HÄRNÖSAND</t>
        </is>
      </c>
      <c r="I405" t="n">
        <v>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34028-2026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46252</v>
      </c>
      <c r="E406" s="1" t="n">
        <v>46319</v>
      </c>
      <c r="F406" t="inlineStr">
        <is>
          <t>VÄSTERNORRLANDS LÄN</t>
        </is>
      </c>
      <c r="G406" t="inlineStr">
        <is>
          <t>HÄRNÖSAND</t>
        </is>
      </c>
      <c r="I406" t="n">
        <v>0.8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40832-2026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46296</v>
      </c>
      <c r="E407" s="1" t="n">
        <v>46319</v>
      </c>
      <c r="F407" t="inlineStr">
        <is>
          <t>VÄSTERNORRLANDS LÄN</t>
        </is>
      </c>
      <c r="G407" t="inlineStr">
        <is>
          <t>HÄRNÖSAND</t>
        </is>
      </c>
      <c r="H407" t="inlineStr">
        <is>
          <t>SCA</t>
        </is>
      </c>
      <c r="I407" t="n">
        <v>11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29542-2025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45825</v>
      </c>
      <c r="E408" s="1" t="n">
        <v>46319</v>
      </c>
      <c r="F408" t="inlineStr">
        <is>
          <t>VÄSTERNORRLANDS LÄN</t>
        </is>
      </c>
      <c r="G408" t="inlineStr">
        <is>
          <t>HÄRNÖSAND</t>
        </is>
      </c>
      <c r="I408" t="n">
        <v>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29548-2025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45825</v>
      </c>
      <c r="E409" s="1" t="n">
        <v>46319</v>
      </c>
      <c r="F409" t="inlineStr">
        <is>
          <t>VÄSTERNORRLANDS LÄN</t>
        </is>
      </c>
      <c r="G409" t="inlineStr">
        <is>
          <t>HÄRNÖSAND</t>
        </is>
      </c>
      <c r="I409" t="n">
        <v>7.1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29549-2025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45825</v>
      </c>
      <c r="E410" s="1" t="n">
        <v>46319</v>
      </c>
      <c r="F410" t="inlineStr">
        <is>
          <t>VÄSTERNORRLANDS LÄN</t>
        </is>
      </c>
      <c r="G410" t="inlineStr">
        <is>
          <t>HÄRNÖSAND</t>
        </is>
      </c>
      <c r="I410" t="n">
        <v>0.8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29550-2025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45825</v>
      </c>
      <c r="E411" s="1" t="n">
        <v>46319</v>
      </c>
      <c r="F411" t="inlineStr">
        <is>
          <t>VÄSTERNORRLANDS LÄN</t>
        </is>
      </c>
      <c r="G411" t="inlineStr">
        <is>
          <t>HÄRNÖSAND</t>
        </is>
      </c>
      <c r="I411" t="n">
        <v>0.9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40833-2026</t>
        </is>
      </c>
      <c r="B412" t="inlineStr">
        <is>
          <t>avverkningsanmälan</t>
        </is>
      </c>
      <c r="C412" t="inlineStr">
        <is>
          <t>Avverkning för att bevara och utveckla /försöksver</t>
        </is>
      </c>
      <c r="D412" s="1" t="n">
        <v>46296</v>
      </c>
      <c r="E412" s="1" t="n">
        <v>46319</v>
      </c>
      <c r="F412" t="inlineStr">
        <is>
          <t>VÄSTERNORRLANDS LÄN</t>
        </is>
      </c>
      <c r="G412" t="inlineStr">
        <is>
          <t>HÄRNÖSAND</t>
        </is>
      </c>
      <c r="H412" t="inlineStr">
        <is>
          <t>SCA</t>
        </is>
      </c>
      <c r="I412" t="n">
        <v>3.2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30039-2025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45826</v>
      </c>
      <c r="E413" s="1" t="n">
        <v>46319</v>
      </c>
      <c r="F413" t="inlineStr">
        <is>
          <t>VÄSTERNORRLANDS LÄN</t>
        </is>
      </c>
      <c r="G413" t="inlineStr">
        <is>
          <t>HÄRNÖSAND</t>
        </is>
      </c>
      <c r="H413" t="inlineStr">
        <is>
          <t>Kyrkan</t>
        </is>
      </c>
      <c r="I413" t="n">
        <v>2.6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40816-2026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46296</v>
      </c>
      <c r="E414" s="1" t="n">
        <v>46319</v>
      </c>
      <c r="F414" t="inlineStr">
        <is>
          <t>VÄSTERNORRLANDS LÄN</t>
        </is>
      </c>
      <c r="G414" t="inlineStr">
        <is>
          <t>HÄRNÖSAND</t>
        </is>
      </c>
      <c r="H414" t="inlineStr">
        <is>
          <t>SCA</t>
        </is>
      </c>
      <c r="I414" t="n">
        <v>2.7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11202-2026</t>
        </is>
      </c>
      <c r="B415" t="inlineStr">
        <is>
          <t>avverkningsanmälan</t>
        </is>
      </c>
      <c r="C415" t="inlineStr">
        <is>
          <t>Avverkning för annat ändamål</t>
        </is>
      </c>
      <c r="D415" s="1" t="n">
        <v>46080</v>
      </c>
      <c r="E415" s="1" t="n">
        <v>46319</v>
      </c>
      <c r="F415" t="inlineStr">
        <is>
          <t>VÄSTERNORRLANDS LÄN</t>
        </is>
      </c>
      <c r="G415" t="inlineStr">
        <is>
          <t>HÄRNÖSAND</t>
        </is>
      </c>
      <c r="I415" t="n">
        <v>0.8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54252-2022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44881</v>
      </c>
      <c r="E416" s="1" t="n">
        <v>46319</v>
      </c>
      <c r="F416" t="inlineStr">
        <is>
          <t>VÄSTERNORRLANDS LÄN</t>
        </is>
      </c>
      <c r="G416" t="inlineStr">
        <is>
          <t>HÄRNÖSAND</t>
        </is>
      </c>
      <c r="H416" t="inlineStr">
        <is>
          <t>SCA</t>
        </is>
      </c>
      <c r="I416" t="n">
        <v>1.9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11917-2026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46085</v>
      </c>
      <c r="E417" s="1" t="n">
        <v>46319</v>
      </c>
      <c r="F417" t="inlineStr">
        <is>
          <t>VÄSTERNORRLANDS LÄN</t>
        </is>
      </c>
      <c r="G417" t="inlineStr">
        <is>
          <t>HÄRNÖSAND</t>
        </is>
      </c>
      <c r="I417" t="n">
        <v>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8375-2026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46064</v>
      </c>
      <c r="E418" s="1" t="n">
        <v>46319</v>
      </c>
      <c r="F418" t="inlineStr">
        <is>
          <t>VÄSTERNORRLANDS LÄN</t>
        </is>
      </c>
      <c r="G418" t="inlineStr">
        <is>
          <t>HÄRNÖSAND</t>
        </is>
      </c>
      <c r="I418" t="n">
        <v>4.4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50338-2022</t>
        </is>
      </c>
      <c r="B419" t="inlineStr">
        <is>
          <t>avverkningsanmälan</t>
        </is>
      </c>
      <c r="C419" t="inlineStr">
        <is>
          <t>Avverkning för att bevara och utveckla /försöksver</t>
        </is>
      </c>
      <c r="D419" s="1" t="n">
        <v>44865</v>
      </c>
      <c r="E419" s="1" t="n">
        <v>46319</v>
      </c>
      <c r="F419" t="inlineStr">
        <is>
          <t>VÄSTERNORRLANDS LÄN</t>
        </is>
      </c>
      <c r="G419" t="inlineStr">
        <is>
          <t>HÄRNÖSAND</t>
        </is>
      </c>
      <c r="H419" t="inlineStr">
        <is>
          <t>SCA</t>
        </is>
      </c>
      <c r="I419" t="n">
        <v>4.2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31305-2025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45833</v>
      </c>
      <c r="E420" s="1" t="n">
        <v>46319</v>
      </c>
      <c r="F420" t="inlineStr">
        <is>
          <t>VÄSTERNORRLANDS LÄN</t>
        </is>
      </c>
      <c r="G420" t="inlineStr">
        <is>
          <t>HÄRNÖSAND</t>
        </is>
      </c>
      <c r="H420" t="inlineStr">
        <is>
          <t>SCA</t>
        </is>
      </c>
      <c r="I420" t="n">
        <v>13.5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31342-2025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45833</v>
      </c>
      <c r="E421" s="1" t="n">
        <v>46319</v>
      </c>
      <c r="F421" t="inlineStr">
        <is>
          <t>VÄSTERNORRLANDS LÄN</t>
        </is>
      </c>
      <c r="G421" t="inlineStr">
        <is>
          <t>HÄRNÖSAND</t>
        </is>
      </c>
      <c r="H421" t="inlineStr">
        <is>
          <t>SCA</t>
        </is>
      </c>
      <c r="I421" t="n">
        <v>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31721-2025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45834</v>
      </c>
      <c r="E422" s="1" t="n">
        <v>46319</v>
      </c>
      <c r="F422" t="inlineStr">
        <is>
          <t>VÄSTERNORRLANDS LÄN</t>
        </is>
      </c>
      <c r="G422" t="inlineStr">
        <is>
          <t>HÄRNÖSAND</t>
        </is>
      </c>
      <c r="I422" t="n">
        <v>0.7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31483-2025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45833</v>
      </c>
      <c r="E423" s="1" t="n">
        <v>46319</v>
      </c>
      <c r="F423" t="inlineStr">
        <is>
          <t>VÄSTERNORRLANDS LÄN</t>
        </is>
      </c>
      <c r="G423" t="inlineStr">
        <is>
          <t>HÄRNÖSAND</t>
        </is>
      </c>
      <c r="H423" t="inlineStr">
        <is>
          <t>SCA</t>
        </is>
      </c>
      <c r="I423" t="n">
        <v>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12340-2026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46087</v>
      </c>
      <c r="E424" s="1" t="n">
        <v>46319</v>
      </c>
      <c r="F424" t="inlineStr">
        <is>
          <t>VÄSTERNORRLANDS LÄN</t>
        </is>
      </c>
      <c r="G424" t="inlineStr">
        <is>
          <t>HÄRNÖSAND</t>
        </is>
      </c>
      <c r="H424" t="inlineStr">
        <is>
          <t>Övriga statliga verk och myndigheter</t>
        </is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31303-2025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45833</v>
      </c>
      <c r="E425" s="1" t="n">
        <v>46319</v>
      </c>
      <c r="F425" t="inlineStr">
        <is>
          <t>VÄSTERNORRLANDS LÄN</t>
        </is>
      </c>
      <c r="G425" t="inlineStr">
        <is>
          <t>HÄRNÖSAND</t>
        </is>
      </c>
      <c r="H425" t="inlineStr">
        <is>
          <t>SCA</t>
        </is>
      </c>
      <c r="I425" t="n">
        <v>4.8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40868-2026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46297</v>
      </c>
      <c r="E426" s="1" t="n">
        <v>46319</v>
      </c>
      <c r="F426" t="inlineStr">
        <is>
          <t>VÄSTERNORRLANDS LÄN</t>
        </is>
      </c>
      <c r="G426" t="inlineStr">
        <is>
          <t>HÄRNÖSAND</t>
        </is>
      </c>
      <c r="H426" t="inlineStr">
        <is>
          <t>Kyrkan</t>
        </is>
      </c>
      <c r="I426" t="n">
        <v>2.7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31344-2025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45833</v>
      </c>
      <c r="E427" s="1" t="n">
        <v>46319</v>
      </c>
      <c r="F427" t="inlineStr">
        <is>
          <t>VÄSTERNORRLANDS LÄN</t>
        </is>
      </c>
      <c r="G427" t="inlineStr">
        <is>
          <t>HÄRNÖSAND</t>
        </is>
      </c>
      <c r="H427" t="inlineStr">
        <is>
          <t>SCA</t>
        </is>
      </c>
      <c r="I427" t="n">
        <v>2.1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31890-2025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45834</v>
      </c>
      <c r="E428" s="1" t="n">
        <v>46319</v>
      </c>
      <c r="F428" t="inlineStr">
        <is>
          <t>VÄSTERNORRLANDS LÄN</t>
        </is>
      </c>
      <c r="G428" t="inlineStr">
        <is>
          <t>HÄRNÖSAND</t>
        </is>
      </c>
      <c r="I428" t="n">
        <v>1.2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12650-2026</t>
        </is>
      </c>
      <c r="B429" t="inlineStr">
        <is>
          <t>avverkningsanmälan</t>
        </is>
      </c>
      <c r="C429" t="inlineStr">
        <is>
          <t>Avverkning för att bevara och utveckla /försöksver</t>
        </is>
      </c>
      <c r="D429" s="1" t="n">
        <v>46091</v>
      </c>
      <c r="E429" s="1" t="n">
        <v>46319</v>
      </c>
      <c r="F429" t="inlineStr">
        <is>
          <t>VÄSTERNORRLANDS LÄN</t>
        </is>
      </c>
      <c r="G429" t="inlineStr">
        <is>
          <t>HÄRNÖSAND</t>
        </is>
      </c>
      <c r="I429" t="n">
        <v>1.7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32374-2025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45837</v>
      </c>
      <c r="E430" s="1" t="n">
        <v>46319</v>
      </c>
      <c r="F430" t="inlineStr">
        <is>
          <t>VÄSTERNORRLANDS LÄN</t>
        </is>
      </c>
      <c r="G430" t="inlineStr">
        <is>
          <t>HÄRNÖSAND</t>
        </is>
      </c>
      <c r="H430" t="inlineStr">
        <is>
          <t>SCA</t>
        </is>
      </c>
      <c r="I430" t="n">
        <v>2.7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12630-2026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46091</v>
      </c>
      <c r="E431" s="1" t="n">
        <v>46319</v>
      </c>
      <c r="F431" t="inlineStr">
        <is>
          <t>VÄSTERNORRLANDS LÄN</t>
        </is>
      </c>
      <c r="G431" t="inlineStr">
        <is>
          <t>HÄRNÖSAND</t>
        </is>
      </c>
      <c r="I431" t="n">
        <v>9.9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12637-2026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46091</v>
      </c>
      <c r="E432" s="1" t="n">
        <v>46319</v>
      </c>
      <c r="F432" t="inlineStr">
        <is>
          <t>VÄSTERNORRLANDS LÄN</t>
        </is>
      </c>
      <c r="G432" t="inlineStr">
        <is>
          <t>HÄRNÖSAND</t>
        </is>
      </c>
      <c r="I432" t="n">
        <v>0.6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26920-2025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45811</v>
      </c>
      <c r="E433" s="1" t="n">
        <v>46319</v>
      </c>
      <c r="F433" t="inlineStr">
        <is>
          <t>VÄSTERNORRLANDS LÄN</t>
        </is>
      </c>
      <c r="G433" t="inlineStr">
        <is>
          <t>HÄRNÖSAND</t>
        </is>
      </c>
      <c r="I433" t="n">
        <v>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12613-2026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46091</v>
      </c>
      <c r="E434" s="1" t="n">
        <v>46319</v>
      </c>
      <c r="F434" t="inlineStr">
        <is>
          <t>VÄSTERNORRLANDS LÄN</t>
        </is>
      </c>
      <c r="G434" t="inlineStr">
        <is>
          <t>HÄRNÖSAND</t>
        </is>
      </c>
      <c r="I434" t="n">
        <v>1.3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12623-2026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46091</v>
      </c>
      <c r="E435" s="1" t="n">
        <v>46319</v>
      </c>
      <c r="F435" t="inlineStr">
        <is>
          <t>VÄSTERNORRLANDS LÄN</t>
        </is>
      </c>
      <c r="G435" t="inlineStr">
        <is>
          <t>HÄRNÖSAND</t>
        </is>
      </c>
      <c r="I435" t="n">
        <v>1.5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32365-2025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45837</v>
      </c>
      <c r="E436" s="1" t="n">
        <v>46319</v>
      </c>
      <c r="F436" t="inlineStr">
        <is>
          <t>VÄSTERNORRLANDS LÄN</t>
        </is>
      </c>
      <c r="G436" t="inlineStr">
        <is>
          <t>HÄRNÖSAND</t>
        </is>
      </c>
      <c r="H436" t="inlineStr">
        <is>
          <t>SCA</t>
        </is>
      </c>
      <c r="I436" t="n">
        <v>1.5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34729-2025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45840</v>
      </c>
      <c r="E437" s="1" t="n">
        <v>46319</v>
      </c>
      <c r="F437" t="inlineStr">
        <is>
          <t>VÄSTERNORRLANDS LÄN</t>
        </is>
      </c>
      <c r="G437" t="inlineStr">
        <is>
          <t>HÄRNÖSAND</t>
        </is>
      </c>
      <c r="I437" t="n">
        <v>0.5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33747-2026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46251</v>
      </c>
      <c r="E438" s="1" t="n">
        <v>46319</v>
      </c>
      <c r="F438" t="inlineStr">
        <is>
          <t>VÄSTERNORRLANDS LÄN</t>
        </is>
      </c>
      <c r="G438" t="inlineStr">
        <is>
          <t>HÄRNÖSAND</t>
        </is>
      </c>
      <c r="H438" t="inlineStr">
        <is>
          <t>SCA</t>
        </is>
      </c>
      <c r="I438" t="n">
        <v>4.4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13459-2026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46094</v>
      </c>
      <c r="E439" s="1" t="n">
        <v>46319</v>
      </c>
      <c r="F439" t="inlineStr">
        <is>
          <t>VÄSTERNORRLANDS LÄN</t>
        </is>
      </c>
      <c r="G439" t="inlineStr">
        <is>
          <t>HÄRNÖSAND</t>
        </is>
      </c>
      <c r="H439" t="inlineStr">
        <is>
          <t>SCA</t>
        </is>
      </c>
      <c r="I439" t="n">
        <v>7.1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13488-2026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46094</v>
      </c>
      <c r="E440" s="1" t="n">
        <v>46319</v>
      </c>
      <c r="F440" t="inlineStr">
        <is>
          <t>VÄSTERNORRLANDS LÄN</t>
        </is>
      </c>
      <c r="G440" t="inlineStr">
        <is>
          <t>HÄRNÖSAND</t>
        </is>
      </c>
      <c r="I440" t="n">
        <v>5.4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33145-2025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45840</v>
      </c>
      <c r="E441" s="1" t="n">
        <v>46319</v>
      </c>
      <c r="F441" t="inlineStr">
        <is>
          <t>VÄSTERNORRLANDS LÄN</t>
        </is>
      </c>
      <c r="G441" t="inlineStr">
        <is>
          <t>HÄRNÖSAND</t>
        </is>
      </c>
      <c r="I441" t="n">
        <v>0.5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27977-2024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45476</v>
      </c>
      <c r="E442" s="1" t="n">
        <v>46319</v>
      </c>
      <c r="F442" t="inlineStr">
        <is>
          <t>VÄSTERNORRLANDS LÄN</t>
        </is>
      </c>
      <c r="G442" t="inlineStr">
        <is>
          <t>HÄRNÖSAND</t>
        </is>
      </c>
      <c r="I442" t="n">
        <v>6.4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41010-2026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46297</v>
      </c>
      <c r="E443" s="1" t="n">
        <v>46319</v>
      </c>
      <c r="F443" t="inlineStr">
        <is>
          <t>VÄSTERNORRLANDS LÄN</t>
        </is>
      </c>
      <c r="G443" t="inlineStr">
        <is>
          <t>HÄRNÖSAND</t>
        </is>
      </c>
      <c r="I443" t="n">
        <v>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39369-2026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46288</v>
      </c>
      <c r="E444" s="1" t="n">
        <v>46319</v>
      </c>
      <c r="F444" t="inlineStr">
        <is>
          <t>VÄSTERNORRLANDS LÄN</t>
        </is>
      </c>
      <c r="G444" t="inlineStr">
        <is>
          <t>HÄRNÖSAND</t>
        </is>
      </c>
      <c r="I444" t="n">
        <v>1.1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1643-2023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44937</v>
      </c>
      <c r="E445" s="1" t="n">
        <v>46319</v>
      </c>
      <c r="F445" t="inlineStr">
        <is>
          <t>VÄSTERNORRLANDS LÄN</t>
        </is>
      </c>
      <c r="G445" t="inlineStr">
        <is>
          <t>HÄRNÖSAND</t>
        </is>
      </c>
      <c r="I445" t="n">
        <v>2.1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35447-2024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45531</v>
      </c>
      <c r="E446" s="1" t="n">
        <v>46319</v>
      </c>
      <c r="F446" t="inlineStr">
        <is>
          <t>VÄSTERNORRLANDS LÄN</t>
        </is>
      </c>
      <c r="G446" t="inlineStr">
        <is>
          <t>HÄRNÖSAND</t>
        </is>
      </c>
      <c r="I446" t="n">
        <v>5.8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14665-2026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46101</v>
      </c>
      <c r="E447" s="1" t="n">
        <v>46319</v>
      </c>
      <c r="F447" t="inlineStr">
        <is>
          <t>VÄSTERNORRLANDS LÄN</t>
        </is>
      </c>
      <c r="G447" t="inlineStr">
        <is>
          <t>HÄRNÖSAND</t>
        </is>
      </c>
      <c r="H447" t="inlineStr">
        <is>
          <t>SCA</t>
        </is>
      </c>
      <c r="I447" t="n">
        <v>16.2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34736-2025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45848</v>
      </c>
      <c r="E448" s="1" t="n">
        <v>46319</v>
      </c>
      <c r="F448" t="inlineStr">
        <is>
          <t>VÄSTERNORRLANDS LÄN</t>
        </is>
      </c>
      <c r="G448" t="inlineStr">
        <is>
          <t>HÄRNÖSAND</t>
        </is>
      </c>
      <c r="I448" t="n">
        <v>7.9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34751-2025</t>
        </is>
      </c>
      <c r="B449" t="inlineStr">
        <is>
          <t>avverkningsanmälan</t>
        </is>
      </c>
      <c r="C449" t="inlineStr">
        <is>
          <t>Avverkning för att bevara och utveckla /försöksver</t>
        </is>
      </c>
      <c r="D449" s="1" t="n">
        <v>45848</v>
      </c>
      <c r="E449" s="1" t="n">
        <v>46319</v>
      </c>
      <c r="F449" t="inlineStr">
        <is>
          <t>VÄSTERNORRLANDS LÄN</t>
        </is>
      </c>
      <c r="G449" t="inlineStr">
        <is>
          <t>HÄRNÖSAND</t>
        </is>
      </c>
      <c r="I449" t="n">
        <v>8.699999999999999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14936-2026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46104</v>
      </c>
      <c r="E450" s="1" t="n">
        <v>46319</v>
      </c>
      <c r="F450" t="inlineStr">
        <is>
          <t>VÄSTERNORRLANDS LÄN</t>
        </is>
      </c>
      <c r="G450" t="inlineStr">
        <is>
          <t>HÄRNÖSAND</t>
        </is>
      </c>
      <c r="I450" t="n">
        <v>4.8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15160-2026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46105</v>
      </c>
      <c r="E451" s="1" t="n">
        <v>46319</v>
      </c>
      <c r="F451" t="inlineStr">
        <is>
          <t>VÄSTERNORRLANDS LÄN</t>
        </is>
      </c>
      <c r="G451" t="inlineStr">
        <is>
          <t>HÄRNÖSAND</t>
        </is>
      </c>
      <c r="I451" t="n">
        <v>1.1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15192-2026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46105</v>
      </c>
      <c r="E452" s="1" t="n">
        <v>46319</v>
      </c>
      <c r="F452" t="inlineStr">
        <is>
          <t>VÄSTERNORRLANDS LÄN</t>
        </is>
      </c>
      <c r="G452" t="inlineStr">
        <is>
          <t>HÄRNÖSAND</t>
        </is>
      </c>
      <c r="I452" t="n">
        <v>1.9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15199-2026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46105</v>
      </c>
      <c r="E453" s="1" t="n">
        <v>46319</v>
      </c>
      <c r="F453" t="inlineStr">
        <is>
          <t>VÄSTERNORRLANDS LÄN</t>
        </is>
      </c>
      <c r="G453" t="inlineStr">
        <is>
          <t>HÄRNÖSAND</t>
        </is>
      </c>
      <c r="I453" t="n">
        <v>1.7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41439-2026</t>
        </is>
      </c>
      <c r="B454" t="inlineStr">
        <is>
          <t>avverkningsanmälan</t>
        </is>
      </c>
      <c r="C454" t="inlineStr">
        <is>
          <t>Avverkning för annat ändamål</t>
        </is>
      </c>
      <c r="D454" s="1" t="n">
        <v>46301</v>
      </c>
      <c r="E454" s="1" t="n">
        <v>46319</v>
      </c>
      <c r="F454" t="inlineStr">
        <is>
          <t>VÄSTERNORRLANDS LÄN</t>
        </is>
      </c>
      <c r="G454" t="inlineStr">
        <is>
          <t>HÄRNÖSAND</t>
        </is>
      </c>
      <c r="I454" t="n">
        <v>0.3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15137-2026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46105</v>
      </c>
      <c r="E455" s="1" t="n">
        <v>46319</v>
      </c>
      <c r="F455" t="inlineStr">
        <is>
          <t>VÄSTERNORRLANDS LÄN</t>
        </is>
      </c>
      <c r="G455" t="inlineStr">
        <is>
          <t>HÄRNÖSAND</t>
        </is>
      </c>
      <c r="I455" t="n">
        <v>0.7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34768-2026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46258</v>
      </c>
      <c r="E456" s="1" t="n">
        <v>46319</v>
      </c>
      <c r="F456" t="inlineStr">
        <is>
          <t>VÄSTERNORRLANDS LÄN</t>
        </is>
      </c>
      <c r="G456" t="inlineStr">
        <is>
          <t>HÄRNÖSAND</t>
        </is>
      </c>
      <c r="I456" t="n">
        <v>1.6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15928-2026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46107</v>
      </c>
      <c r="E457" s="1" t="n">
        <v>46319</v>
      </c>
      <c r="F457" t="inlineStr">
        <is>
          <t>VÄSTERNORRLANDS LÄN</t>
        </is>
      </c>
      <c r="G457" t="inlineStr">
        <is>
          <t>HÄRNÖSAND</t>
        </is>
      </c>
      <c r="I457" t="n">
        <v>1.6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16220-2025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45749</v>
      </c>
      <c r="E458" s="1" t="n">
        <v>46319</v>
      </c>
      <c r="F458" t="inlineStr">
        <is>
          <t>VÄSTERNORRLANDS LÄN</t>
        </is>
      </c>
      <c r="G458" t="inlineStr">
        <is>
          <t>HÄRNÖSAND</t>
        </is>
      </c>
      <c r="I458" t="n">
        <v>10.3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15921-2026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46107</v>
      </c>
      <c r="E459" s="1" t="n">
        <v>46319</v>
      </c>
      <c r="F459" t="inlineStr">
        <is>
          <t>VÄSTERNORRLANDS LÄN</t>
        </is>
      </c>
      <c r="G459" t="inlineStr">
        <is>
          <t>HÄRNÖSAND</t>
        </is>
      </c>
      <c r="I459" t="n">
        <v>0.7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15930-2026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46107</v>
      </c>
      <c r="E460" s="1" t="n">
        <v>46319</v>
      </c>
      <c r="F460" t="inlineStr">
        <is>
          <t>VÄSTERNORRLANDS LÄN</t>
        </is>
      </c>
      <c r="G460" t="inlineStr">
        <is>
          <t>HÄRNÖSAND</t>
        </is>
      </c>
      <c r="I460" t="n">
        <v>1.4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15613-2026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46106</v>
      </c>
      <c r="E461" s="1" t="n">
        <v>46319</v>
      </c>
      <c r="F461" t="inlineStr">
        <is>
          <t>VÄSTERNORRLANDS LÄN</t>
        </is>
      </c>
      <c r="G461" t="inlineStr">
        <is>
          <t>HÄRNÖSAND</t>
        </is>
      </c>
      <c r="I461" t="n">
        <v>2.7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35189-2025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45853</v>
      </c>
      <c r="E462" s="1" t="n">
        <v>46319</v>
      </c>
      <c r="F462" t="inlineStr">
        <is>
          <t>VÄSTERNORRLANDS LÄN</t>
        </is>
      </c>
      <c r="G462" t="inlineStr">
        <is>
          <t>HÄRNÖSAND</t>
        </is>
      </c>
      <c r="H462" t="inlineStr">
        <is>
          <t>SCA</t>
        </is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23805-2025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45793</v>
      </c>
      <c r="E463" s="1" t="n">
        <v>46319</v>
      </c>
      <c r="F463" t="inlineStr">
        <is>
          <t>VÄSTERNORRLANDS LÄN</t>
        </is>
      </c>
      <c r="G463" t="inlineStr">
        <is>
          <t>HÄRNÖSAND</t>
        </is>
      </c>
      <c r="I463" t="n">
        <v>1.7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12150-2025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45729</v>
      </c>
      <c r="E464" s="1" t="n">
        <v>46319</v>
      </c>
      <c r="F464" t="inlineStr">
        <is>
          <t>VÄSTERNORRLANDS LÄN</t>
        </is>
      </c>
      <c r="G464" t="inlineStr">
        <is>
          <t>HÄRNÖSAND</t>
        </is>
      </c>
      <c r="I464" t="n">
        <v>5.3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14494-2025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45741</v>
      </c>
      <c r="E465" s="1" t="n">
        <v>46319</v>
      </c>
      <c r="F465" t="inlineStr">
        <is>
          <t>VÄSTERNORRLANDS LÄN</t>
        </is>
      </c>
      <c r="G465" t="inlineStr">
        <is>
          <t>HÄRNÖSAND</t>
        </is>
      </c>
      <c r="I465" t="n">
        <v>1.8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8023-2023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44973</v>
      </c>
      <c r="E466" s="1" t="n">
        <v>46319</v>
      </c>
      <c r="F466" t="inlineStr">
        <is>
          <t>VÄSTERNORRLANDS LÄN</t>
        </is>
      </c>
      <c r="G466" t="inlineStr">
        <is>
          <t>HÄRNÖSAND</t>
        </is>
      </c>
      <c r="I466" t="n">
        <v>3.9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16705-2026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46113</v>
      </c>
      <c r="E467" s="1" t="n">
        <v>46319</v>
      </c>
      <c r="F467" t="inlineStr">
        <is>
          <t>VÄSTERNORRLANDS LÄN</t>
        </is>
      </c>
      <c r="G467" t="inlineStr">
        <is>
          <t>HÄRNÖSAND</t>
        </is>
      </c>
      <c r="H467" t="inlineStr">
        <is>
          <t>SCA</t>
        </is>
      </c>
      <c r="I467" t="n">
        <v>0.5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44459-2024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45574</v>
      </c>
      <c r="E468" s="1" t="n">
        <v>46319</v>
      </c>
      <c r="F468" t="inlineStr">
        <is>
          <t>VÄSTERNORRLANDS LÄN</t>
        </is>
      </c>
      <c r="G468" t="inlineStr">
        <is>
          <t>HÄRNÖSAND</t>
        </is>
      </c>
      <c r="I468" t="n">
        <v>9.5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14495-2025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45741</v>
      </c>
      <c r="E469" s="1" t="n">
        <v>46319</v>
      </c>
      <c r="F469" t="inlineStr">
        <is>
          <t>VÄSTERNORRLANDS LÄN</t>
        </is>
      </c>
      <c r="G469" t="inlineStr">
        <is>
          <t>HÄRNÖSAND</t>
        </is>
      </c>
      <c r="I469" t="n">
        <v>6.4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61102-2021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44498</v>
      </c>
      <c r="E470" s="1" t="n">
        <v>46319</v>
      </c>
      <c r="F470" t="inlineStr">
        <is>
          <t>VÄSTERNORRLANDS LÄN</t>
        </is>
      </c>
      <c r="G470" t="inlineStr">
        <is>
          <t>HÄRNÖSAND</t>
        </is>
      </c>
      <c r="I470" t="n">
        <v>1.6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47550-2022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44853</v>
      </c>
      <c r="E471" s="1" t="n">
        <v>46319</v>
      </c>
      <c r="F471" t="inlineStr">
        <is>
          <t>VÄSTERNORRLANDS LÄN</t>
        </is>
      </c>
      <c r="G471" t="inlineStr">
        <is>
          <t>HÄRNÖSAND</t>
        </is>
      </c>
      <c r="I471" t="n">
        <v>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17661-2026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46120</v>
      </c>
      <c r="E472" s="1" t="n">
        <v>46319</v>
      </c>
      <c r="F472" t="inlineStr">
        <is>
          <t>VÄSTERNORRLANDS LÄN</t>
        </is>
      </c>
      <c r="G472" t="inlineStr">
        <is>
          <t>HÄRNÖSAND</t>
        </is>
      </c>
      <c r="I472" t="n">
        <v>10.8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36960-2025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45874</v>
      </c>
      <c r="E473" s="1" t="n">
        <v>46319</v>
      </c>
      <c r="F473" t="inlineStr">
        <is>
          <t>VÄSTERNORRLANDS LÄN</t>
        </is>
      </c>
      <c r="G473" t="inlineStr">
        <is>
          <t>HÄRNÖSAND</t>
        </is>
      </c>
      <c r="I473" t="n">
        <v>3.5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17874-2026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46122</v>
      </c>
      <c r="E474" s="1" t="n">
        <v>46319</v>
      </c>
      <c r="F474" t="inlineStr">
        <is>
          <t>VÄSTERNORRLANDS LÄN</t>
        </is>
      </c>
      <c r="G474" t="inlineStr">
        <is>
          <t>HÄRNÖSAND</t>
        </is>
      </c>
      <c r="I474" t="n">
        <v>8.300000000000001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36993-2025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45874</v>
      </c>
      <c r="E475" s="1" t="n">
        <v>46319</v>
      </c>
      <c r="F475" t="inlineStr">
        <is>
          <t>VÄSTERNORRLANDS LÄN</t>
        </is>
      </c>
      <c r="G475" t="inlineStr">
        <is>
          <t>HÄRNÖSAND</t>
        </is>
      </c>
      <c r="I475" t="n">
        <v>0.4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12267-2025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45729</v>
      </c>
      <c r="E476" s="1" t="n">
        <v>46319</v>
      </c>
      <c r="F476" t="inlineStr">
        <is>
          <t>VÄSTERNORRLANDS LÄN</t>
        </is>
      </c>
      <c r="G476" t="inlineStr">
        <is>
          <t>HÄRNÖSAND</t>
        </is>
      </c>
      <c r="I476" t="n">
        <v>1.5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36958-2025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45874</v>
      </c>
      <c r="E477" s="1" t="n">
        <v>46319</v>
      </c>
      <c r="F477" t="inlineStr">
        <is>
          <t>VÄSTERNORRLANDS LÄN</t>
        </is>
      </c>
      <c r="G477" t="inlineStr">
        <is>
          <t>HÄRNÖSAND</t>
        </is>
      </c>
      <c r="I477" t="n">
        <v>4.1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36959-2025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45874</v>
      </c>
      <c r="E478" s="1" t="n">
        <v>46319</v>
      </c>
      <c r="F478" t="inlineStr">
        <is>
          <t>VÄSTERNORRLANDS LÄN</t>
        </is>
      </c>
      <c r="G478" t="inlineStr">
        <is>
          <t>HÄRNÖSAND</t>
        </is>
      </c>
      <c r="I478" t="n">
        <v>0.4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18575-2026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46127</v>
      </c>
      <c r="E479" s="1" t="n">
        <v>46319</v>
      </c>
      <c r="F479" t="inlineStr">
        <is>
          <t>VÄSTERNORRLANDS LÄN</t>
        </is>
      </c>
      <c r="G479" t="inlineStr">
        <is>
          <t>HÄRNÖSAND</t>
        </is>
      </c>
      <c r="I479" t="n">
        <v>2.9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41997-2026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46303</v>
      </c>
      <c r="E480" s="1" t="n">
        <v>46319</v>
      </c>
      <c r="F480" t="inlineStr">
        <is>
          <t>VÄSTERNORRLANDS LÄN</t>
        </is>
      </c>
      <c r="G480" t="inlineStr">
        <is>
          <t>HÄRNÖSAND</t>
        </is>
      </c>
      <c r="H480" t="inlineStr">
        <is>
          <t>Kyrkan</t>
        </is>
      </c>
      <c r="I480" t="n">
        <v>6.7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35125-2026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46260</v>
      </c>
      <c r="E481" s="1" t="n">
        <v>46319</v>
      </c>
      <c r="F481" t="inlineStr">
        <is>
          <t>VÄSTERNORRLANDS LÄN</t>
        </is>
      </c>
      <c r="G481" t="inlineStr">
        <is>
          <t>HÄRNÖSAND</t>
        </is>
      </c>
      <c r="I481" t="n">
        <v>2.6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42116-2026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46304</v>
      </c>
      <c r="E482" s="1" t="n">
        <v>46319</v>
      </c>
      <c r="F482" t="inlineStr">
        <is>
          <t>VÄSTERNORRLANDS LÄN</t>
        </is>
      </c>
      <c r="G482" t="inlineStr">
        <is>
          <t>HÄRNÖSAND</t>
        </is>
      </c>
      <c r="I482" t="n">
        <v>5.1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37562-2025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45880</v>
      </c>
      <c r="E483" s="1" t="n">
        <v>46319</v>
      </c>
      <c r="F483" t="inlineStr">
        <is>
          <t>VÄSTERNORRLANDS LÄN</t>
        </is>
      </c>
      <c r="G483" t="inlineStr">
        <is>
          <t>HÄRNÖSAND</t>
        </is>
      </c>
      <c r="I483" t="n">
        <v>4.2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163-2024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45293</v>
      </c>
      <c r="E484" s="1" t="n">
        <v>46319</v>
      </c>
      <c r="F484" t="inlineStr">
        <is>
          <t>VÄSTERNORRLANDS LÄN</t>
        </is>
      </c>
      <c r="G484" t="inlineStr">
        <is>
          <t>HÄRNÖSAND</t>
        </is>
      </c>
      <c r="I484" t="n">
        <v>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19245-2026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46132</v>
      </c>
      <c r="E485" s="1" t="n">
        <v>46319</v>
      </c>
      <c r="F485" t="inlineStr">
        <is>
          <t>VÄSTERNORRLANDS LÄN</t>
        </is>
      </c>
      <c r="G485" t="inlineStr">
        <is>
          <t>HÄRNÖSAND</t>
        </is>
      </c>
      <c r="I485" t="n">
        <v>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42214-2024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45562</v>
      </c>
      <c r="E486" s="1" t="n">
        <v>46319</v>
      </c>
      <c r="F486" t="inlineStr">
        <is>
          <t>VÄSTERNORRLANDS LÄN</t>
        </is>
      </c>
      <c r="G486" t="inlineStr">
        <is>
          <t>HÄRNÖSAND</t>
        </is>
      </c>
      <c r="I486" t="n">
        <v>4.3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69269-2021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44531</v>
      </c>
      <c r="E487" s="1" t="n">
        <v>46319</v>
      </c>
      <c r="F487" t="inlineStr">
        <is>
          <t>VÄSTERNORRLANDS LÄN</t>
        </is>
      </c>
      <c r="G487" t="inlineStr">
        <is>
          <t>HÄRNÖSAND</t>
        </is>
      </c>
      <c r="I487" t="n">
        <v>2.5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38567-2025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45884</v>
      </c>
      <c r="E488" s="1" t="n">
        <v>46319</v>
      </c>
      <c r="F488" t="inlineStr">
        <is>
          <t>VÄSTERNORRLANDS LÄN</t>
        </is>
      </c>
      <c r="G488" t="inlineStr">
        <is>
          <t>HÄRNÖSAND</t>
        </is>
      </c>
      <c r="I488" t="n">
        <v>0.9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19346-2026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46133</v>
      </c>
      <c r="E489" s="1" t="n">
        <v>46319</v>
      </c>
      <c r="F489" t="inlineStr">
        <is>
          <t>VÄSTERNORRLANDS LÄN</t>
        </is>
      </c>
      <c r="G489" t="inlineStr">
        <is>
          <t>HÄRNÖSAND</t>
        </is>
      </c>
      <c r="I489" t="n">
        <v>0.8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5021-2026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46049</v>
      </c>
      <c r="E490" s="1" t="n">
        <v>46319</v>
      </c>
      <c r="F490" t="inlineStr">
        <is>
          <t>VÄSTERNORRLANDS LÄN</t>
        </is>
      </c>
      <c r="G490" t="inlineStr">
        <is>
          <t>HÄRNÖSAND</t>
        </is>
      </c>
      <c r="I490" t="n">
        <v>1.4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19327-2026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46133</v>
      </c>
      <c r="E491" s="1" t="n">
        <v>46319</v>
      </c>
      <c r="F491" t="inlineStr">
        <is>
          <t>VÄSTERNORRLANDS LÄN</t>
        </is>
      </c>
      <c r="G491" t="inlineStr">
        <is>
          <t>HÄRNÖSAND</t>
        </is>
      </c>
      <c r="I491" t="n">
        <v>5.7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35670-2026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46265</v>
      </c>
      <c r="E492" s="1" t="n">
        <v>46319</v>
      </c>
      <c r="F492" t="inlineStr">
        <is>
          <t>VÄSTERNORRLANDS LÄN</t>
        </is>
      </c>
      <c r="G492" t="inlineStr">
        <is>
          <t>HÄRNÖSAND</t>
        </is>
      </c>
      <c r="H492" t="inlineStr">
        <is>
          <t>SCA</t>
        </is>
      </c>
      <c r="I492" t="n">
        <v>22.1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42269-2026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46307</v>
      </c>
      <c r="E493" s="1" t="n">
        <v>46319</v>
      </c>
      <c r="F493" t="inlineStr">
        <is>
          <t>VÄSTERNORRLANDS LÄN</t>
        </is>
      </c>
      <c r="G493" t="inlineStr">
        <is>
          <t>HÄRNÖSAND</t>
        </is>
      </c>
      <c r="I493" t="n">
        <v>1.7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35563-2026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46262</v>
      </c>
      <c r="E494" s="1" t="n">
        <v>46319</v>
      </c>
      <c r="F494" t="inlineStr">
        <is>
          <t>VÄSTERNORRLANDS LÄN</t>
        </is>
      </c>
      <c r="G494" t="inlineStr">
        <is>
          <t>HÄRNÖSAND</t>
        </is>
      </c>
      <c r="I494" t="n">
        <v>7.9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49039-2023</t>
        </is>
      </c>
      <c r="B495" t="inlineStr">
        <is>
          <t>avverkningsanmälan</t>
        </is>
      </c>
      <c r="C495" t="inlineStr">
        <is>
          <t>Avverkning för att bevara och utveckla /försöksver</t>
        </is>
      </c>
      <c r="D495" s="1" t="n">
        <v>45209</v>
      </c>
      <c r="E495" s="1" t="n">
        <v>46319</v>
      </c>
      <c r="F495" t="inlineStr">
        <is>
          <t>VÄSTERNORRLANDS LÄN</t>
        </is>
      </c>
      <c r="G495" t="inlineStr">
        <is>
          <t>HÄRNÖSAND</t>
        </is>
      </c>
      <c r="H495" t="inlineStr">
        <is>
          <t>SCA</t>
        </is>
      </c>
      <c r="I495" t="n">
        <v>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42640-2026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46309</v>
      </c>
      <c r="E496" s="1" t="n">
        <v>46319</v>
      </c>
      <c r="F496" t="inlineStr">
        <is>
          <t>VÄSTERNORRLANDS LÄN</t>
        </is>
      </c>
      <c r="G496" t="inlineStr">
        <is>
          <t>HÄRNÖSAND</t>
        </is>
      </c>
      <c r="I496" t="n">
        <v>2.9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59073-2022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44897</v>
      </c>
      <c r="E497" s="1" t="n">
        <v>46319</v>
      </c>
      <c r="F497" t="inlineStr">
        <is>
          <t>VÄSTERNORRLANDS LÄN</t>
        </is>
      </c>
      <c r="G497" t="inlineStr">
        <is>
          <t>HÄRNÖSAND</t>
        </is>
      </c>
      <c r="I497" t="n">
        <v>1.5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40716-2024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45558</v>
      </c>
      <c r="E498" s="1" t="n">
        <v>46319</v>
      </c>
      <c r="F498" t="inlineStr">
        <is>
          <t>VÄSTERNORRLANDS LÄN</t>
        </is>
      </c>
      <c r="G498" t="inlineStr">
        <is>
          <t>HÄRNÖSAND</t>
        </is>
      </c>
      <c r="I498" t="n">
        <v>0.4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42348-2025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45904</v>
      </c>
      <c r="E499" s="1" t="n">
        <v>46319</v>
      </c>
      <c r="F499" t="inlineStr">
        <is>
          <t>VÄSTERNORRLANDS LÄN</t>
        </is>
      </c>
      <c r="G499" t="inlineStr">
        <is>
          <t>HÄRNÖSAND</t>
        </is>
      </c>
      <c r="I499" t="n">
        <v>3.5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43131-2026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46309</v>
      </c>
      <c r="E500" s="1" t="n">
        <v>46319</v>
      </c>
      <c r="F500" t="inlineStr">
        <is>
          <t>VÄSTERNORRLANDS LÄN</t>
        </is>
      </c>
      <c r="G500" t="inlineStr">
        <is>
          <t>HÄRNÖSAND</t>
        </is>
      </c>
      <c r="I500" t="n">
        <v>1.2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43128-2026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46309</v>
      </c>
      <c r="E501" s="1" t="n">
        <v>46319</v>
      </c>
      <c r="F501" t="inlineStr">
        <is>
          <t>VÄSTERNORRLANDS LÄN</t>
        </is>
      </c>
      <c r="G501" t="inlineStr">
        <is>
          <t>HÄRNÖSAND</t>
        </is>
      </c>
      <c r="I501" t="n">
        <v>1.9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34612-2024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45526</v>
      </c>
      <c r="E502" s="1" t="n">
        <v>46319</v>
      </c>
      <c r="F502" t="inlineStr">
        <is>
          <t>VÄSTERNORRLANDS LÄN</t>
        </is>
      </c>
      <c r="G502" t="inlineStr">
        <is>
          <t>HÄRNÖSAND</t>
        </is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54251-2022</t>
        </is>
      </c>
      <c r="B503" t="inlineStr">
        <is>
          <t>avverkningsanmälan</t>
        </is>
      </c>
      <c r="C503" t="inlineStr">
        <is>
          <t>Avverkning för att bevara och utveckla /försöksver</t>
        </is>
      </c>
      <c r="D503" s="1" t="n">
        <v>44881</v>
      </c>
      <c r="E503" s="1" t="n">
        <v>46319</v>
      </c>
      <c r="F503" t="inlineStr">
        <is>
          <t>VÄSTERNORRLANDS LÄN</t>
        </is>
      </c>
      <c r="G503" t="inlineStr">
        <is>
          <t>HÄRNÖSAND</t>
        </is>
      </c>
      <c r="H503" t="inlineStr">
        <is>
          <t>SCA</t>
        </is>
      </c>
      <c r="I503" t="n">
        <v>3.8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43133-2026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46309</v>
      </c>
      <c r="E504" s="1" t="n">
        <v>46319</v>
      </c>
      <c r="F504" t="inlineStr">
        <is>
          <t>VÄSTERNORRLANDS LÄN</t>
        </is>
      </c>
      <c r="G504" t="inlineStr">
        <is>
          <t>HÄRNÖSAND</t>
        </is>
      </c>
      <c r="I504" t="n">
        <v>2.3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8417-2026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46065</v>
      </c>
      <c r="E505" s="1" t="n">
        <v>46319</v>
      </c>
      <c r="F505" t="inlineStr">
        <is>
          <t>VÄSTERNORRLANDS LÄN</t>
        </is>
      </c>
      <c r="G505" t="inlineStr">
        <is>
          <t>HÄRNÖSAND</t>
        </is>
      </c>
      <c r="H505" t="inlineStr">
        <is>
          <t>Kyrkan</t>
        </is>
      </c>
      <c r="I505" t="n">
        <v>1.6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58588-2022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44894</v>
      </c>
      <c r="E506" s="1" t="n">
        <v>46319</v>
      </c>
      <c r="F506" t="inlineStr">
        <is>
          <t>VÄSTERNORRLANDS LÄN</t>
        </is>
      </c>
      <c r="G506" t="inlineStr">
        <is>
          <t>HÄRNÖSAND</t>
        </is>
      </c>
      <c r="I506" t="n">
        <v>3.7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43403-2026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46314</v>
      </c>
      <c r="E507" s="1" t="n">
        <v>46319</v>
      </c>
      <c r="F507" t="inlineStr">
        <is>
          <t>VÄSTERNORRLANDS LÄN</t>
        </is>
      </c>
      <c r="G507" t="inlineStr">
        <is>
          <t>HÄRNÖSAND</t>
        </is>
      </c>
      <c r="I507" t="n">
        <v>2.7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8220-2022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44609</v>
      </c>
      <c r="E508" s="1" t="n">
        <v>46319</v>
      </c>
      <c r="F508" t="inlineStr">
        <is>
          <t>VÄSTERNORRLANDS LÄN</t>
        </is>
      </c>
      <c r="G508" t="inlineStr">
        <is>
          <t>HÄRNÖSAND</t>
        </is>
      </c>
      <c r="H508" t="inlineStr">
        <is>
          <t>Övriga statliga verk och myndigheter</t>
        </is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45413-2024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45576</v>
      </c>
      <c r="E509" s="1" t="n">
        <v>46319</v>
      </c>
      <c r="F509" t="inlineStr">
        <is>
          <t>VÄSTERNORRLANDS LÄN</t>
        </is>
      </c>
      <c r="G509" t="inlineStr">
        <is>
          <t>HÄRNÖSAND</t>
        </is>
      </c>
      <c r="H509" t="inlineStr">
        <is>
          <t>SCA</t>
        </is>
      </c>
      <c r="I509" t="n">
        <v>1.6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43830-2026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46316</v>
      </c>
      <c r="E510" s="1" t="n">
        <v>46319</v>
      </c>
      <c r="F510" t="inlineStr">
        <is>
          <t>VÄSTERNORRLANDS LÄN</t>
        </is>
      </c>
      <c r="G510" t="inlineStr">
        <is>
          <t>HÄRNÖSAND</t>
        </is>
      </c>
      <c r="H510" t="inlineStr">
        <is>
          <t>SCA</t>
        </is>
      </c>
      <c r="I510" t="n">
        <v>2.9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19900-2025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45771</v>
      </c>
      <c r="E511" s="1" t="n">
        <v>46319</v>
      </c>
      <c r="F511" t="inlineStr">
        <is>
          <t>VÄSTERNORRLANDS LÄN</t>
        </is>
      </c>
      <c r="G511" t="inlineStr">
        <is>
          <t>HÄRNÖSAND</t>
        </is>
      </c>
      <c r="I511" t="n">
        <v>2.5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43603-2026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46315</v>
      </c>
      <c r="E512" s="1" t="n">
        <v>46319</v>
      </c>
      <c r="F512" t="inlineStr">
        <is>
          <t>VÄSTERNORRLANDS LÄN</t>
        </is>
      </c>
      <c r="G512" t="inlineStr">
        <is>
          <t>HÄRNÖSAND</t>
        </is>
      </c>
      <c r="I512" t="n">
        <v>5.2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43791-2026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46316</v>
      </c>
      <c r="E513" s="1" t="n">
        <v>46319</v>
      </c>
      <c r="F513" t="inlineStr">
        <is>
          <t>VÄSTERNORRLANDS LÄN</t>
        </is>
      </c>
      <c r="G513" t="inlineStr">
        <is>
          <t>HÄRNÖSAND</t>
        </is>
      </c>
      <c r="H513" t="inlineStr">
        <is>
          <t>SCA</t>
        </is>
      </c>
      <c r="I513" t="n">
        <v>1.7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3476-2024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45320</v>
      </c>
      <c r="E514" s="1" t="n">
        <v>46319</v>
      </c>
      <c r="F514" t="inlineStr">
        <is>
          <t>VÄSTERNORRLANDS LÄN</t>
        </is>
      </c>
      <c r="G514" t="inlineStr">
        <is>
          <t>HÄRNÖSAND</t>
        </is>
      </c>
      <c r="I514" t="n">
        <v>0.5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43623-2026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46315</v>
      </c>
      <c r="E515" s="1" t="n">
        <v>46319</v>
      </c>
      <c r="F515" t="inlineStr">
        <is>
          <t>VÄSTERNORRLANDS LÄN</t>
        </is>
      </c>
      <c r="G515" t="inlineStr">
        <is>
          <t>HÄRNÖSAND</t>
        </is>
      </c>
      <c r="H515" t="inlineStr">
        <is>
          <t>SCA</t>
        </is>
      </c>
      <c r="I515" t="n">
        <v>1.8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29544-2025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45825</v>
      </c>
      <c r="E516" s="1" t="n">
        <v>46319</v>
      </c>
      <c r="F516" t="inlineStr">
        <is>
          <t>VÄSTERNORRLANDS LÄN</t>
        </is>
      </c>
      <c r="G516" t="inlineStr">
        <is>
          <t>HÄRNÖSAND</t>
        </is>
      </c>
      <c r="I516" t="n">
        <v>1.1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34011-2024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45523</v>
      </c>
      <c r="E517" s="1" t="n">
        <v>46319</v>
      </c>
      <c r="F517" t="inlineStr">
        <is>
          <t>VÄSTERNORRLANDS LÄN</t>
        </is>
      </c>
      <c r="G517" t="inlineStr">
        <is>
          <t>HÄRNÖSAND</t>
        </is>
      </c>
      <c r="I517" t="n">
        <v>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37246-2026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46274</v>
      </c>
      <c r="E518" s="1" t="n">
        <v>46319</v>
      </c>
      <c r="F518" t="inlineStr">
        <is>
          <t>VÄSTERNORRLANDS LÄN</t>
        </is>
      </c>
      <c r="G518" t="inlineStr">
        <is>
          <t>HÄRNÖSAND</t>
        </is>
      </c>
      <c r="I518" t="n">
        <v>3.7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33156-2025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45840</v>
      </c>
      <c r="E519" s="1" t="n">
        <v>46319</v>
      </c>
      <c r="F519" t="inlineStr">
        <is>
          <t>VÄSTERNORRLANDS LÄN</t>
        </is>
      </c>
      <c r="G519" t="inlineStr">
        <is>
          <t>HÄRNÖSAND</t>
        </is>
      </c>
      <c r="I519" t="n">
        <v>6.1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38920-2025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45887</v>
      </c>
      <c r="E520" s="1" t="n">
        <v>46319</v>
      </c>
      <c r="F520" t="inlineStr">
        <is>
          <t>VÄSTERNORRLANDS LÄN</t>
        </is>
      </c>
      <c r="G520" t="inlineStr">
        <is>
          <t>HÄRNÖSAND</t>
        </is>
      </c>
      <c r="I520" t="n">
        <v>4.2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44047-2026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46317</v>
      </c>
      <c r="E521" s="1" t="n">
        <v>46319</v>
      </c>
      <c r="F521" t="inlineStr">
        <is>
          <t>VÄSTERNORRLANDS LÄN</t>
        </is>
      </c>
      <c r="G521" t="inlineStr">
        <is>
          <t>HÄRNÖSAND</t>
        </is>
      </c>
      <c r="H521" t="inlineStr">
        <is>
          <t>SCA</t>
        </is>
      </c>
      <c r="I521" t="n">
        <v>26.1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9658-2026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46072</v>
      </c>
      <c r="E522" s="1" t="n">
        <v>46319</v>
      </c>
      <c r="F522" t="inlineStr">
        <is>
          <t>VÄSTERNORRLANDS LÄN</t>
        </is>
      </c>
      <c r="G522" t="inlineStr">
        <is>
          <t>HÄRNÖSAND</t>
        </is>
      </c>
      <c r="I522" t="n">
        <v>1.3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649-2026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46024</v>
      </c>
      <c r="E523" s="1" t="n">
        <v>46319</v>
      </c>
      <c r="F523" t="inlineStr">
        <is>
          <t>VÄSTERNORRLANDS LÄN</t>
        </is>
      </c>
      <c r="G523" t="inlineStr">
        <is>
          <t>HÄRNÖSAND</t>
        </is>
      </c>
      <c r="I523" t="n">
        <v>3.8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37333-2026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46275</v>
      </c>
      <c r="E524" s="1" t="n">
        <v>46319</v>
      </c>
      <c r="F524" t="inlineStr">
        <is>
          <t>VÄSTERNORRLANDS LÄN</t>
        </is>
      </c>
      <c r="G524" t="inlineStr">
        <is>
          <t>HÄRNÖSAND</t>
        </is>
      </c>
      <c r="I524" t="n">
        <v>3.2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20845-2026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46142</v>
      </c>
      <c r="E525" s="1" t="n">
        <v>46319</v>
      </c>
      <c r="F525" t="inlineStr">
        <is>
          <t>VÄSTERNORRLANDS LÄN</t>
        </is>
      </c>
      <c r="G525" t="inlineStr">
        <is>
          <t>HÄRNÖSAND</t>
        </is>
      </c>
      <c r="I525" t="n">
        <v>0.7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6886-2025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45701</v>
      </c>
      <c r="E526" s="1" t="n">
        <v>46319</v>
      </c>
      <c r="F526" t="inlineStr">
        <is>
          <t>VÄSTERNORRLANDS LÄN</t>
        </is>
      </c>
      <c r="G526" t="inlineStr">
        <is>
          <t>HÄRNÖSAND</t>
        </is>
      </c>
      <c r="H526" t="inlineStr">
        <is>
          <t>SCA</t>
        </is>
      </c>
      <c r="I526" t="n">
        <v>2.4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20863-2026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46142</v>
      </c>
      <c r="E527" s="1" t="n">
        <v>46319</v>
      </c>
      <c r="F527" t="inlineStr">
        <is>
          <t>VÄSTERNORRLANDS LÄN</t>
        </is>
      </c>
      <c r="G527" t="inlineStr">
        <is>
          <t>HÄRNÖSAND</t>
        </is>
      </c>
      <c r="I527" t="n">
        <v>1.7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17524-2025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45757</v>
      </c>
      <c r="E528" s="1" t="n">
        <v>46319</v>
      </c>
      <c r="F528" t="inlineStr">
        <is>
          <t>VÄSTERNORRLANDS LÄN</t>
        </is>
      </c>
      <c r="G528" t="inlineStr">
        <is>
          <t>HÄRNÖSAND</t>
        </is>
      </c>
      <c r="I528" t="n">
        <v>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44045-2026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46317</v>
      </c>
      <c r="E529" s="1" t="n">
        <v>46319</v>
      </c>
      <c r="F529" t="inlineStr">
        <is>
          <t>VÄSTERNORRLANDS LÄN</t>
        </is>
      </c>
      <c r="G529" t="inlineStr">
        <is>
          <t>HÄRNÖSAND</t>
        </is>
      </c>
      <c r="H529" t="inlineStr">
        <is>
          <t>Kyrkan</t>
        </is>
      </c>
      <c r="I529" t="n">
        <v>3.7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13604-2024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45390</v>
      </c>
      <c r="E530" s="1" t="n">
        <v>46319</v>
      </c>
      <c r="F530" t="inlineStr">
        <is>
          <t>VÄSTERNORRLANDS LÄN</t>
        </is>
      </c>
      <c r="G530" t="inlineStr">
        <is>
          <t>HÄRNÖSAND</t>
        </is>
      </c>
      <c r="I530" t="n">
        <v>1.1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31546-2024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45505</v>
      </c>
      <c r="E531" s="1" t="n">
        <v>46319</v>
      </c>
      <c r="F531" t="inlineStr">
        <is>
          <t>VÄSTERNORRLANDS LÄN</t>
        </is>
      </c>
      <c r="G531" t="inlineStr">
        <is>
          <t>HÄRNÖSAND</t>
        </is>
      </c>
      <c r="H531" t="inlineStr">
        <is>
          <t>SCA</t>
        </is>
      </c>
      <c r="I531" t="n">
        <v>1.4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29813-2022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44755</v>
      </c>
      <c r="E532" s="1" t="n">
        <v>46319</v>
      </c>
      <c r="F532" t="inlineStr">
        <is>
          <t>VÄSTERNORRLANDS LÄN</t>
        </is>
      </c>
      <c r="G532" t="inlineStr">
        <is>
          <t>HÄRNÖSAND</t>
        </is>
      </c>
      <c r="I532" t="n">
        <v>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21928-2026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46150</v>
      </c>
      <c r="E533" s="1" t="n">
        <v>46319</v>
      </c>
      <c r="F533" t="inlineStr">
        <is>
          <t>VÄSTERNORRLANDS LÄN</t>
        </is>
      </c>
      <c r="G533" t="inlineStr">
        <is>
          <t>HÄRNÖSAND</t>
        </is>
      </c>
      <c r="I533" t="n">
        <v>0.3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15821-2026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46107</v>
      </c>
      <c r="E534" s="1" t="n">
        <v>46319</v>
      </c>
      <c r="F534" t="inlineStr">
        <is>
          <t>VÄSTERNORRLANDS LÄN</t>
        </is>
      </c>
      <c r="G534" t="inlineStr">
        <is>
          <t>HÄRNÖSAND</t>
        </is>
      </c>
      <c r="I534" t="n">
        <v>5.7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22200-2026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46153</v>
      </c>
      <c r="E535" s="1" t="n">
        <v>46319</v>
      </c>
      <c r="F535" t="inlineStr">
        <is>
          <t>VÄSTERNORRLANDS LÄN</t>
        </is>
      </c>
      <c r="G535" t="inlineStr">
        <is>
          <t>HÄRNÖSAND</t>
        </is>
      </c>
      <c r="I535" t="n">
        <v>1.2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28325-2022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44747</v>
      </c>
      <c r="E536" s="1" t="n">
        <v>46319</v>
      </c>
      <c r="F536" t="inlineStr">
        <is>
          <t>VÄSTERNORRLANDS LÄN</t>
        </is>
      </c>
      <c r="G536" t="inlineStr">
        <is>
          <t>HÄRNÖSAND</t>
        </is>
      </c>
      <c r="I536" t="n">
        <v>3.8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22142-2026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46153</v>
      </c>
      <c r="E537" s="1" t="n">
        <v>46319</v>
      </c>
      <c r="F537" t="inlineStr">
        <is>
          <t>VÄSTERNORRLANDS LÄN</t>
        </is>
      </c>
      <c r="G537" t="inlineStr">
        <is>
          <t>HÄRNÖSAND</t>
        </is>
      </c>
      <c r="I537" t="n">
        <v>16.7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55895-2024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45622</v>
      </c>
      <c r="E538" s="1" t="n">
        <v>46319</v>
      </c>
      <c r="F538" t="inlineStr">
        <is>
          <t>VÄSTERNORRLANDS LÄN</t>
        </is>
      </c>
      <c r="G538" t="inlineStr">
        <is>
          <t>HÄRNÖSAND</t>
        </is>
      </c>
      <c r="I538" t="n">
        <v>2.5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22548-2026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46155</v>
      </c>
      <c r="E539" s="1" t="n">
        <v>46319</v>
      </c>
      <c r="F539" t="inlineStr">
        <is>
          <t>VÄSTERNORRLANDS LÄN</t>
        </is>
      </c>
      <c r="G539" t="inlineStr">
        <is>
          <t>HÄRNÖSAND</t>
        </is>
      </c>
      <c r="I539" t="n">
        <v>2.8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25430-2022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44732</v>
      </c>
      <c r="E540" s="1" t="n">
        <v>46319</v>
      </c>
      <c r="F540" t="inlineStr">
        <is>
          <t>VÄSTERNORRLANDS LÄN</t>
        </is>
      </c>
      <c r="G540" t="inlineStr">
        <is>
          <t>HÄRNÖSAND</t>
        </is>
      </c>
      <c r="I540" t="n">
        <v>18.7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47224-2025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45930</v>
      </c>
      <c r="E541" s="1" t="n">
        <v>46319</v>
      </c>
      <c r="F541" t="inlineStr">
        <is>
          <t>VÄSTERNORRLANDS LÄN</t>
        </is>
      </c>
      <c r="G541" t="inlineStr">
        <is>
          <t>HÄRNÖSAND</t>
        </is>
      </c>
      <c r="I541" t="n">
        <v>1.4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22990-2026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46160</v>
      </c>
      <c r="E542" s="1" t="n">
        <v>46319</v>
      </c>
      <c r="F542" t="inlineStr">
        <is>
          <t>VÄSTERNORRLANDS LÄN</t>
        </is>
      </c>
      <c r="G542" t="inlineStr">
        <is>
          <t>HÄRNÖSAND</t>
        </is>
      </c>
      <c r="I542" t="n">
        <v>0.7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139-2024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45293</v>
      </c>
      <c r="E543" s="1" t="n">
        <v>46319</v>
      </c>
      <c r="F543" t="inlineStr">
        <is>
          <t>VÄSTERNORRLANDS LÄN</t>
        </is>
      </c>
      <c r="G543" t="inlineStr">
        <is>
          <t>HÄRNÖSAND</t>
        </is>
      </c>
      <c r="I543" t="n">
        <v>1.1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56395-2022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44890</v>
      </c>
      <c r="E544" s="1" t="n">
        <v>46319</v>
      </c>
      <c r="F544" t="inlineStr">
        <is>
          <t>VÄSTERNORRLANDS LÄN</t>
        </is>
      </c>
      <c r="G544" t="inlineStr">
        <is>
          <t>HÄRNÖSAND</t>
        </is>
      </c>
      <c r="H544" t="inlineStr">
        <is>
          <t>Kyrkan</t>
        </is>
      </c>
      <c r="I544" t="n">
        <v>7.4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14874-2023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45015</v>
      </c>
      <c r="E545" s="1" t="n">
        <v>46319</v>
      </c>
      <c r="F545" t="inlineStr">
        <is>
          <t>VÄSTERNORRLANDS LÄN</t>
        </is>
      </c>
      <c r="G545" t="inlineStr">
        <is>
          <t>HÄRNÖSAND</t>
        </is>
      </c>
      <c r="H545" t="inlineStr">
        <is>
          <t>SCA</t>
        </is>
      </c>
      <c r="I545" t="n">
        <v>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2698-2024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45314</v>
      </c>
      <c r="E546" s="1" t="n">
        <v>46319</v>
      </c>
      <c r="F546" t="inlineStr">
        <is>
          <t>VÄSTERNORRLANDS LÄN</t>
        </is>
      </c>
      <c r="G546" t="inlineStr">
        <is>
          <t>HÄRNÖSAND</t>
        </is>
      </c>
      <c r="I546" t="n">
        <v>2.2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7522-2023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44971</v>
      </c>
      <c r="E547" s="1" t="n">
        <v>46319</v>
      </c>
      <c r="F547" t="inlineStr">
        <is>
          <t>VÄSTERNORRLANDS LÄN</t>
        </is>
      </c>
      <c r="G547" t="inlineStr">
        <is>
          <t>HÄRNÖSAND</t>
        </is>
      </c>
      <c r="H547" t="inlineStr">
        <is>
          <t>SCA</t>
        </is>
      </c>
      <c r="I547" t="n">
        <v>1.9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59408-2024</t>
        </is>
      </c>
      <c r="B548" t="inlineStr">
        <is>
          <t>avverkningsanmälan</t>
        </is>
      </c>
      <c r="C548" t="inlineStr">
        <is>
          <t>Avverkning för att bevara och utveckla /försöksver</t>
        </is>
      </c>
      <c r="D548" s="1" t="n">
        <v>45638</v>
      </c>
      <c r="E548" s="1" t="n">
        <v>46319</v>
      </c>
      <c r="F548" t="inlineStr">
        <is>
          <t>VÄSTERNORRLANDS LÄN</t>
        </is>
      </c>
      <c r="G548" t="inlineStr">
        <is>
          <t>HÄRNÖSAND</t>
        </is>
      </c>
      <c r="I548" t="n">
        <v>1.5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27912-2022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44743</v>
      </c>
      <c r="E549" s="1" t="n">
        <v>46319</v>
      </c>
      <c r="F549" t="inlineStr">
        <is>
          <t>VÄSTERNORRLANDS LÄN</t>
        </is>
      </c>
      <c r="G549" t="inlineStr">
        <is>
          <t>HÄRNÖSAND</t>
        </is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46320-2022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44847</v>
      </c>
      <c r="E550" s="1" t="n">
        <v>46319</v>
      </c>
      <c r="F550" t="inlineStr">
        <is>
          <t>VÄSTERNORRLANDS LÄN</t>
        </is>
      </c>
      <c r="G550" t="inlineStr">
        <is>
          <t>HÄRNÖSAND</t>
        </is>
      </c>
      <c r="H550" t="inlineStr">
        <is>
          <t>Kyrkan</t>
        </is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1306-2025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45667</v>
      </c>
      <c r="E551" s="1" t="n">
        <v>46319</v>
      </c>
      <c r="F551" t="inlineStr">
        <is>
          <t>VÄSTERNORRLANDS LÄN</t>
        </is>
      </c>
      <c r="G551" t="inlineStr">
        <is>
          <t>HÄRNÖSAND</t>
        </is>
      </c>
      <c r="I551" t="n">
        <v>0.4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61245-2024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45645</v>
      </c>
      <c r="E552" s="1" t="n">
        <v>46319</v>
      </c>
      <c r="F552" t="inlineStr">
        <is>
          <t>VÄSTERNORRLANDS LÄN</t>
        </is>
      </c>
      <c r="G552" t="inlineStr">
        <is>
          <t>HÄRNÖSAND</t>
        </is>
      </c>
      <c r="I552" t="n">
        <v>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40452-2023</t>
        </is>
      </c>
      <c r="B553" t="inlineStr">
        <is>
          <t>avverkningsanmälan</t>
        </is>
      </c>
      <c r="C553" t="inlineStr">
        <is>
          <t>Avverkning för annat ändamål</t>
        </is>
      </c>
      <c r="D553" s="1" t="n">
        <v>45168</v>
      </c>
      <c r="E553" s="1" t="n">
        <v>46319</v>
      </c>
      <c r="F553" t="inlineStr">
        <is>
          <t>VÄSTERNORRLANDS LÄN</t>
        </is>
      </c>
      <c r="G553" t="inlineStr">
        <is>
          <t>HÄRNÖSAND</t>
        </is>
      </c>
      <c r="I553" t="n">
        <v>3.2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47939-2022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44853</v>
      </c>
      <c r="E554" s="1" t="n">
        <v>46319</v>
      </c>
      <c r="F554" t="inlineStr">
        <is>
          <t>VÄSTERNORRLANDS LÄN</t>
        </is>
      </c>
      <c r="G554" t="inlineStr">
        <is>
          <t>HÄRNÖSAND</t>
        </is>
      </c>
      <c r="I554" t="n">
        <v>1.6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34619-2023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45138</v>
      </c>
      <c r="E555" s="1" t="n">
        <v>46319</v>
      </c>
      <c r="F555" t="inlineStr">
        <is>
          <t>VÄSTERNORRLANDS LÄN</t>
        </is>
      </c>
      <c r="G555" t="inlineStr">
        <is>
          <t>HÄRNÖSAND</t>
        </is>
      </c>
      <c r="I555" t="n">
        <v>2.3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38146-2024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45545</v>
      </c>
      <c r="E556" s="1" t="n">
        <v>46319</v>
      </c>
      <c r="F556" t="inlineStr">
        <is>
          <t>VÄSTERNORRLANDS LÄN</t>
        </is>
      </c>
      <c r="G556" t="inlineStr">
        <is>
          <t>HÄRNÖSAND</t>
        </is>
      </c>
      <c r="I556" t="n">
        <v>7.2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10128-2023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44980</v>
      </c>
      <c r="E557" s="1" t="n">
        <v>46319</v>
      </c>
      <c r="F557" t="inlineStr">
        <is>
          <t>VÄSTERNORRLANDS LÄN</t>
        </is>
      </c>
      <c r="G557" t="inlineStr">
        <is>
          <t>HÄRNÖSAND</t>
        </is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2957-2025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45678</v>
      </c>
      <c r="E558" s="1" t="n">
        <v>46319</v>
      </c>
      <c r="F558" t="inlineStr">
        <is>
          <t>VÄSTERNORRLANDS LÄN</t>
        </is>
      </c>
      <c r="G558" t="inlineStr">
        <is>
          <t>HÄRNÖSAND</t>
        </is>
      </c>
      <c r="H558" t="inlineStr">
        <is>
          <t>SCA</t>
        </is>
      </c>
      <c r="I558" t="n">
        <v>0.7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18812-2025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45764</v>
      </c>
      <c r="E559" s="1" t="n">
        <v>46319</v>
      </c>
      <c r="F559" t="inlineStr">
        <is>
          <t>VÄSTERNORRLANDS LÄN</t>
        </is>
      </c>
      <c r="G559" t="inlineStr">
        <is>
          <t>HÄRNÖSAND</t>
        </is>
      </c>
      <c r="H559" t="inlineStr">
        <is>
          <t>SCA</t>
        </is>
      </c>
      <c r="I559" t="n">
        <v>1.7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7536-2023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44971</v>
      </c>
      <c r="E560" s="1" t="n">
        <v>46319</v>
      </c>
      <c r="F560" t="inlineStr">
        <is>
          <t>VÄSTERNORRLANDS LÄN</t>
        </is>
      </c>
      <c r="G560" t="inlineStr">
        <is>
          <t>HÄRNÖSAND</t>
        </is>
      </c>
      <c r="H560" t="inlineStr">
        <is>
          <t>SCA</t>
        </is>
      </c>
      <c r="I560" t="n">
        <v>3.5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1382-2023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44936</v>
      </c>
      <c r="E561" s="1" t="n">
        <v>46319</v>
      </c>
      <c r="F561" t="inlineStr">
        <is>
          <t>VÄSTERNORRLANDS LÄN</t>
        </is>
      </c>
      <c r="G561" t="inlineStr">
        <is>
          <t>HÄRNÖSAND</t>
        </is>
      </c>
      <c r="I561" t="n">
        <v>5.5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19166-2025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45769</v>
      </c>
      <c r="E562" s="1" t="n">
        <v>46319</v>
      </c>
      <c r="F562" t="inlineStr">
        <is>
          <t>VÄSTERNORRLANDS LÄN</t>
        </is>
      </c>
      <c r="G562" t="inlineStr">
        <is>
          <t>HÄRNÖSAND</t>
        </is>
      </c>
      <c r="H562" t="inlineStr">
        <is>
          <t>SCA</t>
        </is>
      </c>
      <c r="I562" t="n">
        <v>1.6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4206-2025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45685</v>
      </c>
      <c r="E563" s="1" t="n">
        <v>46319</v>
      </c>
      <c r="F563" t="inlineStr">
        <is>
          <t>VÄSTERNORRLANDS LÄN</t>
        </is>
      </c>
      <c r="G563" t="inlineStr">
        <is>
          <t>HÄRNÖSAND</t>
        </is>
      </c>
      <c r="I563" t="n">
        <v>0.6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16237-2025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45749</v>
      </c>
      <c r="E564" s="1" t="n">
        <v>46319</v>
      </c>
      <c r="F564" t="inlineStr">
        <is>
          <t>VÄSTERNORRLANDS LÄN</t>
        </is>
      </c>
      <c r="G564" t="inlineStr">
        <is>
          <t>HÄRNÖSAND</t>
        </is>
      </c>
      <c r="I564" t="n">
        <v>1.5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16009-2025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45749</v>
      </c>
      <c r="E565" s="1" t="n">
        <v>46319</v>
      </c>
      <c r="F565" t="inlineStr">
        <is>
          <t>VÄSTERNORRLANDS LÄN</t>
        </is>
      </c>
      <c r="G565" t="inlineStr">
        <is>
          <t>HÄRNÖSAND</t>
        </is>
      </c>
      <c r="I565" t="n">
        <v>9.300000000000001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7061-2022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44603</v>
      </c>
      <c r="E566" s="1" t="n">
        <v>46319</v>
      </c>
      <c r="F566" t="inlineStr">
        <is>
          <t>VÄSTERNORRLANDS LÄN</t>
        </is>
      </c>
      <c r="G566" t="inlineStr">
        <is>
          <t>HÄRNÖSAND</t>
        </is>
      </c>
      <c r="I566" t="n">
        <v>0.9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18978-2023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45044</v>
      </c>
      <c r="E567" s="1" t="n">
        <v>46319</v>
      </c>
      <c r="F567" t="inlineStr">
        <is>
          <t>VÄSTERNORRLANDS LÄN</t>
        </is>
      </c>
      <c r="G567" t="inlineStr">
        <is>
          <t>HÄRNÖSAND</t>
        </is>
      </c>
      <c r="H567" t="inlineStr">
        <is>
          <t>SCA</t>
        </is>
      </c>
      <c r="I567" t="n">
        <v>12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47781-2023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45203</v>
      </c>
      <c r="E568" s="1" t="n">
        <v>46319</v>
      </c>
      <c r="F568" t="inlineStr">
        <is>
          <t>VÄSTERNORRLANDS LÄN</t>
        </is>
      </c>
      <c r="G568" t="inlineStr">
        <is>
          <t>HÄRNÖSAND</t>
        </is>
      </c>
      <c r="I568" t="n">
        <v>3.8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29613-2023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45106</v>
      </c>
      <c r="E569" s="1" t="n">
        <v>46319</v>
      </c>
      <c r="F569" t="inlineStr">
        <is>
          <t>VÄSTERNORRLANDS LÄN</t>
        </is>
      </c>
      <c r="G569" t="inlineStr">
        <is>
          <t>HÄRNÖSAND</t>
        </is>
      </c>
      <c r="H569" t="inlineStr">
        <is>
          <t>SCA</t>
        </is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9242-2025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45714</v>
      </c>
      <c r="E570" s="1" t="n">
        <v>46319</v>
      </c>
      <c r="F570" t="inlineStr">
        <is>
          <t>VÄSTERNORRLANDS LÄN</t>
        </is>
      </c>
      <c r="G570" t="inlineStr">
        <is>
          <t>HÄRNÖSAND</t>
        </is>
      </c>
      <c r="I570" t="n">
        <v>0.7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5896-2022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44596</v>
      </c>
      <c r="E571" s="1" t="n">
        <v>46319</v>
      </c>
      <c r="F571" t="inlineStr">
        <is>
          <t>VÄSTERNORRLANDS LÄN</t>
        </is>
      </c>
      <c r="G571" t="inlineStr">
        <is>
          <t>HÄRNÖSAND</t>
        </is>
      </c>
      <c r="H571" t="inlineStr">
        <is>
          <t>Övriga statliga verk och myndigheter</t>
        </is>
      </c>
      <c r="I571" t="n">
        <v>2.4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28368-2023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45099</v>
      </c>
      <c r="E572" s="1" t="n">
        <v>46319</v>
      </c>
      <c r="F572" t="inlineStr">
        <is>
          <t>VÄSTERNORRLANDS LÄN</t>
        </is>
      </c>
      <c r="G572" t="inlineStr">
        <is>
          <t>HÄRNÖSAND</t>
        </is>
      </c>
      <c r="H572" t="inlineStr">
        <is>
          <t>SCA</t>
        </is>
      </c>
      <c r="I572" t="n">
        <v>1.5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11042-2025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45723</v>
      </c>
      <c r="E573" s="1" t="n">
        <v>46319</v>
      </c>
      <c r="F573" t="inlineStr">
        <is>
          <t>VÄSTERNORRLANDS LÄN</t>
        </is>
      </c>
      <c r="G573" t="inlineStr">
        <is>
          <t>HÄRNÖSAND</t>
        </is>
      </c>
      <c r="I573" t="n">
        <v>0.7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42197-2024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45562</v>
      </c>
      <c r="E574" s="1" t="n">
        <v>46319</v>
      </c>
      <c r="F574" t="inlineStr">
        <is>
          <t>VÄSTERNORRLANDS LÄN</t>
        </is>
      </c>
      <c r="G574" t="inlineStr">
        <is>
          <t>HÄRNÖSAND</t>
        </is>
      </c>
      <c r="H574" t="inlineStr">
        <is>
          <t>SCA</t>
        </is>
      </c>
      <c r="I574" t="n">
        <v>1.7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11043-2023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44991</v>
      </c>
      <c r="E575" s="1" t="n">
        <v>46319</v>
      </c>
      <c r="F575" t="inlineStr">
        <is>
          <t>VÄSTERNORRLANDS LÄN</t>
        </is>
      </c>
      <c r="G575" t="inlineStr">
        <is>
          <t>HÄRNÖSAND</t>
        </is>
      </c>
      <c r="H575" t="inlineStr">
        <is>
          <t>SCA</t>
        </is>
      </c>
      <c r="I575" t="n">
        <v>1.2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214-2024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45293</v>
      </c>
      <c r="E576" s="1" t="n">
        <v>46319</v>
      </c>
      <c r="F576" t="inlineStr">
        <is>
          <t>VÄSTERNORRLANDS LÄN</t>
        </is>
      </c>
      <c r="G576" t="inlineStr">
        <is>
          <t>HÄRNÖSAND</t>
        </is>
      </c>
      <c r="I576" t="n">
        <v>1.3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61574-2021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44497</v>
      </c>
      <c r="E577" s="1" t="n">
        <v>46319</v>
      </c>
      <c r="F577" t="inlineStr">
        <is>
          <t>VÄSTERNORRLANDS LÄN</t>
        </is>
      </c>
      <c r="G577" t="inlineStr">
        <is>
          <t>HÄRNÖSAND</t>
        </is>
      </c>
      <c r="I577" t="n">
        <v>3.1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4852-2024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45329</v>
      </c>
      <c r="E578" s="1" t="n">
        <v>46319</v>
      </c>
      <c r="F578" t="inlineStr">
        <is>
          <t>VÄSTERNORRLANDS LÄN</t>
        </is>
      </c>
      <c r="G578" t="inlineStr">
        <is>
          <t>HÄRNÖSAND</t>
        </is>
      </c>
      <c r="I578" t="n">
        <v>2.6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46319-2022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44847</v>
      </c>
      <c r="E579" s="1" t="n">
        <v>46319</v>
      </c>
      <c r="F579" t="inlineStr">
        <is>
          <t>VÄSTERNORRLANDS LÄN</t>
        </is>
      </c>
      <c r="G579" t="inlineStr">
        <is>
          <t>HÄRNÖSAND</t>
        </is>
      </c>
      <c r="H579" t="inlineStr">
        <is>
          <t>Kyrkan</t>
        </is>
      </c>
      <c r="I579" t="n">
        <v>3.6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8408-2024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45352</v>
      </c>
      <c r="E580" s="1" t="n">
        <v>46319</v>
      </c>
      <c r="F580" t="inlineStr">
        <is>
          <t>VÄSTERNORRLANDS LÄN</t>
        </is>
      </c>
      <c r="G580" t="inlineStr">
        <is>
          <t>HÄRNÖSAND</t>
        </is>
      </c>
      <c r="H580" t="inlineStr">
        <is>
          <t>SCA</t>
        </is>
      </c>
      <c r="I580" t="n">
        <v>0.8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61776-2023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45265</v>
      </c>
      <c r="E581" s="1" t="n">
        <v>46319</v>
      </c>
      <c r="F581" t="inlineStr">
        <is>
          <t>VÄSTERNORRLANDS LÄN</t>
        </is>
      </c>
      <c r="G581" t="inlineStr">
        <is>
          <t>HÄRNÖSAND</t>
        </is>
      </c>
      <c r="H581" t="inlineStr">
        <is>
          <t>SCA</t>
        </is>
      </c>
      <c r="I581" t="n">
        <v>4.2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64749-2023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45281</v>
      </c>
      <c r="E582" s="1" t="n">
        <v>46319</v>
      </c>
      <c r="F582" t="inlineStr">
        <is>
          <t>VÄSTERNORRLANDS LÄN</t>
        </is>
      </c>
      <c r="G582" t="inlineStr">
        <is>
          <t>HÄRNÖSAND</t>
        </is>
      </c>
      <c r="I582" t="n">
        <v>0.9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16854-2024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45409</v>
      </c>
      <c r="E583" s="1" t="n">
        <v>46319</v>
      </c>
      <c r="F583" t="inlineStr">
        <is>
          <t>VÄSTERNORRLANDS LÄN</t>
        </is>
      </c>
      <c r="G583" t="inlineStr">
        <is>
          <t>HÄRNÖSAND</t>
        </is>
      </c>
      <c r="I583" t="n">
        <v>1.1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39954-2022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44819</v>
      </c>
      <c r="E584" s="1" t="n">
        <v>46319</v>
      </c>
      <c r="F584" t="inlineStr">
        <is>
          <t>VÄSTERNORRLANDS LÄN</t>
        </is>
      </c>
      <c r="G584" t="inlineStr">
        <is>
          <t>HÄRNÖSAND</t>
        </is>
      </c>
      <c r="H584" t="inlineStr">
        <is>
          <t>SCA</t>
        </is>
      </c>
      <c r="I584" t="n">
        <v>4.1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64023-2023</t>
        </is>
      </c>
      <c r="B585" t="inlineStr">
        <is>
          <t>avverkningsanmälan</t>
        </is>
      </c>
      <c r="C585" t="inlineStr">
        <is>
          <t>Avverkning för att bevara och utveckla /försöksver</t>
        </is>
      </c>
      <c r="D585" s="1" t="n">
        <v>45278</v>
      </c>
      <c r="E585" s="1" t="n">
        <v>46319</v>
      </c>
      <c r="F585" t="inlineStr">
        <is>
          <t>VÄSTERNORRLANDS LÄN</t>
        </is>
      </c>
      <c r="G585" t="inlineStr">
        <is>
          <t>HÄRNÖSAND</t>
        </is>
      </c>
      <c r="H585" t="inlineStr">
        <is>
          <t>SCA</t>
        </is>
      </c>
      <c r="I585" t="n">
        <v>2.9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31408-2024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45502</v>
      </c>
      <c r="E586" s="1" t="n">
        <v>46319</v>
      </c>
      <c r="F586" t="inlineStr">
        <is>
          <t>VÄSTERNORRLANDS LÄN</t>
        </is>
      </c>
      <c r="G586" t="inlineStr">
        <is>
          <t>HÄRNÖSAND</t>
        </is>
      </c>
      <c r="I586" t="n">
        <v>0.3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34161-2022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44791</v>
      </c>
      <c r="E587" s="1" t="n">
        <v>46319</v>
      </c>
      <c r="F587" t="inlineStr">
        <is>
          <t>VÄSTERNORRLANDS LÄN</t>
        </is>
      </c>
      <c r="G587" t="inlineStr">
        <is>
          <t>HÄRNÖSAND</t>
        </is>
      </c>
      <c r="I587" t="n">
        <v>0.8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17800-2024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45418</v>
      </c>
      <c r="E588" s="1" t="n">
        <v>46319</v>
      </c>
      <c r="F588" t="inlineStr">
        <is>
          <t>VÄSTERNORRLANDS LÄN</t>
        </is>
      </c>
      <c r="G588" t="inlineStr">
        <is>
          <t>HÄRNÖSAND</t>
        </is>
      </c>
      <c r="I588" t="n">
        <v>3.1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62333-2021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44502</v>
      </c>
      <c r="E589" s="1" t="n">
        <v>46319</v>
      </c>
      <c r="F589" t="inlineStr">
        <is>
          <t>VÄSTERNORRLANDS LÄN</t>
        </is>
      </c>
      <c r="G589" t="inlineStr">
        <is>
          <t>HÄRNÖSAND</t>
        </is>
      </c>
      <c r="I589" t="n">
        <v>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34185-2023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45126</v>
      </c>
      <c r="E590" s="1" t="n">
        <v>46319</v>
      </c>
      <c r="F590" t="inlineStr">
        <is>
          <t>VÄSTERNORRLANDS LÄN</t>
        </is>
      </c>
      <c r="G590" t="inlineStr">
        <is>
          <t>HÄRNÖSAND</t>
        </is>
      </c>
      <c r="I590" t="n">
        <v>1.5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53107-2023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45228</v>
      </c>
      <c r="E591" s="1" t="n">
        <v>46319</v>
      </c>
      <c r="F591" t="inlineStr">
        <is>
          <t>VÄSTERNORRLANDS LÄN</t>
        </is>
      </c>
      <c r="G591" t="inlineStr">
        <is>
          <t>HÄRNÖSAND</t>
        </is>
      </c>
      <c r="I591" t="n">
        <v>1.1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38379-2023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45161</v>
      </c>
      <c r="E592" s="1" t="n">
        <v>46319</v>
      </c>
      <c r="F592" t="inlineStr">
        <is>
          <t>VÄSTERNORRLANDS LÄN</t>
        </is>
      </c>
      <c r="G592" t="inlineStr">
        <is>
          <t>HÄRNÖSAND</t>
        </is>
      </c>
      <c r="H592" t="inlineStr">
        <is>
          <t>SCA</t>
        </is>
      </c>
      <c r="I592" t="n">
        <v>0.9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13605-2024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45390</v>
      </c>
      <c r="E593" s="1" t="n">
        <v>46319</v>
      </c>
      <c r="F593" t="inlineStr">
        <is>
          <t>VÄSTERNORRLANDS LÄN</t>
        </is>
      </c>
      <c r="G593" t="inlineStr">
        <is>
          <t>HÄRNÖSAND</t>
        </is>
      </c>
      <c r="I593" t="n">
        <v>14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35969-2023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45148</v>
      </c>
      <c r="E594" s="1" t="n">
        <v>46319</v>
      </c>
      <c r="F594" t="inlineStr">
        <is>
          <t>VÄSTERNORRLANDS LÄN</t>
        </is>
      </c>
      <c r="G594" t="inlineStr">
        <is>
          <t>HÄRNÖSAND</t>
        </is>
      </c>
      <c r="I594" t="n">
        <v>2.4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41147-2023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45173</v>
      </c>
      <c r="E595" s="1" t="n">
        <v>46319</v>
      </c>
      <c r="F595" t="inlineStr">
        <is>
          <t>VÄSTERNORRLANDS LÄN</t>
        </is>
      </c>
      <c r="G595" t="inlineStr">
        <is>
          <t>HÄRNÖSAND</t>
        </is>
      </c>
      <c r="H595" t="inlineStr">
        <is>
          <t>SCA</t>
        </is>
      </c>
      <c r="I595" t="n">
        <v>2.7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6833-2024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45342</v>
      </c>
      <c r="E596" s="1" t="n">
        <v>46319</v>
      </c>
      <c r="F596" t="inlineStr">
        <is>
          <t>VÄSTERNORRLANDS LÄN</t>
        </is>
      </c>
      <c r="G596" t="inlineStr">
        <is>
          <t>HÄRNÖSAND</t>
        </is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60970-2021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44496</v>
      </c>
      <c r="E597" s="1" t="n">
        <v>46319</v>
      </c>
      <c r="F597" t="inlineStr">
        <is>
          <t>VÄSTERNORRLANDS LÄN</t>
        </is>
      </c>
      <c r="G597" t="inlineStr">
        <is>
          <t>HÄRNÖSAND</t>
        </is>
      </c>
      <c r="I597" t="n">
        <v>2.4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16047-2024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45405</v>
      </c>
      <c r="E598" s="1" t="n">
        <v>46319</v>
      </c>
      <c r="F598" t="inlineStr">
        <is>
          <t>VÄSTERNORRLANDS LÄN</t>
        </is>
      </c>
      <c r="G598" t="inlineStr">
        <is>
          <t>HÄRNÖSAND</t>
        </is>
      </c>
      <c r="I598" t="n">
        <v>4.3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16866-2024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45409</v>
      </c>
      <c r="E599" s="1" t="n">
        <v>46319</v>
      </c>
      <c r="F599" t="inlineStr">
        <is>
          <t>VÄSTERNORRLANDS LÄN</t>
        </is>
      </c>
      <c r="G599" t="inlineStr">
        <is>
          <t>HÄRNÖSAND</t>
        </is>
      </c>
      <c r="I599" t="n">
        <v>0.7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5609-2024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45334</v>
      </c>
      <c r="E600" s="1" t="n">
        <v>46319</v>
      </c>
      <c r="F600" t="inlineStr">
        <is>
          <t>VÄSTERNORRLANDS LÄN</t>
        </is>
      </c>
      <c r="G600" t="inlineStr">
        <is>
          <t>HÄRNÖSAND</t>
        </is>
      </c>
      <c r="I600" t="n">
        <v>0.9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57236-2024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45628</v>
      </c>
      <c r="E601" s="1" t="n">
        <v>46319</v>
      </c>
      <c r="F601" t="inlineStr">
        <is>
          <t>VÄSTERNORRLANDS LÄN</t>
        </is>
      </c>
      <c r="G601" t="inlineStr">
        <is>
          <t>HÄRNÖSAND</t>
        </is>
      </c>
      <c r="I601" t="n">
        <v>3.2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12750-2022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44641</v>
      </c>
      <c r="E602" s="1" t="n">
        <v>46319</v>
      </c>
      <c r="F602" t="inlineStr">
        <is>
          <t>VÄSTERNORRLANDS LÄN</t>
        </is>
      </c>
      <c r="G602" t="inlineStr">
        <is>
          <t>HÄRNÖSAND</t>
        </is>
      </c>
      <c r="I602" t="n">
        <v>0.6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40237-2023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45168</v>
      </c>
      <c r="E603" s="1" t="n">
        <v>46319</v>
      </c>
      <c r="F603" t="inlineStr">
        <is>
          <t>VÄSTERNORRLANDS LÄN</t>
        </is>
      </c>
      <c r="G603" t="inlineStr">
        <is>
          <t>HÄRNÖSAND</t>
        </is>
      </c>
      <c r="I603" t="n">
        <v>2.5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32421-2024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45512</v>
      </c>
      <c r="E604" s="1" t="n">
        <v>46319</v>
      </c>
      <c r="F604" t="inlineStr">
        <is>
          <t>VÄSTERNORRLANDS LÄN</t>
        </is>
      </c>
      <c r="G604" t="inlineStr">
        <is>
          <t>HÄRNÖSAND</t>
        </is>
      </c>
      <c r="I604" t="n">
        <v>5.8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59715-2024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45639</v>
      </c>
      <c r="E605" s="1" t="n">
        <v>46319</v>
      </c>
      <c r="F605" t="inlineStr">
        <is>
          <t>VÄSTERNORRLANDS LÄN</t>
        </is>
      </c>
      <c r="G605" t="inlineStr">
        <is>
          <t>HÄRNÖSAND</t>
        </is>
      </c>
      <c r="I605" t="n">
        <v>0.5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35808-2023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45147</v>
      </c>
      <c r="E606" s="1" t="n">
        <v>46319</v>
      </c>
      <c r="F606" t="inlineStr">
        <is>
          <t>VÄSTERNORRLANDS LÄN</t>
        </is>
      </c>
      <c r="G606" t="inlineStr">
        <is>
          <t>HÄRNÖSAND</t>
        </is>
      </c>
      <c r="I606" t="n">
        <v>1.5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49346-2024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45595</v>
      </c>
      <c r="E607" s="1" t="n">
        <v>46319</v>
      </c>
      <c r="F607" t="inlineStr">
        <is>
          <t>VÄSTERNORRLANDS LÄN</t>
        </is>
      </c>
      <c r="G607" t="inlineStr">
        <is>
          <t>HÄRNÖSAND</t>
        </is>
      </c>
      <c r="I607" t="n">
        <v>2.7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49364-2024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45595</v>
      </c>
      <c r="E608" s="1" t="n">
        <v>46319</v>
      </c>
      <c r="F608" t="inlineStr">
        <is>
          <t>VÄSTERNORRLANDS LÄN</t>
        </is>
      </c>
      <c r="G608" t="inlineStr">
        <is>
          <t>HÄRNÖSAND</t>
        </is>
      </c>
      <c r="I608" t="n">
        <v>1.6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54091-2024</t>
        </is>
      </c>
      <c r="B609" t="inlineStr">
        <is>
          <t>avverkningsanmälan</t>
        </is>
      </c>
      <c r="C609" t="inlineStr">
        <is>
          <t>Avverkning för att bevara och utveckla /försöksver</t>
        </is>
      </c>
      <c r="D609" s="1" t="n">
        <v>45616</v>
      </c>
      <c r="E609" s="1" t="n">
        <v>46319</v>
      </c>
      <c r="F609" t="inlineStr">
        <is>
          <t>VÄSTERNORRLANDS LÄN</t>
        </is>
      </c>
      <c r="G609" t="inlineStr">
        <is>
          <t>HÄRNÖSAND</t>
        </is>
      </c>
      <c r="H609" t="inlineStr">
        <is>
          <t>SCA</t>
        </is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16979-2022</t>
        </is>
      </c>
      <c r="B610" t="inlineStr">
        <is>
          <t>avverkningsanmälan</t>
        </is>
      </c>
      <c r="C610" t="inlineStr">
        <is>
          <t>Avverkning för annat ändamål</t>
        </is>
      </c>
      <c r="D610" s="1" t="n">
        <v>44676</v>
      </c>
      <c r="E610" s="1" t="n">
        <v>46319</v>
      </c>
      <c r="F610" t="inlineStr">
        <is>
          <t>VÄSTERNORRLANDS LÄN</t>
        </is>
      </c>
      <c r="G610" t="inlineStr">
        <is>
          <t>HÄRNÖSAND</t>
        </is>
      </c>
      <c r="I610" t="n">
        <v>1.2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19827-2022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44694</v>
      </c>
      <c r="E611" s="1" t="n">
        <v>46319</v>
      </c>
      <c r="F611" t="inlineStr">
        <is>
          <t>VÄSTERNORRLANDS LÄN</t>
        </is>
      </c>
      <c r="G611" t="inlineStr">
        <is>
          <t>HÄRNÖSAND</t>
        </is>
      </c>
      <c r="H611" t="inlineStr">
        <is>
          <t>SCA</t>
        </is>
      </c>
      <c r="I611" t="n">
        <v>4.3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54560-2024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45617</v>
      </c>
      <c r="E612" s="1" t="n">
        <v>46319</v>
      </c>
      <c r="F612" t="inlineStr">
        <is>
          <t>VÄSTERNORRLANDS LÄN</t>
        </is>
      </c>
      <c r="G612" t="inlineStr">
        <is>
          <t>HÄRNÖSAND</t>
        </is>
      </c>
      <c r="I612" t="n">
        <v>0.7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18348-2025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45762</v>
      </c>
      <c r="E613" s="1" t="n">
        <v>46319</v>
      </c>
      <c r="F613" t="inlineStr">
        <is>
          <t>VÄSTERNORRLANDS LÄN</t>
        </is>
      </c>
      <c r="G613" t="inlineStr">
        <is>
          <t>HÄRNÖSAND</t>
        </is>
      </c>
      <c r="I613" t="n">
        <v>0.4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9727-2022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44617</v>
      </c>
      <c r="E614" s="1" t="n">
        <v>46319</v>
      </c>
      <c r="F614" t="inlineStr">
        <is>
          <t>VÄSTERNORRLANDS LÄN</t>
        </is>
      </c>
      <c r="G614" t="inlineStr">
        <is>
          <t>HÄRNÖSAND</t>
        </is>
      </c>
      <c r="I614" t="n">
        <v>1.4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19122-2024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45428</v>
      </c>
      <c r="E615" s="1" t="n">
        <v>46319</v>
      </c>
      <c r="F615" t="inlineStr">
        <is>
          <t>VÄSTERNORRLANDS LÄN</t>
        </is>
      </c>
      <c r="G615" t="inlineStr">
        <is>
          <t>HÄRNÖSAND</t>
        </is>
      </c>
      <c r="I615" t="n">
        <v>1.4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39044-2023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45163</v>
      </c>
      <c r="E616" s="1" t="n">
        <v>46319</v>
      </c>
      <c r="F616" t="inlineStr">
        <is>
          <t>VÄSTERNORRLANDS LÄN</t>
        </is>
      </c>
      <c r="G616" t="inlineStr">
        <is>
          <t>HÄRNÖSAND</t>
        </is>
      </c>
      <c r="I616" t="n">
        <v>4.4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36496-2023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45152</v>
      </c>
      <c r="E617" s="1" t="n">
        <v>46319</v>
      </c>
      <c r="F617" t="inlineStr">
        <is>
          <t>VÄSTERNORRLANDS LÄN</t>
        </is>
      </c>
      <c r="G617" t="inlineStr">
        <is>
          <t>HÄRNÖSAND</t>
        </is>
      </c>
      <c r="I617" t="n">
        <v>5.5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49261-2022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44858</v>
      </c>
      <c r="E618" s="1" t="n">
        <v>46319</v>
      </c>
      <c r="F618" t="inlineStr">
        <is>
          <t>VÄSTERNORRLANDS LÄN</t>
        </is>
      </c>
      <c r="G618" t="inlineStr">
        <is>
          <t>HÄRNÖSAND</t>
        </is>
      </c>
      <c r="I618" t="n">
        <v>1.5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39433-2023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45163</v>
      </c>
      <c r="E619" s="1" t="n">
        <v>46319</v>
      </c>
      <c r="F619" t="inlineStr">
        <is>
          <t>VÄSTERNORRLANDS LÄN</t>
        </is>
      </c>
      <c r="G619" t="inlineStr">
        <is>
          <t>HÄRNÖSAND</t>
        </is>
      </c>
      <c r="I619" t="n">
        <v>5.5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21471-2022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44706</v>
      </c>
      <c r="E620" s="1" t="n">
        <v>46319</v>
      </c>
      <c r="F620" t="inlineStr">
        <is>
          <t>VÄSTERNORRLANDS LÄN</t>
        </is>
      </c>
      <c r="G620" t="inlineStr">
        <is>
          <t>HÄRNÖSAND</t>
        </is>
      </c>
      <c r="I620" t="n">
        <v>0.2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24813-2022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44728</v>
      </c>
      <c r="E621" s="1" t="n">
        <v>46319</v>
      </c>
      <c r="F621" t="inlineStr">
        <is>
          <t>VÄSTERNORRLANDS LÄN</t>
        </is>
      </c>
      <c r="G621" t="inlineStr">
        <is>
          <t>HÄRNÖSAND</t>
        </is>
      </c>
      <c r="I621" t="n">
        <v>2.1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42646-2023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45181</v>
      </c>
      <c r="E622" s="1" t="n">
        <v>46319</v>
      </c>
      <c r="F622" t="inlineStr">
        <is>
          <t>VÄSTERNORRLANDS LÄN</t>
        </is>
      </c>
      <c r="G622" t="inlineStr">
        <is>
          <t>HÄRNÖSAND</t>
        </is>
      </c>
      <c r="I622" t="n">
        <v>4.4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25007-2022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44728</v>
      </c>
      <c r="E623" s="1" t="n">
        <v>46319</v>
      </c>
      <c r="F623" t="inlineStr">
        <is>
          <t>VÄSTERNORRLANDS LÄN</t>
        </is>
      </c>
      <c r="G623" t="inlineStr">
        <is>
          <t>HÄRNÖSAND</t>
        </is>
      </c>
      <c r="I623" t="n">
        <v>4.1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45735-2023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45189</v>
      </c>
      <c r="E624" s="1" t="n">
        <v>46319</v>
      </c>
      <c r="F624" t="inlineStr">
        <is>
          <t>VÄSTERNORRLANDS LÄN</t>
        </is>
      </c>
      <c r="G624" t="inlineStr">
        <is>
          <t>HÄRNÖSAND</t>
        </is>
      </c>
      <c r="I624" t="n">
        <v>1.9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6390-2025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45699</v>
      </c>
      <c r="E625" s="1" t="n">
        <v>46319</v>
      </c>
      <c r="F625" t="inlineStr">
        <is>
          <t>VÄSTERNORRLANDS LÄN</t>
        </is>
      </c>
      <c r="G625" t="inlineStr">
        <is>
          <t>HÄRNÖSAND</t>
        </is>
      </c>
      <c r="I625" t="n">
        <v>0.6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40232-2023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45168</v>
      </c>
      <c r="E626" s="1" t="n">
        <v>46319</v>
      </c>
      <c r="F626" t="inlineStr">
        <is>
          <t>VÄSTERNORRLANDS LÄN</t>
        </is>
      </c>
      <c r="G626" t="inlineStr">
        <is>
          <t>HÄRNÖSAND</t>
        </is>
      </c>
      <c r="I626" t="n">
        <v>2.8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24452-2022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44726</v>
      </c>
      <c r="E627" s="1" t="n">
        <v>46319</v>
      </c>
      <c r="F627" t="inlineStr">
        <is>
          <t>VÄSTERNORRLANDS LÄN</t>
        </is>
      </c>
      <c r="G627" t="inlineStr">
        <is>
          <t>HÄRNÖSAND</t>
        </is>
      </c>
      <c r="I627" t="n">
        <v>2.4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11078-2025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45723</v>
      </c>
      <c r="E628" s="1" t="n">
        <v>46319</v>
      </c>
      <c r="F628" t="inlineStr">
        <is>
          <t>VÄSTERNORRLANDS LÄN</t>
        </is>
      </c>
      <c r="G628" t="inlineStr">
        <is>
          <t>HÄRNÖSAND</t>
        </is>
      </c>
      <c r="I628" t="n">
        <v>0.6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39498-2023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45166</v>
      </c>
      <c r="E629" s="1" t="n">
        <v>46319</v>
      </c>
      <c r="F629" t="inlineStr">
        <is>
          <t>VÄSTERNORRLANDS LÄN</t>
        </is>
      </c>
      <c r="G629" t="inlineStr">
        <is>
          <t>HÄRNÖSAND</t>
        </is>
      </c>
      <c r="H629" t="inlineStr">
        <is>
          <t>SCA</t>
        </is>
      </c>
      <c r="I629" t="n">
        <v>1.2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59155-2023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45251</v>
      </c>
      <c r="E630" s="1" t="n">
        <v>46319</v>
      </c>
      <c r="F630" t="inlineStr">
        <is>
          <t>VÄSTERNORRLANDS LÄN</t>
        </is>
      </c>
      <c r="G630" t="inlineStr">
        <is>
          <t>HÄRNÖSAND</t>
        </is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7852-2024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45350</v>
      </c>
      <c r="E631" s="1" t="n">
        <v>46319</v>
      </c>
      <c r="F631" t="inlineStr">
        <is>
          <t>VÄSTERNORRLANDS LÄN</t>
        </is>
      </c>
      <c r="G631" t="inlineStr">
        <is>
          <t>HÄRNÖSAND</t>
        </is>
      </c>
      <c r="H631" t="inlineStr">
        <is>
          <t>SCA</t>
        </is>
      </c>
      <c r="I631" t="n">
        <v>2.8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208-2024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45293</v>
      </c>
      <c r="E632" s="1" t="n">
        <v>46319</v>
      </c>
      <c r="F632" t="inlineStr">
        <is>
          <t>VÄSTERNORRLANDS LÄN</t>
        </is>
      </c>
      <c r="G632" t="inlineStr">
        <is>
          <t>HÄRNÖSAND</t>
        </is>
      </c>
      <c r="I632" t="n">
        <v>1.6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3476-2024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45320</v>
      </c>
      <c r="E633" s="1" t="n">
        <v>46319</v>
      </c>
      <c r="F633" t="inlineStr">
        <is>
          <t>VÄSTERNORRLANDS LÄN</t>
        </is>
      </c>
      <c r="G633" t="inlineStr">
        <is>
          <t>HÄRNÖSAND</t>
        </is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55276-2023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45231</v>
      </c>
      <c r="E634" s="1" t="n">
        <v>46319</v>
      </c>
      <c r="F634" t="inlineStr">
        <is>
          <t>VÄSTERNORRLANDS LÄN</t>
        </is>
      </c>
      <c r="G634" t="inlineStr">
        <is>
          <t>HÄRNÖSAND</t>
        </is>
      </c>
      <c r="I634" t="n">
        <v>2.7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28319-2022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44747</v>
      </c>
      <c r="E635" s="1" t="n">
        <v>46319</v>
      </c>
      <c r="F635" t="inlineStr">
        <is>
          <t>VÄSTERNORRLANDS LÄN</t>
        </is>
      </c>
      <c r="G635" t="inlineStr">
        <is>
          <t>HÄRNÖSAND</t>
        </is>
      </c>
      <c r="I635" t="n">
        <v>1.1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23547-2023</t>
        </is>
      </c>
      <c r="B636" t="inlineStr">
        <is>
          <t>avverkningsanmälan</t>
        </is>
      </c>
      <c r="C636" t="inlineStr">
        <is>
          <t>Föryngringsavverkning</t>
        </is>
      </c>
      <c r="D636" s="1" t="n">
        <v>45072</v>
      </c>
      <c r="E636" s="1" t="n">
        <v>46319</v>
      </c>
      <c r="F636" t="inlineStr">
        <is>
          <t>VÄSTERNORRLANDS LÄN</t>
        </is>
      </c>
      <c r="G636" t="inlineStr">
        <is>
          <t>HÄRNÖSAND</t>
        </is>
      </c>
      <c r="I636" t="n">
        <v>2.7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2492-2024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45313</v>
      </c>
      <c r="E637" s="1" t="n">
        <v>46319</v>
      </c>
      <c r="F637" t="inlineStr">
        <is>
          <t>VÄSTERNORRLANDS LÄN</t>
        </is>
      </c>
      <c r="G637" t="inlineStr">
        <is>
          <t>HÄRNÖSAND</t>
        </is>
      </c>
      <c r="I637" t="n">
        <v>0.4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10549-2024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45366</v>
      </c>
      <c r="E638" s="1" t="n">
        <v>46319</v>
      </c>
      <c r="F638" t="inlineStr">
        <is>
          <t>VÄSTERNORRLANDS LÄN</t>
        </is>
      </c>
      <c r="G638" t="inlineStr">
        <is>
          <t>HÄRNÖSAND</t>
        </is>
      </c>
      <c r="I638" t="n">
        <v>8.4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47944-2022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44853</v>
      </c>
      <c r="E639" s="1" t="n">
        <v>46319</v>
      </c>
      <c r="F639" t="inlineStr">
        <is>
          <t>VÄSTERNORRLANDS LÄN</t>
        </is>
      </c>
      <c r="G639" t="inlineStr">
        <is>
          <t>HÄRNÖSAND</t>
        </is>
      </c>
      <c r="I639" t="n">
        <v>7.6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16246-2025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45749</v>
      </c>
      <c r="E640" s="1" t="n">
        <v>46319</v>
      </c>
      <c r="F640" t="inlineStr">
        <is>
          <t>VÄSTERNORRLANDS LÄN</t>
        </is>
      </c>
      <c r="G640" t="inlineStr">
        <is>
          <t>HÄRNÖSAND</t>
        </is>
      </c>
      <c r="I640" t="n">
        <v>0.3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17516-2025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45757</v>
      </c>
      <c r="E641" s="1" t="n">
        <v>46319</v>
      </c>
      <c r="F641" t="inlineStr">
        <is>
          <t>VÄSTERNORRLANDS LÄN</t>
        </is>
      </c>
      <c r="G641" t="inlineStr">
        <is>
          <t>HÄRNÖSAND</t>
        </is>
      </c>
      <c r="I641" t="n">
        <v>3.1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34513-2022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44792</v>
      </c>
      <c r="E642" s="1" t="n">
        <v>46319</v>
      </c>
      <c r="F642" t="inlineStr">
        <is>
          <t>VÄSTERNORRLANDS LÄN</t>
        </is>
      </c>
      <c r="G642" t="inlineStr">
        <is>
          <t>HÄRNÖSAND</t>
        </is>
      </c>
      <c r="I642" t="n">
        <v>3.5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12675-2025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45733</v>
      </c>
      <c r="E643" s="1" t="n">
        <v>46319</v>
      </c>
      <c r="F643" t="inlineStr">
        <is>
          <t>VÄSTERNORRLANDS LÄN</t>
        </is>
      </c>
      <c r="G643" t="inlineStr">
        <is>
          <t>HÄRNÖSAND</t>
        </is>
      </c>
      <c r="I643" t="n">
        <v>5.1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30710-2024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45496</v>
      </c>
      <c r="E644" s="1" t="n">
        <v>46319</v>
      </c>
      <c r="F644" t="inlineStr">
        <is>
          <t>VÄSTERNORRLANDS LÄN</t>
        </is>
      </c>
      <c r="G644" t="inlineStr">
        <is>
          <t>HÄRNÖSAND</t>
        </is>
      </c>
      <c r="I644" t="n">
        <v>2.5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8411-2024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45352</v>
      </c>
      <c r="E645" s="1" t="n">
        <v>46319</v>
      </c>
      <c r="F645" t="inlineStr">
        <is>
          <t>VÄSTERNORRLANDS LÄN</t>
        </is>
      </c>
      <c r="G645" t="inlineStr">
        <is>
          <t>HÄRNÖSAND</t>
        </is>
      </c>
      <c r="H645" t="inlineStr">
        <is>
          <t>SCA</t>
        </is>
      </c>
      <c r="I645" t="n">
        <v>1.4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26976-2023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45091</v>
      </c>
      <c r="E646" s="1" t="n">
        <v>46319</v>
      </c>
      <c r="F646" t="inlineStr">
        <is>
          <t>VÄSTERNORRLANDS LÄN</t>
        </is>
      </c>
      <c r="G646" t="inlineStr">
        <is>
          <t>HÄRNÖSAND</t>
        </is>
      </c>
      <c r="I646" t="n">
        <v>2.7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64377-2023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45280</v>
      </c>
      <c r="E647" s="1" t="n">
        <v>46319</v>
      </c>
      <c r="F647" t="inlineStr">
        <is>
          <t>VÄSTERNORRLANDS LÄN</t>
        </is>
      </c>
      <c r="G647" t="inlineStr">
        <is>
          <t>HÄRNÖSAND</t>
        </is>
      </c>
      <c r="I647" t="n">
        <v>1.3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25116-2024</t>
        </is>
      </c>
      <c r="B648" t="inlineStr">
        <is>
          <t>avverkningsanmälan</t>
        </is>
      </c>
      <c r="C648" t="inlineStr">
        <is>
          <t>Föryngringsavverkning</t>
        </is>
      </c>
      <c r="D648" s="1" t="n">
        <v>45462</v>
      </c>
      <c r="E648" s="1" t="n">
        <v>46319</v>
      </c>
      <c r="F648" t="inlineStr">
        <is>
          <t>VÄSTERNORRLANDS LÄN</t>
        </is>
      </c>
      <c r="G648" t="inlineStr">
        <is>
          <t>HÄRNÖSAND</t>
        </is>
      </c>
      <c r="I648" t="n">
        <v>0.9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52987-2022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44875</v>
      </c>
      <c r="E649" s="1" t="n">
        <v>46319</v>
      </c>
      <c r="F649" t="inlineStr">
        <is>
          <t>VÄSTERNORRLANDS LÄN</t>
        </is>
      </c>
      <c r="G649" t="inlineStr">
        <is>
          <t>HÄRNÖSAND</t>
        </is>
      </c>
      <c r="I649" t="n">
        <v>3.5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29279-2024</t>
        </is>
      </c>
      <c r="B650" t="inlineStr">
        <is>
          <t>avverkningsanmälan</t>
        </is>
      </c>
      <c r="C650" t="inlineStr">
        <is>
          <t>Föryngringsavverkning</t>
        </is>
      </c>
      <c r="D650" s="1" t="n">
        <v>45482</v>
      </c>
      <c r="E650" s="1" t="n">
        <v>46319</v>
      </c>
      <c r="F650" t="inlineStr">
        <is>
          <t>VÄSTERNORRLANDS LÄN</t>
        </is>
      </c>
      <c r="G650" t="inlineStr">
        <is>
          <t>HÄRNÖSAND</t>
        </is>
      </c>
      <c r="H650" t="inlineStr">
        <is>
          <t>SCA</t>
        </is>
      </c>
      <c r="I650" t="n">
        <v>0.4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30762-2024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45496</v>
      </c>
      <c r="E651" s="1" t="n">
        <v>46319</v>
      </c>
      <c r="F651" t="inlineStr">
        <is>
          <t>VÄSTERNORRLANDS LÄN</t>
        </is>
      </c>
      <c r="G651" t="inlineStr">
        <is>
          <t>HÄRNÖSAND</t>
        </is>
      </c>
      <c r="I651" t="n">
        <v>0.5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6258-2023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44957</v>
      </c>
      <c r="E652" s="1" t="n">
        <v>46319</v>
      </c>
      <c r="F652" t="inlineStr">
        <is>
          <t>VÄSTERNORRLANDS LÄN</t>
        </is>
      </c>
      <c r="G652" t="inlineStr">
        <is>
          <t>HÄRNÖSAND</t>
        </is>
      </c>
      <c r="I652" t="n">
        <v>0.7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59034-2022</t>
        </is>
      </c>
      <c r="B653" t="inlineStr">
        <is>
          <t>avverkningsanmälan</t>
        </is>
      </c>
      <c r="C653" t="inlineStr">
        <is>
          <t>Avverkning för att bevara och utveckla /försöksver</t>
        </is>
      </c>
      <c r="D653" s="1" t="n">
        <v>44903</v>
      </c>
      <c r="E653" s="1" t="n">
        <v>46319</v>
      </c>
      <c r="F653" t="inlineStr">
        <is>
          <t>VÄSTERNORRLANDS LÄN</t>
        </is>
      </c>
      <c r="G653" t="inlineStr">
        <is>
          <t>HÄRNÖSAND</t>
        </is>
      </c>
      <c r="H653" t="inlineStr">
        <is>
          <t>SCA</t>
        </is>
      </c>
      <c r="I653" t="n">
        <v>3.2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3024-2023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44945</v>
      </c>
      <c r="E654" s="1" t="n">
        <v>46319</v>
      </c>
      <c r="F654" t="inlineStr">
        <is>
          <t>VÄSTERNORRLANDS LÄN</t>
        </is>
      </c>
      <c r="G654" t="inlineStr">
        <is>
          <t>HÄRNÖSAND</t>
        </is>
      </c>
      <c r="H654" t="inlineStr">
        <is>
          <t>SCA</t>
        </is>
      </c>
      <c r="I654" t="n">
        <v>2.5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11881-2024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45376</v>
      </c>
      <c r="E655" s="1" t="n">
        <v>46319</v>
      </c>
      <c r="F655" t="inlineStr">
        <is>
          <t>VÄSTERNORRLANDS LÄN</t>
        </is>
      </c>
      <c r="G655" t="inlineStr">
        <is>
          <t>HÄRNÖSAND</t>
        </is>
      </c>
      <c r="I655" t="n">
        <v>0.9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S 4299-2021</t>
        </is>
      </c>
      <c r="B656" t="inlineStr">
        <is>
          <t>samrådsanmälan</t>
        </is>
      </c>
      <c r="C656" t="inlineStr">
        <is>
          <t>Annan skogsbruksåtgärd</t>
        </is>
      </c>
      <c r="D656" s="1" t="n">
        <v>44393</v>
      </c>
      <c r="E656" s="1" t="n">
        <v>46319</v>
      </c>
      <c r="F656" t="inlineStr">
        <is>
          <t>VÄSTERNORRLANDS LÄN</t>
        </is>
      </c>
      <c r="G656" t="inlineStr">
        <is>
          <t>HÄRNÖSAND</t>
        </is>
      </c>
      <c r="I656" t="n">
        <v>0.4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S 382-2024</t>
        </is>
      </c>
      <c r="B657" t="inlineStr">
        <is>
          <t>samrådsanmälan</t>
        </is>
      </c>
      <c r="C657" t="inlineStr">
        <is>
          <t>Skogsgödsling</t>
        </is>
      </c>
      <c r="D657" s="1" t="n">
        <v>45323</v>
      </c>
      <c r="E657" s="1" t="n">
        <v>46319</v>
      </c>
      <c r="F657" t="inlineStr">
        <is>
          <t>VÄSTERNORRLANDS LÄN</t>
        </is>
      </c>
      <c r="G657" t="inlineStr">
        <is>
          <t>HÄRNÖSAND</t>
        </is>
      </c>
      <c r="H657" t="inlineStr">
        <is>
          <t>SCA</t>
        </is>
      </c>
      <c r="I657" t="n">
        <v>10.6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S 831-2025</t>
        </is>
      </c>
      <c r="B658" t="inlineStr">
        <is>
          <t>samrådsanmälan</t>
        </is>
      </c>
      <c r="C658" t="inlineStr">
        <is>
          <t>Skogsgödsling</t>
        </is>
      </c>
      <c r="D658" s="1" t="n">
        <v>45733</v>
      </c>
      <c r="E658" s="1" t="n">
        <v>46319</v>
      </c>
      <c r="F658" t="inlineStr">
        <is>
          <t>VÄSTERNORRLANDS LÄN</t>
        </is>
      </c>
      <c r="G658" t="inlineStr">
        <is>
          <t>HÄRNÖSAND</t>
        </is>
      </c>
      <c r="H658" t="inlineStr">
        <is>
          <t>SCA</t>
        </is>
      </c>
      <c r="I658" t="n">
        <v>113.3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S 1148-2025</t>
        </is>
      </c>
      <c r="B659" t="inlineStr">
        <is>
          <t>samrådsanmälan</t>
        </is>
      </c>
      <c r="C659" t="inlineStr">
        <is>
          <t>Skogsgödsling</t>
        </is>
      </c>
      <c r="D659" s="1" t="n">
        <v>45755</v>
      </c>
      <c r="E659" s="1" t="n">
        <v>46319</v>
      </c>
      <c r="F659" t="inlineStr">
        <is>
          <t>VÄSTERNORRLANDS LÄN</t>
        </is>
      </c>
      <c r="G659" t="inlineStr">
        <is>
          <t>HÄRNÖSAND</t>
        </is>
      </c>
      <c r="I659" t="n">
        <v>10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S 1559-2025</t>
        </is>
      </c>
      <c r="B660" t="inlineStr">
        <is>
          <t>samrådsanmälan</t>
        </is>
      </c>
      <c r="C660" t="inlineStr">
        <is>
          <t>Annan skogsbruksåtgärd</t>
        </is>
      </c>
      <c r="D660" s="1" t="n">
        <v>45793</v>
      </c>
      <c r="E660" s="1" t="n">
        <v>46319</v>
      </c>
      <c r="F660" t="inlineStr">
        <is>
          <t>VÄSTERNORRLANDS LÄN</t>
        </is>
      </c>
      <c r="G660" t="inlineStr">
        <is>
          <t>HÄRNÖSAND</t>
        </is>
      </c>
      <c r="H660" t="inlineStr">
        <is>
          <t>SCA</t>
        </is>
      </c>
      <c r="I660" t="n">
        <v>2.3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S 525-2026</t>
        </is>
      </c>
      <c r="B661" t="inlineStr">
        <is>
          <t>samrådsanmälan</t>
        </is>
      </c>
      <c r="C661" t="inlineStr">
        <is>
          <t>Annan skogsbruksåtgärd</t>
        </is>
      </c>
      <c r="D661" s="1" t="n">
        <v>46078</v>
      </c>
      <c r="E661" s="1" t="n">
        <v>46319</v>
      </c>
      <c r="F661" t="inlineStr">
        <is>
          <t>VÄSTERNORRLANDS LÄN</t>
        </is>
      </c>
      <c r="G661" t="inlineStr">
        <is>
          <t>HÄRNÖSAND</t>
        </is>
      </c>
      <c r="H661" t="inlineStr">
        <is>
          <t>SCA</t>
        </is>
      </c>
      <c r="I661" t="n">
        <v>3.6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S 484-2026</t>
        </is>
      </c>
      <c r="B662" t="inlineStr">
        <is>
          <t>samrådsanmälan</t>
        </is>
      </c>
      <c r="C662" t="inlineStr">
        <is>
          <t>Skogsgödsling</t>
        </is>
      </c>
      <c r="D662" s="1" t="n">
        <v>46073</v>
      </c>
      <c r="E662" s="1" t="n">
        <v>46319</v>
      </c>
      <c r="F662" t="inlineStr">
        <is>
          <t>VÄSTERNORRLANDS LÄN</t>
        </is>
      </c>
      <c r="G662" t="inlineStr">
        <is>
          <t>HÄRNÖSAND</t>
        </is>
      </c>
      <c r="I662" t="n">
        <v>6.5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S 723-2026</t>
        </is>
      </c>
      <c r="B663" t="inlineStr">
        <is>
          <t>samrådsanmälan</t>
        </is>
      </c>
      <c r="C663" t="inlineStr">
        <is>
          <t>Annan skogsbruksåtgärd</t>
        </is>
      </c>
      <c r="D663" s="1" t="n">
        <v>46093</v>
      </c>
      <c r="E663" s="1" t="n">
        <v>46319</v>
      </c>
      <c r="F663" t="inlineStr">
        <is>
          <t>VÄSTERNORRLANDS LÄN</t>
        </is>
      </c>
      <c r="G663" t="inlineStr">
        <is>
          <t>HÄRNÖSAND</t>
        </is>
      </c>
      <c r="H663" t="inlineStr">
        <is>
          <t>SCA</t>
        </is>
      </c>
      <c r="I663" t="n">
        <v>0.7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S 1428-2026</t>
        </is>
      </c>
      <c r="B664" t="inlineStr">
        <is>
          <t>samrådsanmälan</t>
        </is>
      </c>
      <c r="C664" t="inlineStr">
        <is>
          <t>Annan skogsbruksåtgärd</t>
        </is>
      </c>
      <c r="D664" s="1" t="n">
        <v>46156</v>
      </c>
      <c r="E664" s="1" t="n">
        <v>46319</v>
      </c>
      <c r="F664" t="inlineStr">
        <is>
          <t>VÄSTERNORRLANDS LÄN</t>
        </is>
      </c>
      <c r="G664" t="inlineStr">
        <is>
          <t>HÄRNÖSAND</t>
        </is>
      </c>
      <c r="I664" t="n">
        <v>0.5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>
      <c r="A665" t="inlineStr">
        <is>
          <t>S 2294-2026</t>
        </is>
      </c>
      <c r="B665" t="inlineStr">
        <is>
          <t>samrådsanmälan</t>
        </is>
      </c>
      <c r="C665" t="inlineStr">
        <is>
          <t>Annan skogsbruksåtgärd</t>
        </is>
      </c>
      <c r="D665" s="1" t="n">
        <v>46267</v>
      </c>
      <c r="E665" s="1" t="n">
        <v>46319</v>
      </c>
      <c r="F665" t="inlineStr">
        <is>
          <t>VÄSTERNORRLANDS LÄN</t>
        </is>
      </c>
      <c r="G665" t="inlineStr">
        <is>
          <t>HÄRNÖSAND</t>
        </is>
      </c>
      <c r="H665" t="inlineStr">
        <is>
          <t>SCA</t>
        </is>
      </c>
      <c r="I665" t="n">
        <v>0.8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2026-10-24T02:01:15Z</dcterms:created>
  <dcterms:modified xmlns:dcterms="http://purl.org/dc/terms/" xmlns:xsi="http://www.w3.org/2001/XMLSchema-instance" xsi:type="dcterms:W3CDTF">2026-10-24T02:01:16Z</dcterms:modified>
</cp:coreProperties>
</file>