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46263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46263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46263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46263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46263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46263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46263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46263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46263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46263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46263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46263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46263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46263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44401-2023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46263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5.9</v>
      </c>
      <c r="J31" t="n">
        <v>2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Gammelgransskål
Rynkskinn
Tretåig hackspett
Ullticka
Spillkråka</t>
        </is>
      </c>
      <c r="W31">
        <f>HYPERLINK("https://klasma.github.io/Logging_2280/artfynd/A 44401-2023 artfynd.xlsx", "A 44401-2023")</f>
        <v/>
      </c>
      <c r="X31">
        <f>HYPERLINK("https://klasma.github.io/Logging_2280/kartor/A 44401-2023 karta.png", "A 44401-2023")</f>
        <v/>
      </c>
      <c r="Y31">
        <f>HYPERLINK("https://klasma.github.io/Logging_2280/kartor_geotiff/A 44401-2023 georefererad karta.tif", "A 44401-2023")</f>
        <v/>
      </c>
      <c r="AA31">
        <f>HYPERLINK("https://klasma.github.io/Logging_2280/klagomål/A 44401-2023 FSC-klagomål.docx", "A 44401-2023")</f>
        <v/>
      </c>
      <c r="AB31">
        <f>HYPERLINK("https://klasma.github.io/Logging_2280/klagomålsmail/A 44401-2023 FSC-klagomål mail.docx", "A 44401-2023")</f>
        <v/>
      </c>
      <c r="AC31">
        <f>HYPERLINK("https://klasma.github.io/Logging_2280/tillsyn/A 44401-2023 tillsynsbegäran.docx", "A 44401-2023")</f>
        <v/>
      </c>
      <c r="AD31">
        <f>HYPERLINK("https://klasma.github.io/Logging_2280/tillsynsmail/A 44401-2023 tillsynsbegäran mail.docx", "A 44401-2023")</f>
        <v/>
      </c>
      <c r="AE31">
        <f>HYPERLINK("https://klasma.github.io/Logging_2280/fåglar/A 44401-2023 prioriterade fågelarter.docx", "A 44401-2023")</f>
        <v/>
      </c>
    </row>
    <row r="32" ht="15" customHeight="1">
      <c r="A32" t="inlineStr">
        <is>
          <t>A 48831-2024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46263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7.4</v>
      </c>
      <c r="J32" t="n">
        <v>2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7</v>
      </c>
      <c r="U32" t="n">
        <v>0</v>
      </c>
      <c r="V32" s="2" t="inlineStr">
        <is>
          <t>Garnlav
Lunglav
Ullticka
Tvåblad
Blåsippa</t>
        </is>
      </c>
      <c r="W32">
        <f>HYPERLINK("https://klasma.github.io/Logging_2280/artfynd/A 48831-2024 artfynd.xlsx", "A 48831-2024")</f>
        <v/>
      </c>
      <c r="X32">
        <f>HYPERLINK("https://klasma.github.io/Logging_2280/kartor/A 48831-2024 karta.png", "A 48831-2024")</f>
        <v/>
      </c>
      <c r="Y32">
        <f>HYPERLINK("https://klasma.github.io/Logging_2280/kartor_geotiff/A 48831-2024 georefererad karta.tif", "A 48831-2024")</f>
        <v/>
      </c>
      <c r="AA32">
        <f>HYPERLINK("https://klasma.github.io/Logging_2280/klagomål/A 48831-2024 FSC-klagomål.docx", "A 48831-2024")</f>
        <v/>
      </c>
      <c r="AB32">
        <f>HYPERLINK("https://klasma.github.io/Logging_2280/klagomålsmail/A 48831-2024 FSC-klagomål mail.docx", "A 48831-2024")</f>
        <v/>
      </c>
      <c r="AC32">
        <f>HYPERLINK("https://klasma.github.io/Logging_2280/tillsyn/A 48831-2024 tillsynsbegäran.docx", "A 48831-2024")</f>
        <v/>
      </c>
      <c r="AD32">
        <f>HYPERLINK("https://klasma.github.io/Logging_2280/tillsynsmail/A 48831-2024 tillsynsbegäran mail.docx", "A 48831-2024")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46263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46263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41592-2024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46263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6.8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6</v>
      </c>
      <c r="V36" s="2" t="inlineStr">
        <is>
          <t>Garnlav
Ullticka
Vedflamlav
Stuplav</t>
        </is>
      </c>
      <c r="W36">
        <f>HYPERLINK("https://klasma.github.io/Logging_2280/artfynd/A 41592-2024 artfynd.xlsx", "A 41592-2024")</f>
        <v/>
      </c>
      <c r="X36">
        <f>HYPERLINK("https://klasma.github.io/Logging_2280/kartor/A 41592-2024 karta.png", "A 41592-2024")</f>
        <v/>
      </c>
      <c r="Y36">
        <f>HYPERLINK("https://klasma.github.io/Logging_2280/kartor_geotiff/A 41592-2024 georefererad karta.tif", "A 41592-2024")</f>
        <v/>
      </c>
      <c r="AA36">
        <f>HYPERLINK("https://klasma.github.io/Logging_2280/klagomål/A 41592-2024 FSC-klagomål.docx", "A 41592-2024")</f>
        <v/>
      </c>
      <c r="AB36">
        <f>HYPERLINK("https://klasma.github.io/Logging_2280/klagomålsmail/A 41592-2024 FSC-klagomål mail.docx", "A 41592-2024")</f>
        <v/>
      </c>
      <c r="AC36">
        <f>HYPERLINK("https://klasma.github.io/Logging_2280/tillsyn/A 41592-2024 tillsynsbegäran.docx", "A 41592-2024")</f>
        <v/>
      </c>
      <c r="AD36">
        <f>HYPERLINK("https://klasma.github.io/Logging_2280/tillsynsmail/A 41592-2024 tillsynsbegäran mail.docx", "A 41592-2024")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46263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46263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46263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46263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46263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46263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46263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46263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46263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46263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46263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46263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46263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46263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46263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46263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46263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46263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46263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Tretåig hackspett
Korallblylav</t>
        </is>
      </c>
      <c r="W62">
        <f>HYPERLINK("https://klasma.github.io/Logging_2280/artfynd/A 34545-2025 artfynd.xlsx", "A 34545-2025")</f>
        <v/>
      </c>
      <c r="X62">
        <f>HYPERLINK("https://klasma.github.io/Logging_2280/kartor/A 34545-2025 karta.png", "A 34545-2025")</f>
        <v/>
      </c>
      <c r="Y62">
        <f>HYPERLINK("https://klasma.github.io/Logging_2280/kartor_geotiff/A 34545-2025 georefererad karta.tif", "A 34545-2025")</f>
        <v/>
      </c>
      <c r="AA62">
        <f>HYPERLINK("https://klasma.github.io/Logging_2280/klagomål/A 34545-2025 FSC-klagomål.docx", "A 34545-2025")</f>
        <v/>
      </c>
      <c r="AB62">
        <f>HYPERLINK("https://klasma.github.io/Logging_2280/klagomålsmail/A 34545-2025 FSC-klagomål mail.docx", "A 34545-2025")</f>
        <v/>
      </c>
      <c r="AC62">
        <f>HYPERLINK("https://klasma.github.io/Logging_2280/tillsyn/A 34545-2025 tillsynsbegäran.docx", "A 34545-2025")</f>
        <v/>
      </c>
      <c r="AD62">
        <f>HYPERLINK("https://klasma.github.io/Logging_2280/tillsynsmail/A 34545-2025 tillsynsbegäran mail.docx", "A 34545-2025")</f>
        <v/>
      </c>
      <c r="AE62">
        <f>HYPERLINK("https://klasma.github.io/Logging_2280/fåglar/A 34545-2025 prioriterade fågelarter.docx", "A 34545-2025")</f>
        <v/>
      </c>
    </row>
    <row r="63" ht="15" customHeight="1">
      <c r="A63" t="inlineStr">
        <is>
          <t>A 54894-2024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46263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Lunglav</t>
        </is>
      </c>
      <c r="W63">
        <f>HYPERLINK("https://klasma.github.io/Logging_2280/artfynd/A 54894-2024 artfynd.xlsx", "A 54894-2024")</f>
        <v/>
      </c>
      <c r="X63">
        <f>HYPERLINK("https://klasma.github.io/Logging_2280/kartor/A 54894-2024 karta.png", "A 54894-2024")</f>
        <v/>
      </c>
      <c r="Y63">
        <f>HYPERLINK("https://klasma.github.io/Logging_2280/kartor_geotiff/A 54894-2024 georefererad karta.tif", "A 54894-2024")</f>
        <v/>
      </c>
      <c r="AA63">
        <f>HYPERLINK("https://klasma.github.io/Logging_2280/klagomål/A 54894-2024 FSC-klagomål.docx", "A 54894-2024")</f>
        <v/>
      </c>
      <c r="AB63">
        <f>HYPERLINK("https://klasma.github.io/Logging_2280/klagomålsmail/A 54894-2024 FSC-klagomål mail.docx", "A 54894-2024")</f>
        <v/>
      </c>
      <c r="AC63">
        <f>HYPERLINK("https://klasma.github.io/Logging_2280/tillsyn/A 54894-2024 tillsynsbegäran.docx", "A 54894-2024")</f>
        <v/>
      </c>
      <c r="AD63">
        <f>HYPERLINK("https://klasma.github.io/Logging_2280/tillsynsmail/A 54894-2024 tillsynsbegäran mail.docx", "A 54894-2024")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46263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46263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46263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46263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46263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46263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46263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46263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46263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46263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46263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46263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43541-2022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44837</v>
      </c>
      <c r="E78" s="1" t="n">
        <v>46263</v>
      </c>
      <c r="F78" t="inlineStr">
        <is>
          <t>VÄSTERNORRLANDS LÄN</t>
        </is>
      </c>
      <c r="G78" t="inlineStr">
        <is>
          <t>HÄRNÖSAND</t>
        </is>
      </c>
      <c r="I78" t="n">
        <v>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Sötgräs</t>
        </is>
      </c>
      <c r="W78">
        <f>HYPERLINK("https://klasma.github.io/Logging_2280/artfynd/A 43541-2022 artfynd.xlsx", "A 43541-2022")</f>
        <v/>
      </c>
      <c r="X78">
        <f>HYPERLINK("https://klasma.github.io/Logging_2280/kartor/A 43541-2022 karta.png", "A 43541-2022")</f>
        <v/>
      </c>
      <c r="Y78">
        <f>HYPERLINK("https://klasma.github.io/Logging_2280/kartor_geotiff/A 43541-2022 georefererad karta.tif", "A 43541-2022")</f>
        <v/>
      </c>
      <c r="AA78">
        <f>HYPERLINK("https://klasma.github.io/Logging_2280/klagomål/A 43541-2022 FSC-klagomål.docx", "A 43541-2022")</f>
        <v/>
      </c>
      <c r="AB78">
        <f>HYPERLINK("https://klasma.github.io/Logging_2280/klagomålsmail/A 43541-2022 FSC-klagomål mail.docx", "A 43541-2022")</f>
        <v/>
      </c>
      <c r="AC78">
        <f>HYPERLINK("https://klasma.github.io/Logging_2280/tillsyn/A 43541-2022 tillsynsbegäran.docx", "A 43541-2022")</f>
        <v/>
      </c>
      <c r="AD78">
        <f>HYPERLINK("https://klasma.github.io/Logging_2280/tillsynsmail/A 43541-2022 tillsynsbegäran mail.docx", "A 43541-2022")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46263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46263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46263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46263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7853-2024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46263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4.1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Igelkott</t>
        </is>
      </c>
      <c r="W83">
        <f>HYPERLINK("https://klasma.github.io/Logging_2280/artfynd/A 7853-2024 artfynd.xlsx", "A 7853-2024")</f>
        <v/>
      </c>
      <c r="X83">
        <f>HYPERLINK("https://klasma.github.io/Logging_2280/kartor/A 7853-2024 karta.png", "A 7853-2024")</f>
        <v/>
      </c>
      <c r="Y83">
        <f>HYPERLINK("https://klasma.github.io/Logging_2280/kartor_geotiff/A 7853-2024 georefererad karta.tif", "A 7853-2024")</f>
        <v/>
      </c>
      <c r="AA83">
        <f>HYPERLINK("https://klasma.github.io/Logging_2280/klagomål/A 7853-2024 FSC-klagomål.docx", "A 7853-2024")</f>
        <v/>
      </c>
      <c r="AB83">
        <f>HYPERLINK("https://klasma.github.io/Logging_2280/klagomålsmail/A 7853-2024 FSC-klagomål mail.docx", "A 7853-2024")</f>
        <v/>
      </c>
      <c r="AC83">
        <f>HYPERLINK("https://klasma.github.io/Logging_2280/tillsyn/A 7853-2024 tillsynsbegäran.docx", "A 7853-2024")</f>
        <v/>
      </c>
      <c r="AD83">
        <f>HYPERLINK("https://klasma.github.io/Logging_2280/tillsynsmail/A 7853-2024 tillsynsbegäran mail.docx", "A 7853-2024")</f>
        <v/>
      </c>
    </row>
    <row r="84" ht="15" customHeight="1">
      <c r="A84" t="inlineStr">
        <is>
          <t>A 11546-2024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46263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HYPERLINK("https://klasma.github.io/Logging_2280/artfynd/A 11546-2024 artfynd.xlsx", "A 11546-2024")</f>
        <v/>
      </c>
      <c r="X84">
        <f>HYPERLINK("https://klasma.github.io/Logging_2280/kartor/A 11546-2024 karta.png", "A 11546-2024")</f>
        <v/>
      </c>
      <c r="Y84">
        <f>HYPERLINK("https://klasma.github.io/Logging_2280/kartor_geotiff/A 11546-2024 georefererad karta.tif", "A 11546-2024")</f>
        <v/>
      </c>
      <c r="AA84">
        <f>HYPERLINK("https://klasma.github.io/Logging_2280/klagomål/A 11546-2024 FSC-klagomål.docx", "A 11546-2024")</f>
        <v/>
      </c>
      <c r="AB84">
        <f>HYPERLINK("https://klasma.github.io/Logging_2280/klagomålsmail/A 11546-2024 FSC-klagomål mail.docx", "A 11546-2024")</f>
        <v/>
      </c>
      <c r="AC84">
        <f>HYPERLINK("https://klasma.github.io/Logging_2280/tillsyn/A 11546-2024 tillsynsbegäran.docx", "A 11546-2024")</f>
        <v/>
      </c>
      <c r="AD84">
        <f>HYPERLINK("https://klasma.github.io/Logging_2280/tillsynsmail/A 11546-2024 tillsynsbegäran mail.docx", "A 11546-2024")</f>
        <v/>
      </c>
    </row>
    <row r="85" ht="15" customHeight="1">
      <c r="A85" t="inlineStr">
        <is>
          <t>A 24202-2024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45456</v>
      </c>
      <c r="E85" s="1" t="n">
        <v>46263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HYPERLINK("https://klasma.github.io/Logging_2280/artfynd/A 24202-2024 artfynd.xlsx", "A 24202-2024")</f>
        <v/>
      </c>
      <c r="X85">
        <f>HYPERLINK("https://klasma.github.io/Logging_2280/kartor/A 24202-2024 karta.png", "A 24202-2024")</f>
        <v/>
      </c>
      <c r="Y85">
        <f>HYPERLINK("https://klasma.github.io/Logging_2280/kartor_geotiff/A 24202-2024 georefererad karta.tif", "A 24202-2024")</f>
        <v/>
      </c>
      <c r="AA85">
        <f>HYPERLINK("https://klasma.github.io/Logging_2280/klagomål/A 24202-2024 FSC-klagomål.docx", "A 24202-2024")</f>
        <v/>
      </c>
      <c r="AB85">
        <f>HYPERLINK("https://klasma.github.io/Logging_2280/klagomålsmail/A 24202-2024 FSC-klagomål mail.docx", "A 24202-2024")</f>
        <v/>
      </c>
      <c r="AC85">
        <f>HYPERLINK("https://klasma.github.io/Logging_2280/tillsyn/A 24202-2024 tillsynsbegäran.docx", "A 24202-2024")</f>
        <v/>
      </c>
      <c r="AD85">
        <f>HYPERLINK("https://klasma.github.io/Logging_2280/tillsynsmail/A 24202-2024 tillsynsbegäran mail.docx", "A 24202-2024")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46263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46263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46263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46263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46263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46263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46263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46263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46263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46263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46263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46263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46263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46263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46263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46263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46263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46263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46263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46263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46263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46263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46263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46263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46263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46263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44771-2021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44438</v>
      </c>
      <c r="E112" s="1" t="n">
        <v>46263</v>
      </c>
      <c r="F112" t="inlineStr">
        <is>
          <t>VÄSTERNORRLANDS LÄN</t>
        </is>
      </c>
      <c r="G112" t="inlineStr">
        <is>
          <t>HÄRNÖSAND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46263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55790-2021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44476</v>
      </c>
      <c r="E114" s="1" t="n">
        <v>46263</v>
      </c>
      <c r="F114" t="inlineStr">
        <is>
          <t>VÄSTERNORRLANDS LÄN</t>
        </is>
      </c>
      <c r="G114" t="inlineStr">
        <is>
          <t>HÄRNÖSAND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46263</v>
      </c>
      <c r="F115" t="inlineStr">
        <is>
          <t>VÄSTERNORRLANDS LÄN</t>
        </is>
      </c>
      <c r="G115" t="inlineStr">
        <is>
          <t>HÄRNÖSAND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46263</v>
      </c>
      <c r="F116" t="inlineStr">
        <is>
          <t>VÄSTERNORRLANDS LÄN</t>
        </is>
      </c>
      <c r="G116" t="inlineStr">
        <is>
          <t>HÄRNÖSAND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46263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46263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46263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46263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46263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46263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44469</v>
      </c>
      <c r="E123" s="1" t="n">
        <v>46263</v>
      </c>
      <c r="F123" t="inlineStr">
        <is>
          <t>VÄSTERNORRLANDS LÄN</t>
        </is>
      </c>
      <c r="G123" t="inlineStr">
        <is>
          <t>HÄRNÖSAND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46263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46263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46263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46263</v>
      </c>
      <c r="F127" t="inlineStr">
        <is>
          <t>VÄSTERNORRLANDS LÄN</t>
        </is>
      </c>
      <c r="G127" t="inlineStr">
        <is>
          <t>HÄRNÖSAND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46263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46263</v>
      </c>
      <c r="F129" t="inlineStr">
        <is>
          <t>VÄSTERNORRLANDS LÄN</t>
        </is>
      </c>
      <c r="G129" t="inlineStr">
        <is>
          <t>HÄRNÖSAND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70563-2021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44532</v>
      </c>
      <c r="E130" s="1" t="n">
        <v>46263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46263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44512</v>
      </c>
      <c r="E132" s="1" t="n">
        <v>46263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46263</v>
      </c>
      <c r="F133" t="inlineStr">
        <is>
          <t>VÄSTERNORRLANDS LÄN</t>
        </is>
      </c>
      <c r="G133" t="inlineStr">
        <is>
          <t>HÄRNÖSAND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46263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46263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46263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46263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46263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46263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46263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45409</v>
      </c>
      <c r="E141" s="1" t="n">
        <v>46263</v>
      </c>
      <c r="F141" t="inlineStr">
        <is>
          <t>VÄSTERNORRLANDS LÄN</t>
        </is>
      </c>
      <c r="G141" t="inlineStr">
        <is>
          <t>HÄRNÖSAND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46263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45782</v>
      </c>
      <c r="E143" s="1" t="n">
        <v>46263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46263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46263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46263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46263</v>
      </c>
      <c r="F147" t="inlineStr">
        <is>
          <t>VÄSTERNORRLANDS LÄN</t>
        </is>
      </c>
      <c r="G147" t="inlineStr">
        <is>
          <t>HÄRNÖSAND</t>
        </is>
      </c>
      <c r="I147" t="n">
        <v>15.6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46263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46263</v>
      </c>
      <c r="F149" t="inlineStr">
        <is>
          <t>VÄSTERNORRLANDS LÄN</t>
        </is>
      </c>
      <c r="G149" t="inlineStr">
        <is>
          <t>HÄRNÖSAND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46263</v>
      </c>
      <c r="F150" t="inlineStr">
        <is>
          <t>VÄSTERNORRLANDS LÄN</t>
        </is>
      </c>
      <c r="G150" t="inlineStr">
        <is>
          <t>HÄRNÖSAND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46263</v>
      </c>
      <c r="F151" t="inlineStr">
        <is>
          <t>VÄSTERNORRLANDS LÄN</t>
        </is>
      </c>
      <c r="G151" t="inlineStr">
        <is>
          <t>HÄRNÖSAND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46263</v>
      </c>
      <c r="F152" t="inlineStr">
        <is>
          <t>VÄSTERNORRLANDS LÄN</t>
        </is>
      </c>
      <c r="G152" t="inlineStr">
        <is>
          <t>HÄRNÖSAND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46263</v>
      </c>
      <c r="F153" t="inlineStr">
        <is>
          <t>VÄSTERNORRLANDS LÄN</t>
        </is>
      </c>
      <c r="G153" t="inlineStr">
        <is>
          <t>HÄRNÖSAND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46263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46263</v>
      </c>
      <c r="F155" t="inlineStr">
        <is>
          <t>VÄSTERNORRLANDS LÄN</t>
        </is>
      </c>
      <c r="G155" t="inlineStr">
        <is>
          <t>HÄRNÖSAND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46263</v>
      </c>
      <c r="F156" t="inlineStr">
        <is>
          <t>VÄSTERNORRLANDS LÄN</t>
        </is>
      </c>
      <c r="G156" t="inlineStr">
        <is>
          <t>HÄRNÖSAND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46263</v>
      </c>
      <c r="F157" t="inlineStr">
        <is>
          <t>VÄSTERNORRLANDS LÄN</t>
        </is>
      </c>
      <c r="G157" t="inlineStr">
        <is>
          <t>HÄRNÖSAND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46263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46263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46263</v>
      </c>
      <c r="F160" t="inlineStr">
        <is>
          <t>VÄSTERNORRLANDS LÄN</t>
        </is>
      </c>
      <c r="G160" t="inlineStr">
        <is>
          <t>HÄRNÖSAND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46263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45791</v>
      </c>
      <c r="E162" s="1" t="n">
        <v>46263</v>
      </c>
      <c r="F162" t="inlineStr">
        <is>
          <t>VÄSTERNORRLANDS LÄN</t>
        </is>
      </c>
      <c r="G162" t="inlineStr">
        <is>
          <t>HÄRNÖSAND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46263</v>
      </c>
      <c r="F163" t="inlineStr">
        <is>
          <t>VÄSTERNORRLANDS LÄN</t>
        </is>
      </c>
      <c r="G163" t="inlineStr">
        <is>
          <t>HÄRNÖSAND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46263</v>
      </c>
      <c r="F164" t="inlineStr">
        <is>
          <t>VÄSTERNORRLANDS LÄN</t>
        </is>
      </c>
      <c r="G164" t="inlineStr">
        <is>
          <t>HÄRNÖSAND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46263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23688-2025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46263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46263</v>
      </c>
      <c r="F167" t="inlineStr">
        <is>
          <t>VÄSTERNORRLANDS LÄN</t>
        </is>
      </c>
      <c r="G167" t="inlineStr">
        <is>
          <t>HÄRNÖSAND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46263</v>
      </c>
      <c r="F168" t="inlineStr">
        <is>
          <t>VÄSTERNORRLANDS LÄN</t>
        </is>
      </c>
      <c r="G168" t="inlineStr">
        <is>
          <t>HÄRNÖSAND</t>
        </is>
      </c>
      <c r="I168" t="n">
        <v>11.9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46263</v>
      </c>
      <c r="F169" t="inlineStr">
        <is>
          <t>VÄSTERNORRLANDS LÄN</t>
        </is>
      </c>
      <c r="G169" t="inlineStr">
        <is>
          <t>HÄRNÖSAND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46263</v>
      </c>
      <c r="F170" t="inlineStr">
        <is>
          <t>VÄSTERNORRLANDS LÄN</t>
        </is>
      </c>
      <c r="G170" t="inlineStr">
        <is>
          <t>HÄRNÖSAND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45433</v>
      </c>
      <c r="E171" s="1" t="n">
        <v>46263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46263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46263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41562-2025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45901</v>
      </c>
      <c r="E174" s="1" t="n">
        <v>46263</v>
      </c>
      <c r="F174" t="inlineStr">
        <is>
          <t>VÄSTERNORRLANDS LÄN</t>
        </is>
      </c>
      <c r="G174" t="inlineStr">
        <is>
          <t>HÄRNÖSAND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46263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32180-2024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45511</v>
      </c>
      <c r="E176" s="1" t="n">
        <v>46263</v>
      </c>
      <c r="F176" t="inlineStr">
        <is>
          <t>VÄSTERNORRLANDS LÄN</t>
        </is>
      </c>
      <c r="G176" t="inlineStr">
        <is>
          <t>HÄRNÖSAND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46263</v>
      </c>
      <c r="F177" t="inlineStr">
        <is>
          <t>VÄSTERNORRLANDS LÄN</t>
        </is>
      </c>
      <c r="G177" t="inlineStr">
        <is>
          <t>HÄRNÖSAND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46263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44865</v>
      </c>
      <c r="E179" s="1" t="n">
        <v>46263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46263</v>
      </c>
      <c r="F180" t="inlineStr">
        <is>
          <t>VÄSTERNORRLANDS LÄN</t>
        </is>
      </c>
      <c r="G180" t="inlineStr">
        <is>
          <t>HÄRNÖSAND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46263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46263</v>
      </c>
      <c r="F182" t="inlineStr">
        <is>
          <t>VÄSTERNORRLANDS LÄN</t>
        </is>
      </c>
      <c r="G182" t="inlineStr">
        <is>
          <t>HÄRNÖSAND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46263</v>
      </c>
      <c r="F183" t="inlineStr">
        <is>
          <t>VÄSTERNORRLANDS LÄN</t>
        </is>
      </c>
      <c r="G183" t="inlineStr">
        <is>
          <t>HÄRNÖSAND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46263</v>
      </c>
      <c r="F184" t="inlineStr">
        <is>
          <t>VÄSTERNORRLANDS LÄN</t>
        </is>
      </c>
      <c r="G184" t="inlineStr">
        <is>
          <t>HÄRNÖSAND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46263</v>
      </c>
      <c r="F185" t="inlineStr">
        <is>
          <t>VÄSTERNORRLANDS LÄN</t>
        </is>
      </c>
      <c r="G185" t="inlineStr">
        <is>
          <t>HÄRNÖSAND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46263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46263</v>
      </c>
      <c r="F187" t="inlineStr">
        <is>
          <t>VÄSTERNORRLANDS LÄN</t>
        </is>
      </c>
      <c r="G187" t="inlineStr">
        <is>
          <t>HÄRNÖSAND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46263</v>
      </c>
      <c r="F188" t="inlineStr">
        <is>
          <t>VÄSTERNORRLANDS LÄN</t>
        </is>
      </c>
      <c r="G188" t="inlineStr">
        <is>
          <t>HÄRNÖSAND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46263</v>
      </c>
      <c r="F189" t="inlineStr">
        <is>
          <t>VÄSTERNORRLANDS LÄN</t>
        </is>
      </c>
      <c r="G189" t="inlineStr">
        <is>
          <t>HÄRNÖSAND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46263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46263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46263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46263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46263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46263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44498</v>
      </c>
      <c r="E196" s="1" t="n">
        <v>46263</v>
      </c>
      <c r="F196" t="inlineStr">
        <is>
          <t>VÄSTERNORRLANDS LÄN</t>
        </is>
      </c>
      <c r="G196" t="inlineStr">
        <is>
          <t>HÄRNÖSAND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47550-2022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46263</v>
      </c>
      <c r="F197" t="inlineStr">
        <is>
          <t>VÄSTERNORRLANDS LÄN</t>
        </is>
      </c>
      <c r="G197" t="inlineStr">
        <is>
          <t>HÄRNÖSAND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46263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46263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46263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45919</v>
      </c>
      <c r="E201" s="1" t="n">
        <v>46263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46263</v>
      </c>
      <c r="F202" t="inlineStr">
        <is>
          <t>VÄSTERNORRLANDS LÄN</t>
        </is>
      </c>
      <c r="G202" t="inlineStr">
        <is>
          <t>HÄRNÖSAND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46263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55583-2021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46263</v>
      </c>
      <c r="F204" t="inlineStr">
        <is>
          <t>VÄSTERNORRLANDS LÄN</t>
        </is>
      </c>
      <c r="G204" t="inlineStr">
        <is>
          <t>HÄRNÖSAND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46263</v>
      </c>
      <c r="F205" t="inlineStr">
        <is>
          <t>VÄSTERNORRLANDS LÄN</t>
        </is>
      </c>
      <c r="G205" t="inlineStr">
        <is>
          <t>HÄRNÖSAND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46263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46263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46263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46263</v>
      </c>
      <c r="F209" t="inlineStr">
        <is>
          <t>VÄSTERNORRLANDS LÄN</t>
        </is>
      </c>
      <c r="G209" t="inlineStr">
        <is>
          <t>HÄRNÖSAND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46263</v>
      </c>
      <c r="F210" t="inlineStr">
        <is>
          <t>VÄSTERNORRLANDS LÄN</t>
        </is>
      </c>
      <c r="G210" t="inlineStr">
        <is>
          <t>HÄRNÖSAND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46263</v>
      </c>
      <c r="F211" t="inlineStr">
        <is>
          <t>VÄSTERNORRLANDS LÄN</t>
        </is>
      </c>
      <c r="G211" t="inlineStr">
        <is>
          <t>HÄRNÖSAND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46263</v>
      </c>
      <c r="F212" t="inlineStr">
        <is>
          <t>VÄSTERNORRLANDS LÄN</t>
        </is>
      </c>
      <c r="G212" t="inlineStr">
        <is>
          <t>HÄRNÖSAND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46263</v>
      </c>
      <c r="F213" t="inlineStr">
        <is>
          <t>VÄSTERNORRLANDS LÄN</t>
        </is>
      </c>
      <c r="G213" t="inlineStr">
        <is>
          <t>HÄRNÖSAND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46263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69269-2021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46263</v>
      </c>
      <c r="F215" t="inlineStr">
        <is>
          <t>VÄSTERNORRLANDS LÄN</t>
        </is>
      </c>
      <c r="G215" t="inlineStr">
        <is>
          <t>HÄRNÖSAND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45981-2025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46263</v>
      </c>
      <c r="F216" t="inlineStr">
        <is>
          <t>VÄSTERNORRLANDS LÄN</t>
        </is>
      </c>
      <c r="G216" t="inlineStr">
        <is>
          <t>HÄRNÖSAND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46263</v>
      </c>
      <c r="F217" t="inlineStr">
        <is>
          <t>VÄSTERNORRLANDS LÄN</t>
        </is>
      </c>
      <c r="G217" t="inlineStr">
        <is>
          <t>HÄRNÖSAND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46263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46263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46263</v>
      </c>
      <c r="F220" t="inlineStr">
        <is>
          <t>VÄSTERNORRLANDS LÄN</t>
        </is>
      </c>
      <c r="G220" t="inlineStr">
        <is>
          <t>HÄRNÖSAND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46263</v>
      </c>
      <c r="F221" t="inlineStr">
        <is>
          <t>VÄSTERNORRLANDS LÄN</t>
        </is>
      </c>
      <c r="G221" t="inlineStr">
        <is>
          <t>HÄRNÖSAND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46263</v>
      </c>
      <c r="F222" t="inlineStr">
        <is>
          <t>VÄSTERNORRLANDS LÄN</t>
        </is>
      </c>
      <c r="G222" t="inlineStr">
        <is>
          <t>HÄRNÖSAND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45681-2021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44441</v>
      </c>
      <c r="E223" s="1" t="n">
        <v>46263</v>
      </c>
      <c r="F223" t="inlineStr">
        <is>
          <t>VÄSTERNORRLANDS LÄN</t>
        </is>
      </c>
      <c r="G223" t="inlineStr">
        <is>
          <t>HÄRNÖSAND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46263</v>
      </c>
      <c r="F224" t="inlineStr">
        <is>
          <t>VÄSTERNORRLANDS LÄN</t>
        </is>
      </c>
      <c r="G224" t="inlineStr">
        <is>
          <t>HÄRNÖSAND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46263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46263</v>
      </c>
      <c r="F226" t="inlineStr">
        <is>
          <t>VÄSTERNORRLANDS LÄN</t>
        </is>
      </c>
      <c r="G226" t="inlineStr">
        <is>
          <t>HÄRNÖSAND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46263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45205</v>
      </c>
      <c r="E228" s="1" t="n">
        <v>46263</v>
      </c>
      <c r="F228" t="inlineStr">
        <is>
          <t>VÄSTERNORRLANDS LÄN</t>
        </is>
      </c>
      <c r="G228" t="inlineStr">
        <is>
          <t>HÄRNÖSAND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49039-2023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45209</v>
      </c>
      <c r="E229" s="1" t="n">
        <v>46263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45987</v>
      </c>
      <c r="E230" s="1" t="n">
        <v>46263</v>
      </c>
      <c r="F230" t="inlineStr">
        <is>
          <t>VÄSTERNORRLANDS LÄN</t>
        </is>
      </c>
      <c r="G230" t="inlineStr">
        <is>
          <t>HÄRNÖSAND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59073-2022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46263</v>
      </c>
      <c r="F231" t="inlineStr">
        <is>
          <t>VÄSTERNORRLANDS LÄN</t>
        </is>
      </c>
      <c r="G231" t="inlineStr">
        <is>
          <t>HÄRNÖSAND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46263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46263</v>
      </c>
      <c r="F233" t="inlineStr">
        <is>
          <t>VÄSTERNORRLANDS LÄN</t>
        </is>
      </c>
      <c r="G233" t="inlineStr">
        <is>
          <t>HÄRNÖSAND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46263</v>
      </c>
      <c r="F234" t="inlineStr">
        <is>
          <t>VÄSTERNORRLANDS LÄN</t>
        </is>
      </c>
      <c r="G234" t="inlineStr">
        <is>
          <t>HÄRNÖSAND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46263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46263</v>
      </c>
      <c r="F236" t="inlineStr">
        <is>
          <t>VÄSTERNORRLANDS LÄN</t>
        </is>
      </c>
      <c r="G236" t="inlineStr">
        <is>
          <t>HÄRNÖSAND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46263</v>
      </c>
      <c r="F237" t="inlineStr">
        <is>
          <t>VÄSTERNORRLANDS LÄN</t>
        </is>
      </c>
      <c r="G237" t="inlineStr">
        <is>
          <t>HÄRNÖSAND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46263</v>
      </c>
      <c r="F238" t="inlineStr">
        <is>
          <t>VÄSTERNORRLANDS LÄN</t>
        </is>
      </c>
      <c r="G238" t="inlineStr">
        <is>
          <t>HÄRNÖSAND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46263</v>
      </c>
      <c r="F239" t="inlineStr">
        <is>
          <t>VÄSTERNORRLANDS LÄN</t>
        </is>
      </c>
      <c r="G239" t="inlineStr">
        <is>
          <t>HÄRNÖSAND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46263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54251-2022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44881</v>
      </c>
      <c r="E241" s="1" t="n">
        <v>46263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46263</v>
      </c>
      <c r="F242" t="inlineStr">
        <is>
          <t>VÄSTERNORRLANDS LÄN</t>
        </is>
      </c>
      <c r="G242" t="inlineStr">
        <is>
          <t>HÄRNÖSAND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49625-2025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45939</v>
      </c>
      <c r="E243" s="1" t="n">
        <v>46263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46263</v>
      </c>
      <c r="F244" t="inlineStr">
        <is>
          <t>VÄSTERNORRLANDS LÄN</t>
        </is>
      </c>
      <c r="G244" t="inlineStr">
        <is>
          <t>HÄRNÖSAND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46263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46263</v>
      </c>
      <c r="F246" t="inlineStr">
        <is>
          <t>VÄSTERNORRLANDS LÄN</t>
        </is>
      </c>
      <c r="G246" t="inlineStr">
        <is>
          <t>HÄRNÖSAND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46263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46263</v>
      </c>
      <c r="F248" t="inlineStr">
        <is>
          <t>VÄSTERNORRLANDS LÄN</t>
        </is>
      </c>
      <c r="G248" t="inlineStr">
        <is>
          <t>HÄRNÖSAND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46263</v>
      </c>
      <c r="F249" t="inlineStr">
        <is>
          <t>VÄSTERNORRLANDS LÄN</t>
        </is>
      </c>
      <c r="G249" t="inlineStr">
        <is>
          <t>HÄRNÖSAND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46263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Övriga statliga verk och myndigheter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46263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46263</v>
      </c>
      <c r="F252" t="inlineStr">
        <is>
          <t>VÄSTERNORRLANDS LÄN</t>
        </is>
      </c>
      <c r="G252" t="inlineStr">
        <is>
          <t>HÄRNÖSAND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46263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45825</v>
      </c>
      <c r="E254" s="1" t="n">
        <v>46263</v>
      </c>
      <c r="F254" t="inlineStr">
        <is>
          <t>VÄSTERNORRLANDS LÄN</t>
        </is>
      </c>
      <c r="G254" t="inlineStr">
        <is>
          <t>HÄRNÖSAND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46263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46263</v>
      </c>
      <c r="F256" t="inlineStr">
        <is>
          <t>VÄSTERNORRLANDS LÄN</t>
        </is>
      </c>
      <c r="G256" t="inlineStr">
        <is>
          <t>HÄRNÖSAND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46263</v>
      </c>
      <c r="F257" t="inlineStr">
        <is>
          <t>VÄSTERNORRLANDS LÄN</t>
        </is>
      </c>
      <c r="G257" t="inlineStr">
        <is>
          <t>HÄRNÖSAND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46263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46263</v>
      </c>
      <c r="F259" t="inlineStr">
        <is>
          <t>VÄSTERNORRLANDS LÄN</t>
        </is>
      </c>
      <c r="G259" t="inlineStr">
        <is>
          <t>HÄRNÖSAND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46263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46263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46263</v>
      </c>
      <c r="F262" t="inlineStr">
        <is>
          <t>VÄSTERNORRLANDS LÄN</t>
        </is>
      </c>
      <c r="G262" t="inlineStr">
        <is>
          <t>HÄRNÖSAND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46263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46263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45833</v>
      </c>
      <c r="E265" s="1" t="n">
        <v>46263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46263</v>
      </c>
      <c r="F266" t="inlineStr">
        <is>
          <t>VÄSTERNORRLANDS LÄN</t>
        </is>
      </c>
      <c r="G266" t="inlineStr">
        <is>
          <t>HÄRNÖSAND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45837</v>
      </c>
      <c r="E267" s="1" t="n">
        <v>46263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46263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46263</v>
      </c>
      <c r="F269" t="inlineStr">
        <is>
          <t>VÄSTERNORRLANDS LÄN</t>
        </is>
      </c>
      <c r="G269" t="inlineStr">
        <is>
          <t>HÄRNÖSAND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46263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46263</v>
      </c>
      <c r="F271" t="inlineStr">
        <is>
          <t>VÄSTERNORRLANDS LÄN</t>
        </is>
      </c>
      <c r="G271" t="inlineStr">
        <is>
          <t>HÄRNÖSAND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46263</v>
      </c>
      <c r="F272" t="inlineStr">
        <is>
          <t>VÄSTERNORRLANDS LÄN</t>
        </is>
      </c>
      <c r="G272" t="inlineStr">
        <is>
          <t>HÄRNÖSAND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45505</v>
      </c>
      <c r="E273" s="1" t="n">
        <v>46263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46263</v>
      </c>
      <c r="F274" t="inlineStr">
        <is>
          <t>VÄSTERNORRLANDS LÄN</t>
        </is>
      </c>
      <c r="G274" t="inlineStr">
        <is>
          <t>HÄRNÖSAND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44755</v>
      </c>
      <c r="E275" s="1" t="n">
        <v>46263</v>
      </c>
      <c r="F275" t="inlineStr">
        <is>
          <t>VÄSTERNORRLANDS LÄN</t>
        </is>
      </c>
      <c r="G275" t="inlineStr">
        <is>
          <t>HÄRNÖSAND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46263</v>
      </c>
      <c r="F276" t="inlineStr">
        <is>
          <t>VÄSTERNORRLANDS LÄN</t>
        </is>
      </c>
      <c r="G276" t="inlineStr">
        <is>
          <t>HÄRNÖSAND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46263</v>
      </c>
      <c r="F277" t="inlineStr">
        <is>
          <t>VÄSTERNORRLANDS LÄN</t>
        </is>
      </c>
      <c r="G277" t="inlineStr">
        <is>
          <t>HÄRNÖSAND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44747</v>
      </c>
      <c r="E278" s="1" t="n">
        <v>46263</v>
      </c>
      <c r="F278" t="inlineStr">
        <is>
          <t>VÄSTERNORRLANDS LÄN</t>
        </is>
      </c>
      <c r="G278" t="inlineStr">
        <is>
          <t>HÄRNÖSAND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46263</v>
      </c>
      <c r="F279" t="inlineStr">
        <is>
          <t>VÄSTERNORRLANDS LÄN</t>
        </is>
      </c>
      <c r="G279" t="inlineStr">
        <is>
          <t>HÄRNÖSAND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34751-2025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45848</v>
      </c>
      <c r="E280" s="1" t="n">
        <v>46263</v>
      </c>
      <c r="F280" t="inlineStr">
        <is>
          <t>VÄSTERNORRLANDS LÄN</t>
        </is>
      </c>
      <c r="G280" t="inlineStr">
        <is>
          <t>HÄRNÖSAND</t>
        </is>
      </c>
      <c r="I280" t="n">
        <v>8.699999999999999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46263</v>
      </c>
      <c r="F281" t="inlineStr">
        <is>
          <t>VÄSTERNORRLANDS LÄN</t>
        </is>
      </c>
      <c r="G281" t="inlineStr">
        <is>
          <t>HÄRNÖSAND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46263</v>
      </c>
      <c r="F282" t="inlineStr">
        <is>
          <t>VÄSTERNORRLANDS LÄN</t>
        </is>
      </c>
      <c r="G282" t="inlineStr">
        <is>
          <t>HÄRNÖSAND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45853</v>
      </c>
      <c r="E283" s="1" t="n">
        <v>46263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46263</v>
      </c>
      <c r="F284" t="inlineStr">
        <is>
          <t>VÄSTERNORRLANDS LÄN</t>
        </is>
      </c>
      <c r="G284" t="inlineStr">
        <is>
          <t>HÄRNÖSAND</t>
        </is>
      </c>
      <c r="I284" t="n">
        <v>18.7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46263</v>
      </c>
      <c r="F285" t="inlineStr">
        <is>
          <t>VÄSTERNORRLANDS LÄN</t>
        </is>
      </c>
      <c r="G285" t="inlineStr">
        <is>
          <t>HÄRNÖSAND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46263</v>
      </c>
      <c r="F286" t="inlineStr">
        <is>
          <t>VÄSTERNORRLANDS LÄN</t>
        </is>
      </c>
      <c r="G286" t="inlineStr">
        <is>
          <t>HÄRNÖSAND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46263</v>
      </c>
      <c r="F287" t="inlineStr">
        <is>
          <t>VÄSTERNORRLANDS LÄN</t>
        </is>
      </c>
      <c r="G287" t="inlineStr">
        <is>
          <t>HÄRNÖSAND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46263</v>
      </c>
      <c r="F288" t="inlineStr">
        <is>
          <t>VÄSTERNORRLANDS LÄN</t>
        </is>
      </c>
      <c r="G288" t="inlineStr">
        <is>
          <t>HÄRNÖSAND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46263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Kyrkan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46263</v>
      </c>
      <c r="F290" t="inlineStr">
        <is>
          <t>VÄSTERNORRLANDS LÄN</t>
        </is>
      </c>
      <c r="G290" t="inlineStr">
        <is>
          <t>HÄRNÖSAND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45015</v>
      </c>
      <c r="E291" s="1" t="n">
        <v>46263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46263</v>
      </c>
      <c r="F292" t="inlineStr">
        <is>
          <t>VÄSTERNORRLANDS LÄN</t>
        </is>
      </c>
      <c r="G292" t="inlineStr">
        <is>
          <t>HÄRNÖSAND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46263</v>
      </c>
      <c r="F293" t="inlineStr">
        <is>
          <t>VÄSTERNORRLANDS LÄN</t>
        </is>
      </c>
      <c r="G293" t="inlineStr">
        <is>
          <t>HÄRNÖSAND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46263</v>
      </c>
      <c r="F294" t="inlineStr">
        <is>
          <t>VÄSTERNORRLANDS LÄN</t>
        </is>
      </c>
      <c r="G294" t="inlineStr">
        <is>
          <t>HÄRNÖSAND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46263</v>
      </c>
      <c r="F295" t="inlineStr">
        <is>
          <t>VÄSTERNORRLANDS LÄN</t>
        </is>
      </c>
      <c r="G295" t="inlineStr">
        <is>
          <t>HÄRNÖSAND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46263</v>
      </c>
      <c r="F296" t="inlineStr">
        <is>
          <t>VÄSTERNORRLANDS LÄN</t>
        </is>
      </c>
      <c r="G296" t="inlineStr">
        <is>
          <t>HÄRNÖSAND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46263</v>
      </c>
      <c r="F297" t="inlineStr">
        <is>
          <t>VÄSTERNORRLANDS LÄN</t>
        </is>
      </c>
      <c r="G297" t="inlineStr">
        <is>
          <t>HÄRNÖSAND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46263</v>
      </c>
      <c r="F298" t="inlineStr">
        <is>
          <t>VÄSTERNORRLANDS LÄN</t>
        </is>
      </c>
      <c r="G298" t="inlineStr">
        <is>
          <t>HÄRNÖSAND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46263</v>
      </c>
      <c r="F299" t="inlineStr">
        <is>
          <t>VÄSTERNORRLANDS LÄN</t>
        </is>
      </c>
      <c r="G299" t="inlineStr">
        <is>
          <t>HÄRNÖSAND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44971</v>
      </c>
      <c r="E300" s="1" t="n">
        <v>46263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59408-2024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45638</v>
      </c>
      <c r="E301" s="1" t="n">
        <v>46263</v>
      </c>
      <c r="F301" t="inlineStr">
        <is>
          <t>VÄSTERNORRLANDS LÄN</t>
        </is>
      </c>
      <c r="G301" t="inlineStr">
        <is>
          <t>HÄRNÖSAND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46263</v>
      </c>
      <c r="F302" t="inlineStr">
        <is>
          <t>VÄSTERNORRLANDS LÄN</t>
        </is>
      </c>
      <c r="G302" t="inlineStr">
        <is>
          <t>HÄRNÖSAND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27912-2022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44743</v>
      </c>
      <c r="E303" s="1" t="n">
        <v>46263</v>
      </c>
      <c r="F303" t="inlineStr">
        <is>
          <t>VÄSTERNORRLANDS LÄN</t>
        </is>
      </c>
      <c r="G303" t="inlineStr">
        <is>
          <t>HÄRNÖSAND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44847</v>
      </c>
      <c r="E304" s="1" t="n">
        <v>46263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46263</v>
      </c>
      <c r="F305" t="inlineStr">
        <is>
          <t>VÄSTERNORRLANDS LÄN</t>
        </is>
      </c>
      <c r="G305" t="inlineStr">
        <is>
          <t>HÄRNÖSAND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46263</v>
      </c>
      <c r="F306" t="inlineStr">
        <is>
          <t>VÄSTERNORRLANDS LÄN</t>
        </is>
      </c>
      <c r="G306" t="inlineStr">
        <is>
          <t>HÄRNÖSAND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40452-2023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45168</v>
      </c>
      <c r="E307" s="1" t="n">
        <v>46263</v>
      </c>
      <c r="F307" t="inlineStr">
        <is>
          <t>VÄSTERNORRLANDS LÄN</t>
        </is>
      </c>
      <c r="G307" t="inlineStr">
        <is>
          <t>HÄRNÖSAND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44853</v>
      </c>
      <c r="E308" s="1" t="n">
        <v>46263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45138</v>
      </c>
      <c r="E309" s="1" t="n">
        <v>46263</v>
      </c>
      <c r="F309" t="inlineStr">
        <is>
          <t>VÄSTERNORRLANDS LÄN</t>
        </is>
      </c>
      <c r="G309" t="inlineStr">
        <is>
          <t>HÄRNÖSAND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46263</v>
      </c>
      <c r="F310" t="inlineStr">
        <is>
          <t>VÄSTERNORRLANDS LÄN</t>
        </is>
      </c>
      <c r="G310" t="inlineStr">
        <is>
          <t>HÄRNÖSAND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46263</v>
      </c>
      <c r="F311" t="inlineStr">
        <is>
          <t>VÄSTERNORRLANDS LÄN</t>
        </is>
      </c>
      <c r="G311" t="inlineStr">
        <is>
          <t>HÄRNÖSAND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46263</v>
      </c>
      <c r="F312" t="inlineStr">
        <is>
          <t>VÄSTERNORRLANDS LÄN</t>
        </is>
      </c>
      <c r="G312" t="inlineStr">
        <is>
          <t>HÄRNÖSAND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46263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46263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46263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46263</v>
      </c>
      <c r="F316" t="inlineStr">
        <is>
          <t>VÄSTERNORRLANDS LÄN</t>
        </is>
      </c>
      <c r="G316" t="inlineStr">
        <is>
          <t>HÄRNÖSAND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46263</v>
      </c>
      <c r="F317" t="inlineStr">
        <is>
          <t>VÄSTERNORRLANDS LÄN</t>
        </is>
      </c>
      <c r="G317" t="inlineStr">
        <is>
          <t>HÄRNÖSAND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46023</v>
      </c>
      <c r="E318" s="1" t="n">
        <v>46263</v>
      </c>
      <c r="F318" t="inlineStr">
        <is>
          <t>VÄSTERNORRLANDS LÄN</t>
        </is>
      </c>
      <c r="G318" t="inlineStr">
        <is>
          <t>HÄRNÖSAND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46263</v>
      </c>
      <c r="F319" t="inlineStr">
        <is>
          <t>VÄSTERNORRLANDS LÄN</t>
        </is>
      </c>
      <c r="G319" t="inlineStr">
        <is>
          <t>HÄRNÖSAND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46263</v>
      </c>
      <c r="F320" t="inlineStr">
        <is>
          <t>VÄSTERNORRLANDS LÄN</t>
        </is>
      </c>
      <c r="G320" t="inlineStr">
        <is>
          <t>HÄRNÖSAND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46023</v>
      </c>
      <c r="E321" s="1" t="n">
        <v>46263</v>
      </c>
      <c r="F321" t="inlineStr">
        <is>
          <t>VÄSTERNORRLANDS LÄN</t>
        </is>
      </c>
      <c r="G321" t="inlineStr">
        <is>
          <t>HÄRNÖSAND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46023</v>
      </c>
      <c r="E322" s="1" t="n">
        <v>46263</v>
      </c>
      <c r="F322" t="inlineStr">
        <is>
          <t>VÄSTERNORRLANDS LÄN</t>
        </is>
      </c>
      <c r="G322" t="inlineStr">
        <is>
          <t>HÄRNÖSAND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46024</v>
      </c>
      <c r="E323" s="1" t="n">
        <v>46263</v>
      </c>
      <c r="F323" t="inlineStr">
        <is>
          <t>VÄSTERNORRLANDS LÄN</t>
        </is>
      </c>
      <c r="G323" t="inlineStr">
        <is>
          <t>HÄRNÖSAND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46263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45685</v>
      </c>
      <c r="E325" s="1" t="n">
        <v>46263</v>
      </c>
      <c r="F325" t="inlineStr">
        <is>
          <t>VÄSTERNORRLANDS LÄN</t>
        </is>
      </c>
      <c r="G325" t="inlineStr">
        <is>
          <t>HÄRNÖSAND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46263</v>
      </c>
      <c r="F326" t="inlineStr">
        <is>
          <t>VÄSTERNORRLANDS LÄN</t>
        </is>
      </c>
      <c r="G326" t="inlineStr">
        <is>
          <t>HÄRNÖSAND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46263</v>
      </c>
      <c r="F327" t="inlineStr">
        <is>
          <t>VÄSTERNORRLANDS LÄN</t>
        </is>
      </c>
      <c r="G327" t="inlineStr">
        <is>
          <t>HÄRNÖSAND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7061-2022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44603</v>
      </c>
      <c r="E328" s="1" t="n">
        <v>46263</v>
      </c>
      <c r="F328" t="inlineStr">
        <is>
          <t>VÄSTERNORRLANDS LÄN</t>
        </is>
      </c>
      <c r="G328" t="inlineStr">
        <is>
          <t>HÄRNÖSAND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47702-2021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44448</v>
      </c>
      <c r="E329" s="1" t="n">
        <v>46263</v>
      </c>
      <c r="F329" t="inlineStr">
        <is>
          <t>VÄSTERNORRLANDS LÄN</t>
        </is>
      </c>
      <c r="G329" t="inlineStr">
        <is>
          <t>HÄRNÖSAND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45044</v>
      </c>
      <c r="E330" s="1" t="n">
        <v>46263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46263</v>
      </c>
      <c r="F331" t="inlineStr">
        <is>
          <t>VÄSTERNORRLANDS LÄN</t>
        </is>
      </c>
      <c r="G331" t="inlineStr">
        <is>
          <t>HÄRNÖSAND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46263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46263</v>
      </c>
      <c r="F333" t="inlineStr">
        <is>
          <t>VÄSTERNORRLANDS LÄN</t>
        </is>
      </c>
      <c r="G333" t="inlineStr">
        <is>
          <t>HÄRNÖSAND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46026</v>
      </c>
      <c r="E334" s="1" t="n">
        <v>46263</v>
      </c>
      <c r="F334" t="inlineStr">
        <is>
          <t>VÄSTERNORRLANDS LÄN</t>
        </is>
      </c>
      <c r="G334" t="inlineStr">
        <is>
          <t>HÄRNÖSAND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46029</v>
      </c>
      <c r="E335" s="1" t="n">
        <v>46263</v>
      </c>
      <c r="F335" t="inlineStr">
        <is>
          <t>VÄSTERNORRLANDS LÄN</t>
        </is>
      </c>
      <c r="G335" t="inlineStr">
        <is>
          <t>HÄRNÖSAND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46263</v>
      </c>
      <c r="F336" t="inlineStr">
        <is>
          <t>VÄSTERNORRLANDS LÄN</t>
        </is>
      </c>
      <c r="G336" t="inlineStr">
        <is>
          <t>HÄRNÖSAND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46263</v>
      </c>
      <c r="F337" t="inlineStr">
        <is>
          <t>VÄSTERNORRLANDS LÄN</t>
        </is>
      </c>
      <c r="G337" t="inlineStr">
        <is>
          <t>HÄRNÖSAND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46263</v>
      </c>
      <c r="F338" t="inlineStr">
        <is>
          <t>VÄSTERNORRLANDS LÄN</t>
        </is>
      </c>
      <c r="G338" t="inlineStr">
        <is>
          <t>HÄRNÖSAND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46263</v>
      </c>
      <c r="F339" t="inlineStr">
        <is>
          <t>VÄSTERNORRLANDS LÄN</t>
        </is>
      </c>
      <c r="G339" t="inlineStr">
        <is>
          <t>HÄRNÖSAND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46263</v>
      </c>
      <c r="F340" t="inlineStr">
        <is>
          <t>VÄSTERNORRLANDS LÄN</t>
        </is>
      </c>
      <c r="G340" t="inlineStr">
        <is>
          <t>HÄRNÖSAND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46263</v>
      </c>
      <c r="F341" t="inlineStr">
        <is>
          <t>VÄSTERNORRLANDS LÄN</t>
        </is>
      </c>
      <c r="G341" t="inlineStr">
        <is>
          <t>HÄRNÖSAND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46273-2021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44442</v>
      </c>
      <c r="E342" s="1" t="n">
        <v>46263</v>
      </c>
      <c r="F342" t="inlineStr">
        <is>
          <t>VÄSTERNORRLANDS LÄN</t>
        </is>
      </c>
      <c r="G342" t="inlineStr">
        <is>
          <t>HÄRNÖSAND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46263</v>
      </c>
      <c r="F343" t="inlineStr">
        <is>
          <t>VÄSTERNORRLANDS LÄN</t>
        </is>
      </c>
      <c r="G343" t="inlineStr">
        <is>
          <t>HÄRNÖSAND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46263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46263</v>
      </c>
      <c r="F345" t="inlineStr">
        <is>
          <t>VÄSTERNORRLANDS LÄN</t>
        </is>
      </c>
      <c r="G345" t="inlineStr">
        <is>
          <t>HÄRNÖSAND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46263</v>
      </c>
      <c r="F346" t="inlineStr">
        <is>
          <t>VÄSTERNORRLANDS LÄN</t>
        </is>
      </c>
      <c r="G346" t="inlineStr">
        <is>
          <t>HÄRNÖSAND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46263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Övriga statliga verk och myndigheter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46263</v>
      </c>
      <c r="F348" t="inlineStr">
        <is>
          <t>VÄSTERNORRLANDS LÄN</t>
        </is>
      </c>
      <c r="G348" t="inlineStr">
        <is>
          <t>HÄRNÖSAND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46263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46263</v>
      </c>
      <c r="F350" t="inlineStr">
        <is>
          <t>VÄSTERNORRLANDS LÄN</t>
        </is>
      </c>
      <c r="G350" t="inlineStr">
        <is>
          <t>HÄRNÖSAND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46263</v>
      </c>
      <c r="F351" t="inlineStr">
        <is>
          <t>VÄSTERNORRLANDS LÄN</t>
        </is>
      </c>
      <c r="G351" t="inlineStr">
        <is>
          <t>HÄRNÖSAND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46263</v>
      </c>
      <c r="F352" t="inlineStr">
        <is>
          <t>VÄSTERNORRLANDS LÄN</t>
        </is>
      </c>
      <c r="G352" t="inlineStr">
        <is>
          <t>HÄRNÖSAND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46263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46054</v>
      </c>
      <c r="E354" s="1" t="n">
        <v>46263</v>
      </c>
      <c r="F354" t="inlineStr">
        <is>
          <t>VÄSTERNORRLANDS LÄN</t>
        </is>
      </c>
      <c r="G354" t="inlineStr">
        <is>
          <t>HÄRNÖSAND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46263</v>
      </c>
      <c r="F355" t="inlineStr">
        <is>
          <t>VÄSTERNORRLANDS LÄN</t>
        </is>
      </c>
      <c r="G355" t="inlineStr">
        <is>
          <t>HÄRNÖSAND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46263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45723</v>
      </c>
      <c r="E357" s="1" t="n">
        <v>46263</v>
      </c>
      <c r="F357" t="inlineStr">
        <is>
          <t>VÄSTERNORRLANDS LÄN</t>
        </is>
      </c>
      <c r="G357" t="inlineStr">
        <is>
          <t>HÄRNÖSAND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46263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44991</v>
      </c>
      <c r="E359" s="1" t="n">
        <v>46263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45293</v>
      </c>
      <c r="E360" s="1" t="n">
        <v>46263</v>
      </c>
      <c r="F360" t="inlineStr">
        <is>
          <t>VÄSTERNORRLANDS LÄN</t>
        </is>
      </c>
      <c r="G360" t="inlineStr">
        <is>
          <t>HÄRNÖSAND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61574-2021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44497</v>
      </c>
      <c r="E361" s="1" t="n">
        <v>46263</v>
      </c>
      <c r="F361" t="inlineStr">
        <is>
          <t>VÄSTERNORRLANDS LÄN</t>
        </is>
      </c>
      <c r="G361" t="inlineStr">
        <is>
          <t>HÄRNÖSAND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46263</v>
      </c>
      <c r="F362" t="inlineStr">
        <is>
          <t>VÄSTERNORRLANDS LÄN</t>
        </is>
      </c>
      <c r="G362" t="inlineStr">
        <is>
          <t>HÄRNÖSAND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46263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Kyrkan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46263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61776-2023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45265</v>
      </c>
      <c r="E365" s="1" t="n">
        <v>46263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46263</v>
      </c>
      <c r="F366" t="inlineStr">
        <is>
          <t>VÄSTERNORRLANDS LÄN</t>
        </is>
      </c>
      <c r="G366" t="inlineStr">
        <is>
          <t>HÄRNÖSAND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46263</v>
      </c>
      <c r="F367" t="inlineStr">
        <is>
          <t>VÄSTERNORRLANDS LÄN</t>
        </is>
      </c>
      <c r="G367" t="inlineStr">
        <is>
          <t>HÄRNÖSAND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45409</v>
      </c>
      <c r="E368" s="1" t="n">
        <v>46263</v>
      </c>
      <c r="F368" t="inlineStr">
        <is>
          <t>VÄSTERNORRLANDS LÄN</t>
        </is>
      </c>
      <c r="G368" t="inlineStr">
        <is>
          <t>HÄRNÖSAND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44819</v>
      </c>
      <c r="E369" s="1" t="n">
        <v>46263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64023-2023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45278</v>
      </c>
      <c r="E370" s="1" t="n">
        <v>46263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46263</v>
      </c>
      <c r="F371" t="inlineStr">
        <is>
          <t>VÄSTERNORRLANDS LÄN</t>
        </is>
      </c>
      <c r="G371" t="inlineStr">
        <is>
          <t>HÄRNÖSAND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46263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Kyrkan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46263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Kyrkan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46263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Kyrkan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46263</v>
      </c>
      <c r="F375" t="inlineStr">
        <is>
          <t>VÄSTERNORRLANDS LÄN</t>
        </is>
      </c>
      <c r="G375" t="inlineStr">
        <is>
          <t>HÄRNÖSAND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46065</v>
      </c>
      <c r="E376" s="1" t="n">
        <v>46263</v>
      </c>
      <c r="F376" t="inlineStr">
        <is>
          <t>VÄSTERNORRLANDS LÄN</t>
        </is>
      </c>
      <c r="G376" t="inlineStr">
        <is>
          <t>HÄRNÖSAND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46070</v>
      </c>
      <c r="E377" s="1" t="n">
        <v>46263</v>
      </c>
      <c r="F377" t="inlineStr">
        <is>
          <t>VÄSTERNORRLANDS LÄN</t>
        </is>
      </c>
      <c r="G377" t="inlineStr">
        <is>
          <t>HÄRNÖSAND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46070</v>
      </c>
      <c r="E378" s="1" t="n">
        <v>46263</v>
      </c>
      <c r="F378" t="inlineStr">
        <is>
          <t>VÄSTERNORRLANDS LÄN</t>
        </is>
      </c>
      <c r="G378" t="inlineStr">
        <is>
          <t>HÄRNÖSAND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46263</v>
      </c>
      <c r="F379" t="inlineStr">
        <is>
          <t>VÄSTERNORRLANDS LÄN</t>
        </is>
      </c>
      <c r="G379" t="inlineStr">
        <is>
          <t>HÄRNÖSAND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46070</v>
      </c>
      <c r="E380" s="1" t="n">
        <v>46263</v>
      </c>
      <c r="F380" t="inlineStr">
        <is>
          <t>VÄSTERNORRLANDS LÄN</t>
        </is>
      </c>
      <c r="G380" t="inlineStr">
        <is>
          <t>HÄRNÖSAND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44791</v>
      </c>
      <c r="E381" s="1" t="n">
        <v>46263</v>
      </c>
      <c r="F381" t="inlineStr">
        <is>
          <t>VÄSTERNORRLANDS LÄN</t>
        </is>
      </c>
      <c r="G381" t="inlineStr">
        <is>
          <t>HÄRNÖSAND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46263</v>
      </c>
      <c r="F382" t="inlineStr">
        <is>
          <t>VÄSTERNORRLANDS LÄN</t>
        </is>
      </c>
      <c r="G382" t="inlineStr">
        <is>
          <t>HÄRNÖSAND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46263</v>
      </c>
      <c r="F383" t="inlineStr">
        <is>
          <t>VÄSTERNORRLANDS LÄN</t>
        </is>
      </c>
      <c r="G383" t="inlineStr">
        <is>
          <t>HÄRNÖSAND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62333-2021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44502</v>
      </c>
      <c r="E384" s="1" t="n">
        <v>46263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46263</v>
      </c>
      <c r="F385" t="inlineStr">
        <is>
          <t>VÄSTERNORRLANDS LÄN</t>
        </is>
      </c>
      <c r="G385" t="inlineStr">
        <is>
          <t>HÄRNÖSAND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46263</v>
      </c>
      <c r="F386" t="inlineStr">
        <is>
          <t>VÄSTERNORRLANDS LÄN</t>
        </is>
      </c>
      <c r="G386" t="inlineStr">
        <is>
          <t>HÄRNÖSAND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46263</v>
      </c>
      <c r="F387" t="inlineStr">
        <is>
          <t>VÄSTERNORRLANDS LÄN</t>
        </is>
      </c>
      <c r="G387" t="inlineStr">
        <is>
          <t>HÄRNÖSAND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45126</v>
      </c>
      <c r="E388" s="1" t="n">
        <v>46263</v>
      </c>
      <c r="F388" t="inlineStr">
        <is>
          <t>VÄSTERNORRLANDS LÄN</t>
        </is>
      </c>
      <c r="G388" t="inlineStr">
        <is>
          <t>HÄRNÖSAND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45228</v>
      </c>
      <c r="E389" s="1" t="n">
        <v>46263</v>
      </c>
      <c r="F389" t="inlineStr">
        <is>
          <t>VÄSTERNORRLANDS LÄN</t>
        </is>
      </c>
      <c r="G389" t="inlineStr">
        <is>
          <t>HÄRNÖSAND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46263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46077</v>
      </c>
      <c r="E391" s="1" t="n">
        <v>46263</v>
      </c>
      <c r="F391" t="inlineStr">
        <is>
          <t>VÄSTERNORRLANDS LÄN</t>
        </is>
      </c>
      <c r="G391" t="inlineStr">
        <is>
          <t>HÄRNÖSAND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45390</v>
      </c>
      <c r="E392" s="1" t="n">
        <v>46263</v>
      </c>
      <c r="F392" t="inlineStr">
        <is>
          <t>VÄSTERNORRLANDS LÄN</t>
        </is>
      </c>
      <c r="G392" t="inlineStr">
        <is>
          <t>HÄRNÖSAND</t>
        </is>
      </c>
      <c r="I392" t="n">
        <v>14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35969-2023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45148</v>
      </c>
      <c r="E393" s="1" t="n">
        <v>46263</v>
      </c>
      <c r="F393" t="inlineStr">
        <is>
          <t>VÄSTERNORRLANDS LÄN</t>
        </is>
      </c>
      <c r="G393" t="inlineStr">
        <is>
          <t>HÄRNÖSAND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45173</v>
      </c>
      <c r="E394" s="1" t="n">
        <v>46263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11202-2026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46080</v>
      </c>
      <c r="E395" s="1" t="n">
        <v>46263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45342</v>
      </c>
      <c r="E396" s="1" t="n">
        <v>46263</v>
      </c>
      <c r="F396" t="inlineStr">
        <is>
          <t>VÄSTERNORRLANDS LÄN</t>
        </is>
      </c>
      <c r="G396" t="inlineStr">
        <is>
          <t>HÄRNÖSAND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60970-2021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46263</v>
      </c>
      <c r="F397" t="inlineStr">
        <is>
          <t>VÄSTERNORRLANDS LÄN</t>
        </is>
      </c>
      <c r="G397" t="inlineStr">
        <is>
          <t>HÄRNÖSAND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46263</v>
      </c>
      <c r="F398" t="inlineStr">
        <is>
          <t>VÄSTERNORRLANDS LÄN</t>
        </is>
      </c>
      <c r="G398" t="inlineStr">
        <is>
          <t>HÄRNÖSAND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45405</v>
      </c>
      <c r="E399" s="1" t="n">
        <v>46263</v>
      </c>
      <c r="F399" t="inlineStr">
        <is>
          <t>VÄSTERNORRLANDS LÄN</t>
        </is>
      </c>
      <c r="G399" t="inlineStr">
        <is>
          <t>HÄRNÖSAND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46263</v>
      </c>
      <c r="F400" t="inlineStr">
        <is>
          <t>VÄSTERNORRLANDS LÄN</t>
        </is>
      </c>
      <c r="G400" t="inlineStr">
        <is>
          <t>HÄRNÖSAND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45409</v>
      </c>
      <c r="E401" s="1" t="n">
        <v>46263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46263</v>
      </c>
      <c r="F402" t="inlineStr">
        <is>
          <t>VÄSTERNORRLANDS LÄN</t>
        </is>
      </c>
      <c r="G402" t="inlineStr">
        <is>
          <t>HÄRNÖSAND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57236-2024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46263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12750-2022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44641</v>
      </c>
      <c r="E404" s="1" t="n">
        <v>46263</v>
      </c>
      <c r="F404" t="inlineStr">
        <is>
          <t>VÄSTERNORRLANDS LÄN</t>
        </is>
      </c>
      <c r="G404" t="inlineStr">
        <is>
          <t>HÄRNÖSAND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46263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Övriga statliga verk och myndigheter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46263</v>
      </c>
      <c r="F406" t="inlineStr">
        <is>
          <t>VÄSTERNORRLANDS LÄN</t>
        </is>
      </c>
      <c r="G406" t="inlineStr">
        <is>
          <t>HÄRNÖSAND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45512</v>
      </c>
      <c r="E407" s="1" t="n">
        <v>46263</v>
      </c>
      <c r="F407" t="inlineStr">
        <is>
          <t>VÄSTERNORRLANDS LÄN</t>
        </is>
      </c>
      <c r="G407" t="inlineStr">
        <is>
          <t>HÄRNÖSAND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46263</v>
      </c>
      <c r="F408" t="inlineStr">
        <is>
          <t>VÄSTERNORRLANDS LÄN</t>
        </is>
      </c>
      <c r="G408" t="inlineStr">
        <is>
          <t>HÄRNÖSAND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12650-2026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46091</v>
      </c>
      <c r="E409" s="1" t="n">
        <v>46263</v>
      </c>
      <c r="F409" t="inlineStr">
        <is>
          <t>VÄSTERNORRLANDS LÄN</t>
        </is>
      </c>
      <c r="G409" t="inlineStr">
        <is>
          <t>HÄRNÖSAND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46263</v>
      </c>
      <c r="F410" t="inlineStr">
        <is>
          <t>VÄSTERNORRLANDS LÄN</t>
        </is>
      </c>
      <c r="G410" t="inlineStr">
        <is>
          <t>HÄRNÖSAND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46263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46263</v>
      </c>
      <c r="F412" t="inlineStr">
        <is>
          <t>VÄSTERNORRLANDS LÄN</t>
        </is>
      </c>
      <c r="G412" t="inlineStr">
        <is>
          <t>HÄRNÖSAND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46263</v>
      </c>
      <c r="F413" t="inlineStr">
        <is>
          <t>VÄSTERNORRLANDS LÄN</t>
        </is>
      </c>
      <c r="G413" t="inlineStr">
        <is>
          <t>HÄRNÖSAND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45147</v>
      </c>
      <c r="E414" s="1" t="n">
        <v>46263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46263</v>
      </c>
      <c r="F415" t="inlineStr">
        <is>
          <t>VÄSTERNORRLANDS LÄN</t>
        </is>
      </c>
      <c r="G415" t="inlineStr">
        <is>
          <t>HÄRNÖSAND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45595</v>
      </c>
      <c r="E416" s="1" t="n">
        <v>46263</v>
      </c>
      <c r="F416" t="inlineStr">
        <is>
          <t>VÄSTERNORRLANDS LÄN</t>
        </is>
      </c>
      <c r="G416" t="inlineStr">
        <is>
          <t>HÄRNÖSAND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46263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46263</v>
      </c>
      <c r="F418" t="inlineStr">
        <is>
          <t>VÄSTERNORRLANDS LÄN</t>
        </is>
      </c>
      <c r="G418" t="inlineStr">
        <is>
          <t>HÄRNÖSAND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54091-2024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45616</v>
      </c>
      <c r="E419" s="1" t="n">
        <v>46263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16979-2022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44676</v>
      </c>
      <c r="E420" s="1" t="n">
        <v>46263</v>
      </c>
      <c r="F420" t="inlineStr">
        <is>
          <t>VÄSTERNORRLANDS LÄN</t>
        </is>
      </c>
      <c r="G420" t="inlineStr">
        <is>
          <t>HÄRNÖSAND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46263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46263</v>
      </c>
      <c r="F422" t="inlineStr">
        <is>
          <t>VÄSTERNORRLANDS LÄN</t>
        </is>
      </c>
      <c r="G422" t="inlineStr">
        <is>
          <t>HÄRNÖSAND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46263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46263</v>
      </c>
      <c r="F424" t="inlineStr">
        <is>
          <t>VÄSTERNORRLANDS LÄN</t>
        </is>
      </c>
      <c r="G424" t="inlineStr">
        <is>
          <t>HÄRNÖSAND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46263</v>
      </c>
      <c r="F425" t="inlineStr">
        <is>
          <t>VÄSTERNORRLANDS LÄN</t>
        </is>
      </c>
      <c r="G425" t="inlineStr">
        <is>
          <t>HÄRNÖSAND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46263</v>
      </c>
      <c r="F426" t="inlineStr">
        <is>
          <t>VÄSTERNORRLANDS LÄN</t>
        </is>
      </c>
      <c r="G426" t="inlineStr">
        <is>
          <t>HÄRNÖSAND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46263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46263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46263</v>
      </c>
      <c r="F429" t="inlineStr">
        <is>
          <t>VÄSTERNORRLANDS LÄN</t>
        </is>
      </c>
      <c r="G429" t="inlineStr">
        <is>
          <t>HÄRNÖSAND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46263</v>
      </c>
      <c r="F430" t="inlineStr">
        <is>
          <t>VÄSTERNORRLANDS LÄN</t>
        </is>
      </c>
      <c r="G430" t="inlineStr">
        <is>
          <t>HÄRNÖSAND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19827-2022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44694</v>
      </c>
      <c r="E431" s="1" t="n">
        <v>46263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46263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54560-2024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45617</v>
      </c>
      <c r="E433" s="1" t="n">
        <v>46263</v>
      </c>
      <c r="F433" t="inlineStr">
        <is>
          <t>VÄSTERNORRLANDS LÄN</t>
        </is>
      </c>
      <c r="G433" t="inlineStr">
        <is>
          <t>HÄRNÖSAND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46263</v>
      </c>
      <c r="F434" t="inlineStr">
        <is>
          <t>VÄSTERNORRLANDS LÄN</t>
        </is>
      </c>
      <c r="G434" t="inlineStr">
        <is>
          <t>HÄRNÖSAND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44617</v>
      </c>
      <c r="E435" s="1" t="n">
        <v>46263</v>
      </c>
      <c r="F435" t="inlineStr">
        <is>
          <t>VÄSTERNORRLANDS LÄN</t>
        </is>
      </c>
      <c r="G435" t="inlineStr">
        <is>
          <t>HÄRNÖSAND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45428</v>
      </c>
      <c r="E436" s="1" t="n">
        <v>46263</v>
      </c>
      <c r="F436" t="inlineStr">
        <is>
          <t>VÄSTERNORRLANDS LÄN</t>
        </is>
      </c>
      <c r="G436" t="inlineStr">
        <is>
          <t>HÄRNÖSAND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46263</v>
      </c>
      <c r="F437" t="inlineStr">
        <is>
          <t>VÄSTERNORRLANDS LÄN</t>
        </is>
      </c>
      <c r="G437" t="inlineStr">
        <is>
          <t>HÄRNÖSAND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17661-2026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46263</v>
      </c>
      <c r="F438" t="inlineStr">
        <is>
          <t>VÄSTERNORRLANDS LÄN</t>
        </is>
      </c>
      <c r="G438" t="inlineStr">
        <is>
          <t>HÄRNÖSAND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36496-2023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45152</v>
      </c>
      <c r="E439" s="1" t="n">
        <v>46263</v>
      </c>
      <c r="F439" t="inlineStr">
        <is>
          <t>VÄSTERNORRLANDS LÄN</t>
        </is>
      </c>
      <c r="G439" t="inlineStr">
        <is>
          <t>HÄRNÖSAND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44858</v>
      </c>
      <c r="E440" s="1" t="n">
        <v>46263</v>
      </c>
      <c r="F440" t="inlineStr">
        <is>
          <t>VÄSTERNORRLANDS LÄN</t>
        </is>
      </c>
      <c r="G440" t="inlineStr">
        <is>
          <t>HÄRNÖSAND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46263</v>
      </c>
      <c r="F441" t="inlineStr">
        <is>
          <t>VÄSTERNORRLANDS LÄN</t>
        </is>
      </c>
      <c r="G441" t="inlineStr">
        <is>
          <t>HÄRNÖSAND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46263</v>
      </c>
      <c r="F442" t="inlineStr">
        <is>
          <t>VÄSTERNORRLANDS LÄN</t>
        </is>
      </c>
      <c r="G442" t="inlineStr">
        <is>
          <t>HÄRNÖSAND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46263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31.9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46263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46263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46263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44728</v>
      </c>
      <c r="E447" s="1" t="n">
        <v>46263</v>
      </c>
      <c r="F447" t="inlineStr">
        <is>
          <t>VÄSTERNORRLANDS LÄN</t>
        </is>
      </c>
      <c r="G447" t="inlineStr">
        <is>
          <t>HÄRNÖSAND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46263</v>
      </c>
      <c r="F448" t="inlineStr">
        <is>
          <t>VÄSTERNORRLANDS LÄN</t>
        </is>
      </c>
      <c r="G448" t="inlineStr">
        <is>
          <t>HÄRNÖSAND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46263</v>
      </c>
      <c r="F449" t="inlineStr">
        <is>
          <t>VÄSTERNORRLANDS LÄN</t>
        </is>
      </c>
      <c r="G449" t="inlineStr">
        <is>
          <t>HÄRNÖSAND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46263</v>
      </c>
      <c r="F450" t="inlineStr">
        <is>
          <t>VÄSTERNORRLANDS LÄN</t>
        </is>
      </c>
      <c r="G450" t="inlineStr">
        <is>
          <t>HÄRNÖSAND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25007-2022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44728</v>
      </c>
      <c r="E451" s="1" t="n">
        <v>46263</v>
      </c>
      <c r="F451" t="inlineStr">
        <is>
          <t>VÄSTERNORRLANDS LÄN</t>
        </is>
      </c>
      <c r="G451" t="inlineStr">
        <is>
          <t>HÄRNÖSAND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45189</v>
      </c>
      <c r="E452" s="1" t="n">
        <v>46263</v>
      </c>
      <c r="F452" t="inlineStr">
        <is>
          <t>VÄSTERNORRLANDS LÄN</t>
        </is>
      </c>
      <c r="G452" t="inlineStr">
        <is>
          <t>HÄRNÖSAND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46263</v>
      </c>
      <c r="F453" t="inlineStr">
        <is>
          <t>VÄSTERNORRLANDS LÄN</t>
        </is>
      </c>
      <c r="G453" t="inlineStr">
        <is>
          <t>HÄRNÖSAND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46263</v>
      </c>
      <c r="F454" t="inlineStr">
        <is>
          <t>VÄSTERNORRLANDS LÄN</t>
        </is>
      </c>
      <c r="G454" t="inlineStr">
        <is>
          <t>HÄRNÖSAND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45904</v>
      </c>
      <c r="E455" s="1" t="n">
        <v>46263</v>
      </c>
      <c r="F455" t="inlineStr">
        <is>
          <t>VÄSTERNORRLANDS LÄN</t>
        </is>
      </c>
      <c r="G455" t="inlineStr">
        <is>
          <t>HÄRNÖSAND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44726</v>
      </c>
      <c r="E456" s="1" t="n">
        <v>46263</v>
      </c>
      <c r="F456" t="inlineStr">
        <is>
          <t>VÄSTERNORRLANDS LÄN</t>
        </is>
      </c>
      <c r="G456" t="inlineStr">
        <is>
          <t>HÄRNÖSAND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11078-2025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45723</v>
      </c>
      <c r="E457" s="1" t="n">
        <v>46263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46263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46263</v>
      </c>
      <c r="F459" t="inlineStr">
        <is>
          <t>VÄSTERNORRLANDS LÄN</t>
        </is>
      </c>
      <c r="G459" t="inlineStr">
        <is>
          <t>HÄRNÖSAND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45350</v>
      </c>
      <c r="E460" s="1" t="n">
        <v>46263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45293</v>
      </c>
      <c r="E461" s="1" t="n">
        <v>46263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45320</v>
      </c>
      <c r="E462" s="1" t="n">
        <v>46263</v>
      </c>
      <c r="F462" t="inlineStr">
        <is>
          <t>VÄSTERNORRLANDS LÄN</t>
        </is>
      </c>
      <c r="G462" t="inlineStr">
        <is>
          <t>HÄRNÖSAND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55276-2023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45231</v>
      </c>
      <c r="E463" s="1" t="n">
        <v>46263</v>
      </c>
      <c r="F463" t="inlineStr">
        <is>
          <t>VÄSTERNORRLANDS LÄN</t>
        </is>
      </c>
      <c r="G463" t="inlineStr">
        <is>
          <t>HÄRNÖSAND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44747</v>
      </c>
      <c r="E464" s="1" t="n">
        <v>46263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46263</v>
      </c>
      <c r="F465" t="inlineStr">
        <is>
          <t>VÄSTERNORRLANDS LÄN</t>
        </is>
      </c>
      <c r="G465" t="inlineStr">
        <is>
          <t>HÄRNÖSAND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45313</v>
      </c>
      <c r="E466" s="1" t="n">
        <v>46263</v>
      </c>
      <c r="F466" t="inlineStr">
        <is>
          <t>VÄSTERNORRLANDS LÄN</t>
        </is>
      </c>
      <c r="G466" t="inlineStr">
        <is>
          <t>HÄRNÖSAND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45366</v>
      </c>
      <c r="E467" s="1" t="n">
        <v>46263</v>
      </c>
      <c r="F467" t="inlineStr">
        <is>
          <t>VÄSTERNORRLANDS LÄN</t>
        </is>
      </c>
      <c r="G467" t="inlineStr">
        <is>
          <t>HÄRNÖSAND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44853</v>
      </c>
      <c r="E468" s="1" t="n">
        <v>46263</v>
      </c>
      <c r="F468" t="inlineStr">
        <is>
          <t>VÄSTERNORRLANDS LÄN</t>
        </is>
      </c>
      <c r="G468" t="inlineStr">
        <is>
          <t>HÄRNÖSAND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46263</v>
      </c>
      <c r="F469" t="inlineStr">
        <is>
          <t>VÄSTERNORRLANDS LÄN</t>
        </is>
      </c>
      <c r="G469" t="inlineStr">
        <is>
          <t>HÄRNÖSAND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46263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Kyrkan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45749</v>
      </c>
      <c r="E471" s="1" t="n">
        <v>46263</v>
      </c>
      <c r="F471" t="inlineStr">
        <is>
          <t>VÄSTERNORRLANDS LÄN</t>
        </is>
      </c>
      <c r="G471" t="inlineStr">
        <is>
          <t>HÄRNÖSAND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45757</v>
      </c>
      <c r="E472" s="1" t="n">
        <v>46263</v>
      </c>
      <c r="F472" t="inlineStr">
        <is>
          <t>VÄSTERNORRLANDS LÄN</t>
        </is>
      </c>
      <c r="G472" t="inlineStr">
        <is>
          <t>HÄRNÖSAND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34513-2022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44792</v>
      </c>
      <c r="E473" s="1" t="n">
        <v>46263</v>
      </c>
      <c r="F473" t="inlineStr">
        <is>
          <t>VÄSTERNORRLANDS LÄN</t>
        </is>
      </c>
      <c r="G473" t="inlineStr">
        <is>
          <t>HÄRNÖSAND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46263</v>
      </c>
      <c r="F474" t="inlineStr">
        <is>
          <t>VÄSTERNORRLANDS LÄN</t>
        </is>
      </c>
      <c r="G474" t="inlineStr">
        <is>
          <t>HÄRNÖSAND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45496</v>
      </c>
      <c r="E475" s="1" t="n">
        <v>46263</v>
      </c>
      <c r="F475" t="inlineStr">
        <is>
          <t>VÄSTERNORRLANDS LÄN</t>
        </is>
      </c>
      <c r="G475" t="inlineStr">
        <is>
          <t>HÄRNÖSAND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45352</v>
      </c>
      <c r="E476" s="1" t="n">
        <v>46263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46263</v>
      </c>
      <c r="F477" t="inlineStr">
        <is>
          <t>VÄSTERNORRLANDS LÄN</t>
        </is>
      </c>
      <c r="G477" t="inlineStr">
        <is>
          <t>HÄRNÖSAND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45280</v>
      </c>
      <c r="E478" s="1" t="n">
        <v>46263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46263</v>
      </c>
      <c r="F479" t="inlineStr">
        <is>
          <t>VÄSTERNORRLANDS LÄN</t>
        </is>
      </c>
      <c r="G479" t="inlineStr">
        <is>
          <t>HÄRNÖSAND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44875</v>
      </c>
      <c r="E480" s="1" t="n">
        <v>46263</v>
      </c>
      <c r="F480" t="inlineStr">
        <is>
          <t>VÄSTERNORRLANDS LÄN</t>
        </is>
      </c>
      <c r="G480" t="inlineStr">
        <is>
          <t>HÄRNÖSAND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29279-2024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45482</v>
      </c>
      <c r="E481" s="1" t="n">
        <v>46263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30762-2024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45496</v>
      </c>
      <c r="E482" s="1" t="n">
        <v>46263</v>
      </c>
      <c r="F482" t="inlineStr">
        <is>
          <t>VÄSTERNORRLANDS LÄN</t>
        </is>
      </c>
      <c r="G482" t="inlineStr">
        <is>
          <t>HÄRNÖSAND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44957</v>
      </c>
      <c r="E483" s="1" t="n">
        <v>46263</v>
      </c>
      <c r="F483" t="inlineStr">
        <is>
          <t>VÄSTERNORRLANDS LÄN</t>
        </is>
      </c>
      <c r="G483" t="inlineStr">
        <is>
          <t>HÄRNÖSAND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59034-2022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44903</v>
      </c>
      <c r="E484" s="1" t="n">
        <v>46263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46263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45376</v>
      </c>
      <c r="E486" s="1" t="n">
        <v>46263</v>
      </c>
      <c r="F486" t="inlineStr">
        <is>
          <t>VÄSTERNORRLANDS LÄN</t>
        </is>
      </c>
      <c r="G486" t="inlineStr">
        <is>
          <t>HÄRNÖSAND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56165-2022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44889</v>
      </c>
      <c r="E487" s="1" t="n">
        <v>46263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45289</v>
      </c>
      <c r="E488" s="1" t="n">
        <v>46263</v>
      </c>
      <c r="F488" t="inlineStr">
        <is>
          <t>VÄSTERNORRLANDS LÄN</t>
        </is>
      </c>
      <c r="G488" t="inlineStr">
        <is>
          <t>HÄRNÖSAND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45687-2022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44845</v>
      </c>
      <c r="E489" s="1" t="n">
        <v>46263</v>
      </c>
      <c r="F489" t="inlineStr">
        <is>
          <t>VÄSTERNORRLANDS LÄN</t>
        </is>
      </c>
      <c r="G489" t="inlineStr">
        <is>
          <t>HÄRNÖSAND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45072</v>
      </c>
      <c r="E490" s="1" t="n">
        <v>46263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46263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46263</v>
      </c>
      <c r="F492" t="inlineStr">
        <is>
          <t>VÄSTERNORRLANDS LÄN</t>
        </is>
      </c>
      <c r="G492" t="inlineStr">
        <is>
          <t>HÄRNÖSAND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46263</v>
      </c>
      <c r="F493" t="inlineStr">
        <is>
          <t>VÄSTERNORRLANDS LÄN</t>
        </is>
      </c>
      <c r="G493" t="inlineStr">
        <is>
          <t>HÄRNÖSAND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46263</v>
      </c>
      <c r="F494" t="inlineStr">
        <is>
          <t>VÄSTERNORRLANDS LÄN</t>
        </is>
      </c>
      <c r="G494" t="inlineStr">
        <is>
          <t>HÄRNÖSAND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13611-2023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45006</v>
      </c>
      <c r="E495" s="1" t="n">
        <v>46263</v>
      </c>
      <c r="F495" t="inlineStr">
        <is>
          <t>VÄSTERNORRLANDS LÄN</t>
        </is>
      </c>
      <c r="G495" t="inlineStr">
        <is>
          <t>HÄRNÖSAND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45300</v>
      </c>
      <c r="E496" s="1" t="n">
        <v>46263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45035</v>
      </c>
      <c r="E497" s="1" t="n">
        <v>46263</v>
      </c>
      <c r="F497" t="inlineStr">
        <is>
          <t>VÄSTERNORRLANDS LÄN</t>
        </is>
      </c>
      <c r="G497" t="inlineStr">
        <is>
          <t>HÄRNÖSAND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44987</v>
      </c>
      <c r="E498" s="1" t="n">
        <v>46263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52237-2022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46263</v>
      </c>
      <c r="F499" t="inlineStr">
        <is>
          <t>VÄSTERNORRLANDS LÄN</t>
        </is>
      </c>
      <c r="G499" t="inlineStr">
        <is>
          <t>HÄRNÖSAND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45392</v>
      </c>
      <c r="E500" s="1" t="n">
        <v>46263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45000</v>
      </c>
      <c r="E501" s="1" t="n">
        <v>46263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45000</v>
      </c>
      <c r="E502" s="1" t="n">
        <v>46263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58869-2023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45250</v>
      </c>
      <c r="E503" s="1" t="n">
        <v>46263</v>
      </c>
      <c r="F503" t="inlineStr">
        <is>
          <t>VÄSTERNORRLANDS LÄN</t>
        </is>
      </c>
      <c r="G503" t="inlineStr">
        <is>
          <t>HÄRNÖSAND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45044</v>
      </c>
      <c r="E504" s="1" t="n">
        <v>46263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46263</v>
      </c>
      <c r="F505" t="inlineStr">
        <is>
          <t>VÄSTERNORRLANDS LÄN</t>
        </is>
      </c>
      <c r="G505" t="inlineStr">
        <is>
          <t>HÄRNÖSAND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19900-2025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46263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45762</v>
      </c>
      <c r="E507" s="1" t="n">
        <v>46263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45180</v>
      </c>
      <c r="E508" s="1" t="n">
        <v>46263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45580</v>
      </c>
      <c r="E509" s="1" t="n">
        <v>46263</v>
      </c>
      <c r="F509" t="inlineStr">
        <is>
          <t>VÄSTERNORRLANDS LÄN</t>
        </is>
      </c>
      <c r="G509" t="inlineStr">
        <is>
          <t>HÄRNÖSAND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45825</v>
      </c>
      <c r="E510" s="1" t="n">
        <v>46263</v>
      </c>
      <c r="F510" t="inlineStr">
        <is>
          <t>VÄSTERNORRLANDS LÄN</t>
        </is>
      </c>
      <c r="G510" t="inlineStr">
        <is>
          <t>HÄRNÖSAND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46263</v>
      </c>
      <c r="F511" t="inlineStr">
        <is>
          <t>VÄSTERNORRLANDS LÄN</t>
        </is>
      </c>
      <c r="G511" t="inlineStr">
        <is>
          <t>HÄRNÖSAND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45147</v>
      </c>
      <c r="E512" s="1" t="n">
        <v>46263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46263</v>
      </c>
      <c r="F513" t="inlineStr">
        <is>
          <t>VÄSTERNORRLANDS LÄN</t>
        </is>
      </c>
      <c r="G513" t="inlineStr">
        <is>
          <t>HÄRNÖSAND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46263</v>
      </c>
      <c r="F514" t="inlineStr">
        <is>
          <t>VÄSTERNORRLANDS LÄN</t>
        </is>
      </c>
      <c r="G514" t="inlineStr">
        <is>
          <t>HÄRNÖSAND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45251</v>
      </c>
      <c r="E515" s="1" t="n">
        <v>46263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45482</v>
      </c>
      <c r="E516" s="1" t="n">
        <v>46263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45769</v>
      </c>
      <c r="E517" s="1" t="n">
        <v>46263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46263</v>
      </c>
      <c r="F518" t="inlineStr">
        <is>
          <t>VÄSTERNORRLANDS LÄN</t>
        </is>
      </c>
      <c r="G518" t="inlineStr">
        <is>
          <t>HÄRNÖSAND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46263</v>
      </c>
      <c r="F519" t="inlineStr">
        <is>
          <t>VÄSTERNORRLANDS LÄN</t>
        </is>
      </c>
      <c r="G519" t="inlineStr">
        <is>
          <t>HÄRNÖSAND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45723</v>
      </c>
      <c r="E520" s="1" t="n">
        <v>46263</v>
      </c>
      <c r="F520" t="inlineStr">
        <is>
          <t>VÄSTERNORRLANDS LÄN</t>
        </is>
      </c>
      <c r="G520" t="inlineStr">
        <is>
          <t>HÄRNÖSAND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45097</v>
      </c>
      <c r="E521" s="1" t="n">
        <v>46263</v>
      </c>
      <c r="F521" t="inlineStr">
        <is>
          <t>VÄSTERNORRLANDS LÄN</t>
        </is>
      </c>
      <c r="G521" t="inlineStr">
        <is>
          <t>HÄRNÖSAND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48047-2022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44855</v>
      </c>
      <c r="E522" s="1" t="n">
        <v>46263</v>
      </c>
      <c r="F522" t="inlineStr">
        <is>
          <t>VÄSTERNORRLANDS LÄN</t>
        </is>
      </c>
      <c r="G522" t="inlineStr">
        <is>
          <t>HÄRNÖSAND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46263</v>
      </c>
      <c r="F523" t="inlineStr">
        <is>
          <t>VÄSTERNORRLANDS LÄN</t>
        </is>
      </c>
      <c r="G523" t="inlineStr">
        <is>
          <t>HÄRNÖSAND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46263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46263</v>
      </c>
      <c r="F525" t="inlineStr">
        <is>
          <t>VÄSTERNORRLANDS LÄN</t>
        </is>
      </c>
      <c r="G525" t="inlineStr">
        <is>
          <t>HÄRNÖSAND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46263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46263</v>
      </c>
      <c r="F527" t="inlineStr">
        <is>
          <t>VÄSTERNORRLANDS LÄN</t>
        </is>
      </c>
      <c r="G527" t="inlineStr">
        <is>
          <t>HÄRNÖSAND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45323</v>
      </c>
      <c r="E528" s="1" t="n">
        <v>46263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45500-2024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45578</v>
      </c>
      <c r="E529" s="1" t="n">
        <v>46263</v>
      </c>
      <c r="F529" t="inlineStr">
        <is>
          <t>VÄSTERNORRLANDS LÄN</t>
        </is>
      </c>
      <c r="G529" t="inlineStr">
        <is>
          <t>HÄRNÖSAND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45578</v>
      </c>
      <c r="E530" s="1" t="n">
        <v>46263</v>
      </c>
      <c r="F530" t="inlineStr">
        <is>
          <t>VÄSTERNORRLANDS LÄN</t>
        </is>
      </c>
      <c r="G530" t="inlineStr">
        <is>
          <t>HÄRNÖSAND</t>
        </is>
      </c>
      <c r="I530" t="n">
        <v>10.3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44951</v>
      </c>
      <c r="E531" s="1" t="n">
        <v>46263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35387-2024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46263</v>
      </c>
      <c r="F532" t="inlineStr">
        <is>
          <t>VÄSTERNORRLANDS LÄN</t>
        </is>
      </c>
      <c r="G532" t="inlineStr">
        <is>
          <t>HÄRNÖSAND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45512</v>
      </c>
      <c r="E533" s="1" t="n">
        <v>46263</v>
      </c>
      <c r="F533" t="inlineStr">
        <is>
          <t>VÄSTERNORRLANDS LÄN</t>
        </is>
      </c>
      <c r="G533" t="inlineStr">
        <is>
          <t>HÄRNÖSAND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51001-2022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44867</v>
      </c>
      <c r="E534" s="1" t="n">
        <v>46263</v>
      </c>
      <c r="F534" t="inlineStr">
        <is>
          <t>VÄSTERNORRLANDS LÄN</t>
        </is>
      </c>
      <c r="G534" t="inlineStr">
        <is>
          <t>HÄRNÖSAND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46263</v>
      </c>
      <c r="F535" t="inlineStr">
        <is>
          <t>VÄSTERNORRLANDS LÄN</t>
        </is>
      </c>
      <c r="G535" t="inlineStr">
        <is>
          <t>HÄRNÖSAND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45729</v>
      </c>
      <c r="E536" s="1" t="n">
        <v>46263</v>
      </c>
      <c r="F536" t="inlineStr">
        <is>
          <t>VÄSTERNORRLANDS LÄN</t>
        </is>
      </c>
      <c r="G536" t="inlineStr">
        <is>
          <t>HÄRNÖSAND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46107</v>
      </c>
      <c r="E537" s="1" t="n">
        <v>46263</v>
      </c>
      <c r="F537" t="inlineStr">
        <is>
          <t>VÄSTERNORRLANDS LÄN</t>
        </is>
      </c>
      <c r="G537" t="inlineStr">
        <is>
          <t>HÄRNÖSAND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46263</v>
      </c>
      <c r="F538" t="inlineStr">
        <is>
          <t>VÄSTERNORRLANDS LÄN</t>
        </is>
      </c>
      <c r="G538" t="inlineStr">
        <is>
          <t>HÄRNÖSAND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46263</v>
      </c>
      <c r="F539" t="inlineStr">
        <is>
          <t>VÄSTERNORRLANDS LÄN</t>
        </is>
      </c>
      <c r="G539" t="inlineStr">
        <is>
          <t>HÄRNÖSAND</t>
        </is>
      </c>
      <c r="I539" t="n">
        <v>16.7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45376</v>
      </c>
      <c r="E540" s="1" t="n">
        <v>46263</v>
      </c>
      <c r="F540" t="inlineStr">
        <is>
          <t>VÄSTERNORRLANDS LÄN</t>
        </is>
      </c>
      <c r="G540" t="inlineStr">
        <is>
          <t>HÄRNÖSAND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46263</v>
      </c>
      <c r="F541" t="inlineStr">
        <is>
          <t>VÄSTERNORRLANDS LÄN</t>
        </is>
      </c>
      <c r="G541" t="inlineStr">
        <is>
          <t>HÄRNÖSAND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46263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12497-2025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45730</v>
      </c>
      <c r="E543" s="1" t="n">
        <v>46263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46263</v>
      </c>
      <c r="F544" t="inlineStr">
        <is>
          <t>VÄSTERNORRLANDS LÄN</t>
        </is>
      </c>
      <c r="G544" t="inlineStr">
        <is>
          <t>HÄRNÖSAND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22990-2026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46263</v>
      </c>
      <c r="F545" t="inlineStr">
        <is>
          <t>VÄSTERNORRLANDS LÄN</t>
        </is>
      </c>
      <c r="G545" t="inlineStr">
        <is>
          <t>HÄRNÖSAND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45776</v>
      </c>
      <c r="E546" s="1" t="n">
        <v>46263</v>
      </c>
      <c r="F546" t="inlineStr">
        <is>
          <t>VÄSTERNORRLANDS LÄN</t>
        </is>
      </c>
      <c r="G546" t="inlineStr">
        <is>
          <t>HÄRNÖSAND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45776</v>
      </c>
      <c r="E547" s="1" t="n">
        <v>46263</v>
      </c>
      <c r="F547" t="inlineStr">
        <is>
          <t>VÄSTERNORRLANDS LÄN</t>
        </is>
      </c>
      <c r="G547" t="inlineStr">
        <is>
          <t>HÄRNÖSAND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46263</v>
      </c>
      <c r="F548" t="inlineStr">
        <is>
          <t>VÄSTERNORRLANDS LÄN</t>
        </is>
      </c>
      <c r="G548" t="inlineStr">
        <is>
          <t>HÄRNÖSAND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46263</v>
      </c>
      <c r="F549" t="inlineStr">
        <is>
          <t>VÄSTERNORRLANDS LÄN</t>
        </is>
      </c>
      <c r="G549" t="inlineStr">
        <is>
          <t>HÄRNÖSAND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46263</v>
      </c>
      <c r="F550" t="inlineStr">
        <is>
          <t>VÄSTERNORRLANDS LÄN</t>
        </is>
      </c>
      <c r="G550" t="inlineStr">
        <is>
          <t>HÄRNÖSAND</t>
        </is>
      </c>
      <c r="I550" t="n">
        <v>9.199999999999999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46263</v>
      </c>
      <c r="F551" t="inlineStr">
        <is>
          <t>VÄSTERNORRLANDS LÄN</t>
        </is>
      </c>
      <c r="G551" t="inlineStr">
        <is>
          <t>HÄRNÖSAND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46263</v>
      </c>
      <c r="F552" t="inlineStr">
        <is>
          <t>VÄSTERNORRLANDS LÄN</t>
        </is>
      </c>
      <c r="G552" t="inlineStr">
        <is>
          <t>HÄRNÖSAND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46263</v>
      </c>
      <c r="F553" t="inlineStr">
        <is>
          <t>VÄSTERNORRLANDS LÄN</t>
        </is>
      </c>
      <c r="G553" t="inlineStr">
        <is>
          <t>HÄRNÖSAND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46263</v>
      </c>
      <c r="F554" t="inlineStr">
        <is>
          <t>VÄSTERNORRLANDS LÄN</t>
        </is>
      </c>
      <c r="G554" t="inlineStr">
        <is>
          <t>HÄRNÖSAND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46263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46263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31.8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46263</v>
      </c>
      <c r="F557" t="inlineStr">
        <is>
          <t>VÄSTERNORRLANDS LÄN</t>
        </is>
      </c>
      <c r="G557" t="inlineStr">
        <is>
          <t>HÄRNÖSAND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46263</v>
      </c>
      <c r="F558" t="inlineStr">
        <is>
          <t>VÄSTERNORRLANDS LÄN</t>
        </is>
      </c>
      <c r="G558" t="inlineStr">
        <is>
          <t>HÄRNÖSAND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46263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46263</v>
      </c>
      <c r="F560" t="inlineStr">
        <is>
          <t>VÄSTERNORRLANDS LÄN</t>
        </is>
      </c>
      <c r="G560" t="inlineStr">
        <is>
          <t>HÄRNÖSAND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46263</v>
      </c>
      <c r="F561" t="inlineStr">
        <is>
          <t>VÄSTERNORRLANDS LÄN</t>
        </is>
      </c>
      <c r="G561" t="inlineStr">
        <is>
          <t>HÄRNÖSAND</t>
        </is>
      </c>
      <c r="I561" t="n">
        <v>9.199999999999999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46263</v>
      </c>
      <c r="F562" t="inlineStr">
        <is>
          <t>VÄSTERNORRLANDS LÄN</t>
        </is>
      </c>
      <c r="G562" t="inlineStr">
        <is>
          <t>HÄRNÖSAND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46263</v>
      </c>
      <c r="F563" t="inlineStr">
        <is>
          <t>VÄSTERNORRLANDS LÄN</t>
        </is>
      </c>
      <c r="G563" t="inlineStr">
        <is>
          <t>HÄRNÖSAND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46263</v>
      </c>
      <c r="F564" t="inlineStr">
        <is>
          <t>VÄSTERNORRLANDS LÄN</t>
        </is>
      </c>
      <c r="G564" t="inlineStr">
        <is>
          <t>HÄRNÖSAND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46167</v>
      </c>
      <c r="E565" s="1" t="n">
        <v>46263</v>
      </c>
      <c r="F565" t="inlineStr">
        <is>
          <t>VÄSTERNORRLANDS LÄN</t>
        </is>
      </c>
      <c r="G565" t="inlineStr">
        <is>
          <t>HÄRNÖSAND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59591-2024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45638</v>
      </c>
      <c r="E566" s="1" t="n">
        <v>46263</v>
      </c>
      <c r="F566" t="inlineStr">
        <is>
          <t>VÄSTERNORRLANDS LÄN</t>
        </is>
      </c>
      <c r="G566" t="inlineStr">
        <is>
          <t>HÄRNÖSAND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46263</v>
      </c>
      <c r="F567" t="inlineStr">
        <is>
          <t>VÄSTERNORRLANDS LÄN</t>
        </is>
      </c>
      <c r="G567" t="inlineStr">
        <is>
          <t>HÄRNÖSAND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46149</v>
      </c>
      <c r="E568" s="1" t="n">
        <v>46263</v>
      </c>
      <c r="F568" t="inlineStr">
        <is>
          <t>VÄSTERNORRLANDS LÄN</t>
        </is>
      </c>
      <c r="G568" t="inlineStr">
        <is>
          <t>HÄRNÖSAND</t>
        </is>
      </c>
      <c r="I568" t="n">
        <v>13.8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46165</v>
      </c>
      <c r="E569" s="1" t="n">
        <v>46263</v>
      </c>
      <c r="F569" t="inlineStr">
        <is>
          <t>VÄSTERNORRLANDS LÄN</t>
        </is>
      </c>
      <c r="G569" t="inlineStr">
        <is>
          <t>HÄRNÖSAND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24502-2026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46263</v>
      </c>
      <c r="F570" t="inlineStr">
        <is>
          <t>VÄSTERNORRLANDS LÄN</t>
        </is>
      </c>
      <c r="G570" t="inlineStr">
        <is>
          <t>HÄRNÖSAND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43266-2025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45910</v>
      </c>
      <c r="E571" s="1" t="n">
        <v>46263</v>
      </c>
      <c r="F571" t="inlineStr">
        <is>
          <t>VÄSTERNORRLANDS LÄN</t>
        </is>
      </c>
      <c r="G571" t="inlineStr">
        <is>
          <t>HÄRNÖSAND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24503-2026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46263</v>
      </c>
      <c r="F572" t="inlineStr">
        <is>
          <t>VÄSTERNORRLANDS LÄN</t>
        </is>
      </c>
      <c r="G572" t="inlineStr">
        <is>
          <t>HÄRNÖSAND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46263</v>
      </c>
      <c r="F573" t="inlineStr">
        <is>
          <t>VÄSTERNORRLANDS LÄN</t>
        </is>
      </c>
      <c r="G573" t="inlineStr">
        <is>
          <t>HÄRNÖSAND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46175</v>
      </c>
      <c r="E574" s="1" t="n">
        <v>46263</v>
      </c>
      <c r="F574" t="inlineStr">
        <is>
          <t>VÄSTERNORRLANDS LÄN</t>
        </is>
      </c>
      <c r="G574" t="inlineStr">
        <is>
          <t>HÄRNÖSAND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46263</v>
      </c>
      <c r="F575" t="inlineStr">
        <is>
          <t>VÄSTERNORRLANDS LÄN</t>
        </is>
      </c>
      <c r="G575" t="inlineStr">
        <is>
          <t>HÄRNÖSAND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46263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46263</v>
      </c>
      <c r="F577" t="inlineStr">
        <is>
          <t>VÄSTERNORRLANDS LÄN</t>
        </is>
      </c>
      <c r="G577" t="inlineStr">
        <is>
          <t>HÄRNÖSAND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25465-2026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46263</v>
      </c>
      <c r="F578" t="inlineStr">
        <is>
          <t>VÄSTERNORRLANDS LÄN</t>
        </is>
      </c>
      <c r="G578" t="inlineStr">
        <is>
          <t>HÄRNÖSAND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46263</v>
      </c>
      <c r="F579" t="inlineStr">
        <is>
          <t>VÄSTERNORRLANDS LÄN</t>
        </is>
      </c>
      <c r="G579" t="inlineStr">
        <is>
          <t>HÄRNÖSAND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46263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46263</v>
      </c>
      <c r="F581" t="inlineStr">
        <is>
          <t>VÄSTERNORRLANDS LÄN</t>
        </is>
      </c>
      <c r="G581" t="inlineStr">
        <is>
          <t>HÄRNÖSAND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46263</v>
      </c>
      <c r="F582" t="inlineStr">
        <is>
          <t>VÄSTERNORRLANDS LÄN</t>
        </is>
      </c>
      <c r="G582" t="inlineStr">
        <is>
          <t>HÄRNÖSAND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46263</v>
      </c>
      <c r="F583" t="inlineStr">
        <is>
          <t>VÄSTERNORRLANDS LÄN</t>
        </is>
      </c>
      <c r="G583" t="inlineStr">
        <is>
          <t>HÄRNÖSAND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46263</v>
      </c>
      <c r="F584" t="inlineStr">
        <is>
          <t>VÄSTERNORRLANDS LÄN</t>
        </is>
      </c>
      <c r="G584" t="inlineStr">
        <is>
          <t>HÄRNÖSAND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46181</v>
      </c>
      <c r="E585" s="1" t="n">
        <v>46263</v>
      </c>
      <c r="F585" t="inlineStr">
        <is>
          <t>VÄSTERNORRLANDS LÄN</t>
        </is>
      </c>
      <c r="G585" t="inlineStr">
        <is>
          <t>HÄRNÖSAND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46263</v>
      </c>
      <c r="F586" t="inlineStr">
        <is>
          <t>VÄSTERNORRLANDS LÄN</t>
        </is>
      </c>
      <c r="G586" t="inlineStr">
        <is>
          <t>HÄRNÖSAND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46263</v>
      </c>
      <c r="F587" t="inlineStr">
        <is>
          <t>VÄSTERNORRLANDS LÄN</t>
        </is>
      </c>
      <c r="G587" t="inlineStr">
        <is>
          <t>HÄRNÖSAND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46263</v>
      </c>
      <c r="F588" t="inlineStr">
        <is>
          <t>VÄSTERNORRLANDS LÄN</t>
        </is>
      </c>
      <c r="G588" t="inlineStr">
        <is>
          <t>HÄRNÖSAND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46263</v>
      </c>
      <c r="F589" t="inlineStr">
        <is>
          <t>VÄSTERNORRLANDS LÄN</t>
        </is>
      </c>
      <c r="G589" t="inlineStr">
        <is>
          <t>HÄRNÖSAND</t>
        </is>
      </c>
      <c r="I589" t="n">
        <v>9.1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46263</v>
      </c>
      <c r="F590" t="inlineStr">
        <is>
          <t>VÄSTERNORRLANDS LÄN</t>
        </is>
      </c>
      <c r="G590" t="inlineStr">
        <is>
          <t>HÄRNÖSAND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46263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46263</v>
      </c>
      <c r="F592" t="inlineStr">
        <is>
          <t>VÄSTERNORRLANDS LÄN</t>
        </is>
      </c>
      <c r="G592" t="inlineStr">
        <is>
          <t>HÄRNÖSAND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46263</v>
      </c>
      <c r="F593" t="inlineStr">
        <is>
          <t>VÄSTERNORRLANDS LÄN</t>
        </is>
      </c>
      <c r="G593" t="inlineStr">
        <is>
          <t>HÄRNÖSAND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46263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46189</v>
      </c>
      <c r="E595" s="1" t="n">
        <v>46263</v>
      </c>
      <c r="F595" t="inlineStr">
        <is>
          <t>VÄSTERNORRLANDS LÄN</t>
        </is>
      </c>
      <c r="G595" t="inlineStr">
        <is>
          <t>HÄRNÖSAND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27453-2026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46263</v>
      </c>
      <c r="F596" t="inlineStr">
        <is>
          <t>VÄSTERNORRLANDS LÄN</t>
        </is>
      </c>
      <c r="G596" t="inlineStr">
        <is>
          <t>HÄRNÖSAND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46263</v>
      </c>
      <c r="F597" t="inlineStr">
        <is>
          <t>VÄSTERNORRLANDS LÄN</t>
        </is>
      </c>
      <c r="G597" t="inlineStr">
        <is>
          <t>HÄRNÖSAND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46263</v>
      </c>
      <c r="F598" t="inlineStr">
        <is>
          <t>VÄSTERNORRLANDS LÄN</t>
        </is>
      </c>
      <c r="G598" t="inlineStr">
        <is>
          <t>HÄRNÖSAND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46263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46263</v>
      </c>
      <c r="F600" t="inlineStr">
        <is>
          <t>VÄSTERNORRLANDS LÄN</t>
        </is>
      </c>
      <c r="G600" t="inlineStr">
        <is>
          <t>HÄRNÖSAND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46263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46263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46263</v>
      </c>
      <c r="F603" t="inlineStr">
        <is>
          <t>VÄSTERNORRLANDS LÄN</t>
        </is>
      </c>
      <c r="G603" t="inlineStr">
        <is>
          <t>HÄRNÖSAND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32293-2026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46237</v>
      </c>
      <c r="E604" s="1" t="n">
        <v>46263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46263</v>
      </c>
      <c r="F605" t="inlineStr">
        <is>
          <t>VÄSTERNORRLANDS LÄN</t>
        </is>
      </c>
      <c r="G605" t="inlineStr">
        <is>
          <t>HÄRNÖSAND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46263</v>
      </c>
      <c r="F606" t="inlineStr">
        <is>
          <t>VÄSTERNORRLANDS LÄN</t>
        </is>
      </c>
      <c r="G606" t="inlineStr">
        <is>
          <t>HÄRNÖSAND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46263</v>
      </c>
      <c r="F607" t="inlineStr">
        <is>
          <t>VÄSTERNORRLANDS LÄN</t>
        </is>
      </c>
      <c r="G607" t="inlineStr">
        <is>
          <t>HÄRNÖSAND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32485-2026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46239</v>
      </c>
      <c r="E608" s="1" t="n">
        <v>46263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46244</v>
      </c>
      <c r="E609" s="1" t="n">
        <v>46263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Kyrkan</t>
        </is>
      </c>
      <c r="I609" t="n">
        <v>24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46263</v>
      </c>
      <c r="F610" t="inlineStr">
        <is>
          <t>VÄSTERNORRLANDS LÄN</t>
        </is>
      </c>
      <c r="G610" t="inlineStr">
        <is>
          <t>HÄRNÖSAND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46263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46263</v>
      </c>
      <c r="F612" t="inlineStr">
        <is>
          <t>VÄSTERNORRLANDS LÄN</t>
        </is>
      </c>
      <c r="G612" t="inlineStr">
        <is>
          <t>HÄRNÖSAND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46263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46263</v>
      </c>
      <c r="F614" t="inlineStr">
        <is>
          <t>VÄSTERNORRLANDS LÄN</t>
        </is>
      </c>
      <c r="G614" t="inlineStr">
        <is>
          <t>HÄRNÖSAND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46263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29877-2026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46263</v>
      </c>
      <c r="F616" t="inlineStr">
        <is>
          <t>VÄSTERNORRLANDS LÄN</t>
        </is>
      </c>
      <c r="G616" t="inlineStr">
        <is>
          <t>HÄRNÖSAND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29742-2026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46263</v>
      </c>
      <c r="F617" t="inlineStr">
        <is>
          <t>VÄSTERNORRLANDS LÄN</t>
        </is>
      </c>
      <c r="G617" t="inlineStr">
        <is>
          <t>HÄRNÖSAND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29754-2026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46263</v>
      </c>
      <c r="F618" t="inlineStr">
        <is>
          <t>VÄSTERNORRLANDS LÄN</t>
        </is>
      </c>
      <c r="G618" t="inlineStr">
        <is>
          <t>HÄRNÖSAND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29792-2026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46205</v>
      </c>
      <c r="E619" s="1" t="n">
        <v>46263</v>
      </c>
      <c r="F619" t="inlineStr">
        <is>
          <t>VÄSTERNORRLANDS LÄN</t>
        </is>
      </c>
      <c r="G619" t="inlineStr">
        <is>
          <t>HÄRNÖSAND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46248</v>
      </c>
      <c r="E620" s="1" t="n">
        <v>46263</v>
      </c>
      <c r="F620" t="inlineStr">
        <is>
          <t>VÄSTERNORRLANDS LÄN</t>
        </is>
      </c>
      <c r="G620" t="inlineStr">
        <is>
          <t>HÄRNÖSAND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46263</v>
      </c>
      <c r="F621" t="inlineStr">
        <is>
          <t>VÄSTERNORRLANDS LÄN</t>
        </is>
      </c>
      <c r="G621" t="inlineStr">
        <is>
          <t>HÄRNÖSAND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45800</v>
      </c>
      <c r="E622" s="1" t="n">
        <v>46263</v>
      </c>
      <c r="F622" t="inlineStr">
        <is>
          <t>VÄSTERNORRLANDS LÄN</t>
        </is>
      </c>
      <c r="G622" t="inlineStr">
        <is>
          <t>HÄRNÖSAND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46263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46263</v>
      </c>
      <c r="F624" t="inlineStr">
        <is>
          <t>VÄSTERNORRLANDS LÄN</t>
        </is>
      </c>
      <c r="G624" t="inlineStr">
        <is>
          <t>HÄRNÖSAND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46263</v>
      </c>
      <c r="F625" t="inlineStr">
        <is>
          <t>VÄSTERNORRLANDS LÄN</t>
        </is>
      </c>
      <c r="G625" t="inlineStr">
        <is>
          <t>HÄRNÖSAND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46263</v>
      </c>
      <c r="F626" t="inlineStr">
        <is>
          <t>VÄSTERNORRLANDS LÄN</t>
        </is>
      </c>
      <c r="G626" t="inlineStr">
        <is>
          <t>HÄRNÖSAND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46206</v>
      </c>
      <c r="E627" s="1" t="n">
        <v>46263</v>
      </c>
      <c r="F627" t="inlineStr">
        <is>
          <t>VÄSTERNORRLANDS LÄN</t>
        </is>
      </c>
      <c r="G627" t="inlineStr">
        <is>
          <t>HÄRNÖSAND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46263</v>
      </c>
      <c r="F628" t="inlineStr">
        <is>
          <t>VÄSTERNORRLANDS LÄN</t>
        </is>
      </c>
      <c r="G628" t="inlineStr">
        <is>
          <t>HÄRNÖSAND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34028-2026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46252</v>
      </c>
      <c r="E629" s="1" t="n">
        <v>46263</v>
      </c>
      <c r="F629" t="inlineStr">
        <is>
          <t>VÄSTERNORRLANDS LÄN</t>
        </is>
      </c>
      <c r="G629" t="inlineStr">
        <is>
          <t>HÄRNÖSAND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33747-2026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46251</v>
      </c>
      <c r="E630" s="1" t="n">
        <v>46263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46263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46263</v>
      </c>
      <c r="F632" t="inlineStr">
        <is>
          <t>VÄSTERNORRLANDS LÄN</t>
        </is>
      </c>
      <c r="G632" t="inlineStr">
        <is>
          <t>HÄRNÖSAND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46263</v>
      </c>
      <c r="F633" t="inlineStr">
        <is>
          <t>VÄSTERNORRLANDS LÄN</t>
        </is>
      </c>
      <c r="G633" t="inlineStr">
        <is>
          <t>HÄRNÖSAND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46263</v>
      </c>
      <c r="F634" t="inlineStr">
        <is>
          <t>VÄSTERNORRLANDS LÄN</t>
        </is>
      </c>
      <c r="G634" t="inlineStr">
        <is>
          <t>HÄRNÖSAND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46258</v>
      </c>
      <c r="E635" s="1" t="n">
        <v>46263</v>
      </c>
      <c r="F635" t="inlineStr">
        <is>
          <t>VÄSTERNORRLANDS LÄN</t>
        </is>
      </c>
      <c r="G635" t="inlineStr">
        <is>
          <t>HÄRNÖSAND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46263</v>
      </c>
      <c r="F636" t="inlineStr">
        <is>
          <t>VÄSTERNORRLANDS LÄN</t>
        </is>
      </c>
      <c r="G636" t="inlineStr">
        <is>
          <t>HÄRNÖSAND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45348</v>
      </c>
      <c r="E637" s="1" t="n">
        <v>46263</v>
      </c>
      <c r="F637" t="inlineStr">
        <is>
          <t>VÄSTERNORRLANDS LÄN</t>
        </is>
      </c>
      <c r="G637" t="inlineStr">
        <is>
          <t>HÄRNÖSAND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46263</v>
      </c>
      <c r="F638" t="inlineStr">
        <is>
          <t>VÄSTERNORRLANDS LÄN</t>
        </is>
      </c>
      <c r="G638" t="inlineStr">
        <is>
          <t>HÄRNÖSAND</t>
        </is>
      </c>
      <c r="I638" t="n">
        <v>13.6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30907-2026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46213</v>
      </c>
      <c r="E639" s="1" t="n">
        <v>46263</v>
      </c>
      <c r="F639" t="inlineStr">
        <is>
          <t>VÄSTERNORRLANDS LÄN</t>
        </is>
      </c>
      <c r="G639" t="inlineStr">
        <is>
          <t>HÄRNÖSAND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46215</v>
      </c>
      <c r="E640" s="1" t="n">
        <v>46263</v>
      </c>
      <c r="F640" t="inlineStr">
        <is>
          <t>VÄSTERNORRLANDS LÄN</t>
        </is>
      </c>
      <c r="G640" t="inlineStr">
        <is>
          <t>HÄRNÖSAND</t>
        </is>
      </c>
      <c r="I640" t="n">
        <v>12.7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46215</v>
      </c>
      <c r="E641" s="1" t="n">
        <v>46263</v>
      </c>
      <c r="F641" t="inlineStr">
        <is>
          <t>VÄSTERNORRLANDS LÄN</t>
        </is>
      </c>
      <c r="G641" t="inlineStr">
        <is>
          <t>HÄRNÖSAND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46260</v>
      </c>
      <c r="E642" s="1" t="n">
        <v>46263</v>
      </c>
      <c r="F642" t="inlineStr">
        <is>
          <t>VÄSTERNORRLANDS LÄN</t>
        </is>
      </c>
      <c r="G642" t="inlineStr">
        <is>
          <t>HÄRNÖSAND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46263</v>
      </c>
      <c r="F643" t="inlineStr">
        <is>
          <t>VÄSTERNORRLANDS LÄN</t>
        </is>
      </c>
      <c r="G643" t="inlineStr">
        <is>
          <t>HÄRNÖSAND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46263</v>
      </c>
      <c r="F644" t="inlineStr">
        <is>
          <t>VÄSTERNORRLANDS LÄN</t>
        </is>
      </c>
      <c r="G644" t="inlineStr">
        <is>
          <t>HÄRNÖSAND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46263</v>
      </c>
      <c r="F645" t="inlineStr">
        <is>
          <t>VÄSTERNORRLANDS LÄN</t>
        </is>
      </c>
      <c r="G645" t="inlineStr">
        <is>
          <t>HÄRNÖSAND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31504-2026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46219</v>
      </c>
      <c r="E646" s="1" t="n">
        <v>46263</v>
      </c>
      <c r="F646" t="inlineStr">
        <is>
          <t>VÄSTERNORRLANDS LÄN</t>
        </is>
      </c>
      <c r="G646" t="inlineStr">
        <is>
          <t>HÄRNÖSAND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46263</v>
      </c>
      <c r="F647" t="inlineStr">
        <is>
          <t>VÄSTERNORRLANDS LÄN</t>
        </is>
      </c>
      <c r="G647" t="inlineStr">
        <is>
          <t>HÄRNÖSAND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28389-2025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46263</v>
      </c>
      <c r="F648" t="inlineStr">
        <is>
          <t>VÄSTERNORRLANDS LÄN</t>
        </is>
      </c>
      <c r="G648" t="inlineStr">
        <is>
          <t>HÄRNÖSAND</t>
        </is>
      </c>
      <c r="I648" t="n">
        <v>9.300000000000001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46263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46263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46263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46263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46263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46263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46263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46263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46263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2026-08-29T01:53:57Z</dcterms:created>
  <dcterms:modified xmlns:dcterms="http://purl.org/dc/terms/" xmlns:xsi="http://www.w3.org/2001/XMLSchema-instance" xsi:type="dcterms:W3CDTF">2026-08-29T01:53:58Z</dcterms:modified>
</cp:coreProperties>
</file>