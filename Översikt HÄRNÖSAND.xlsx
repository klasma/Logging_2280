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46304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46304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46304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46304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46304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46304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46304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46304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46304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46304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46304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46304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46304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46304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46304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46304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46304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46304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46304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46304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46304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46304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46304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46304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46304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46304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46304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46304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46304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46304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46304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46304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46304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46304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46304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46304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46304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46304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46304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46304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46304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46304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46304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46304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46304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46304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46304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46304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46304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46304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46304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46304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46304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46304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46304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18583-2026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46127</v>
      </c>
      <c r="E79" s="1" t="n">
        <v>46304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HYPERLINK("https://klasma.github.io/Logging_2280/artfynd/A 18583-2026 artfynd.xlsx", "A 18583-2026")</f>
        <v/>
      </c>
      <c r="X79">
        <f>HYPERLINK("https://klasma.github.io/Logging_2280/kartor/A 18583-2026 karta.png", "A 18583-2026")</f>
        <v/>
      </c>
      <c r="Y79">
        <f>HYPERLINK("https://klasma.github.io/Logging_2280/kartor_geotiff/A 18583-2026 georefererad karta.tif", "A 18583-2026")</f>
        <v/>
      </c>
      <c r="AA79">
        <f>HYPERLINK("https://klasma.github.io/Logging_2280/klagomål/A 18583-2026 FSC-klagomål.docx", "A 18583-2026")</f>
        <v/>
      </c>
      <c r="AB79">
        <f>HYPERLINK("https://klasma.github.io/Logging_2280/klagomålsmail/A 18583-2026 FSC-klagomål mail.docx", "A 18583-2026")</f>
        <v/>
      </c>
      <c r="AC79">
        <f>HYPERLINK("https://klasma.github.io/Logging_2280/tillsyn/A 18583-2026 tillsynsbegäran.docx", "A 18583-2026")</f>
        <v/>
      </c>
      <c r="AD79">
        <f>HYPERLINK("https://klasma.github.io/Logging_2280/tillsynsmail/A 18583-2026 tillsynsbegäran mail.docx", "A 18583-2026")</f>
        <v/>
      </c>
    </row>
    <row r="80" ht="15" customHeight="1">
      <c r="A80" t="inlineStr">
        <is>
          <t>A 8407-2024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46304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HYPERLINK("https://klasma.github.io/Logging_2280/artfynd/A 8407-2024 artfynd.xlsx", "A 8407-2024")</f>
        <v/>
      </c>
      <c r="X80">
        <f>HYPERLINK("https://klasma.github.io/Logging_2280/kartor/A 8407-2024 karta.png", "A 8407-2024")</f>
        <v/>
      </c>
      <c r="Y80">
        <f>HYPERLINK("https://klasma.github.io/Logging_2280/kartor_geotiff/A 8407-2024 georefererad karta.tif", "A 8407-2024")</f>
        <v/>
      </c>
      <c r="AA80">
        <f>HYPERLINK("https://klasma.github.io/Logging_2280/klagomål/A 8407-2024 FSC-klagomål.docx", "A 8407-2024")</f>
        <v/>
      </c>
      <c r="AB80">
        <f>HYPERLINK("https://klasma.github.io/Logging_2280/klagomålsmail/A 8407-2024 FSC-klagomål mail.docx", "A 8407-2024")</f>
        <v/>
      </c>
      <c r="AC80">
        <f>HYPERLINK("https://klasma.github.io/Logging_2280/tillsyn/A 8407-2024 tillsynsbegäran.docx", "A 8407-2024")</f>
        <v/>
      </c>
      <c r="AD80">
        <f>HYPERLINK("https://klasma.github.io/Logging_2280/tillsynsmail/A 8407-2024 tillsynsbegäran mail.docx", "A 8407-2024")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46304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25340-2026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46304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Garnlav</t>
        </is>
      </c>
      <c r="W82">
        <f>HYPERLINK("https://klasma.github.io/Logging_2280/artfynd/A 25340-2026 artfynd.xlsx", "A 25340-2026")</f>
        <v/>
      </c>
      <c r="X82">
        <f>HYPERLINK("https://klasma.github.io/Logging_2280/kartor/A 25340-2026 karta.png", "A 25340-2026")</f>
        <v/>
      </c>
      <c r="Y82">
        <f>HYPERLINK("https://klasma.github.io/Logging_2280/kartor_geotiff/A 25340-2026 georefererad karta.tif", "A 25340-2026")</f>
        <v/>
      </c>
      <c r="AA82">
        <f>HYPERLINK("https://klasma.github.io/Logging_2280/klagomål/A 25340-2026 FSC-klagomål.docx", "A 25340-2026")</f>
        <v/>
      </c>
      <c r="AB82">
        <f>HYPERLINK("https://klasma.github.io/Logging_2280/klagomålsmail/A 25340-2026 FSC-klagomål mail.docx", "A 25340-2026")</f>
        <v/>
      </c>
      <c r="AC82">
        <f>HYPERLINK("https://klasma.github.io/Logging_2280/tillsyn/A 25340-2026 tillsynsbegäran.docx", "A 25340-2026")</f>
        <v/>
      </c>
      <c r="AD82">
        <f>HYPERLINK("https://klasma.github.io/Logging_2280/tillsynsmail/A 25340-2026 tillsynsbegäran mail.docx", "A 25340-2026")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46304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46304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46304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46304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46304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46304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46304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46304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46304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46304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26174-2025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46304</v>
      </c>
      <c r="F93" t="inlineStr">
        <is>
          <t>VÄSTERNORRLANDS LÄN</t>
        </is>
      </c>
      <c r="G93" t="inlineStr">
        <is>
          <t>HÄRNÖSAND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Lunglav</t>
        </is>
      </c>
      <c r="W93">
        <f>HYPERLINK("https://klasma.github.io/Logging_2280/artfynd/A 26174-2025 artfynd.xlsx", "A 26174-2025")</f>
        <v/>
      </c>
      <c r="X93">
        <f>HYPERLINK("https://klasma.github.io/Logging_2280/kartor/A 26174-2025 karta.png", "A 26174-2025")</f>
        <v/>
      </c>
      <c r="Y93">
        <f>HYPERLINK("https://klasma.github.io/Logging_2280/kartor_geotiff/A 26174-2025 georefererad karta.tif", "A 26174-2025")</f>
        <v/>
      </c>
      <c r="AA93">
        <f>HYPERLINK("https://klasma.github.io/Logging_2280/klagomål/A 26174-2025 FSC-klagomål.docx", "A 26174-2025")</f>
        <v/>
      </c>
      <c r="AB93">
        <f>HYPERLINK("https://klasma.github.io/Logging_2280/klagomålsmail/A 26174-2025 FSC-klagomål mail.docx", "A 26174-2025")</f>
        <v/>
      </c>
      <c r="AC93">
        <f>HYPERLINK("https://klasma.github.io/Logging_2280/tillsyn/A 26174-2025 tillsynsbegäran.docx", "A 26174-2025")</f>
        <v/>
      </c>
      <c r="AD93">
        <f>HYPERLINK("https://klasma.github.io/Logging_2280/tillsynsmail/A 26174-2025 tillsynsbegäran mail.docx", "A 26174-2025")</f>
        <v/>
      </c>
    </row>
    <row r="94" ht="15" customHeight="1">
      <c r="A94" t="inlineStr">
        <is>
          <t>A 26922-2025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46304</v>
      </c>
      <c r="F94" t="inlineStr">
        <is>
          <t>VÄSTERNORRLANDS LÄN</t>
        </is>
      </c>
      <c r="G94" t="inlineStr">
        <is>
          <t>HÄRNÖSAND</t>
        </is>
      </c>
      <c r="I94" t="n">
        <v>2.4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Barkticka</t>
        </is>
      </c>
      <c r="W94">
        <f>HYPERLINK("https://klasma.github.io/Logging_2280/artfynd/A 26922-2025 artfynd.xlsx", "A 26922-2025")</f>
        <v/>
      </c>
      <c r="X94">
        <f>HYPERLINK("https://klasma.github.io/Logging_2280/kartor/A 26922-2025 karta.png", "A 26922-2025")</f>
        <v/>
      </c>
      <c r="Y94">
        <f>HYPERLINK("https://klasma.github.io/Logging_2280/kartor_geotiff/A 26922-2025 georefererad karta.tif", "A 26922-2025")</f>
        <v/>
      </c>
      <c r="AA94">
        <f>HYPERLINK("https://klasma.github.io/Logging_2280/klagomål/A 26922-2025 FSC-klagomål.docx", "A 26922-2025")</f>
        <v/>
      </c>
      <c r="AB94">
        <f>HYPERLINK("https://klasma.github.io/Logging_2280/klagomålsmail/A 26922-2025 FSC-klagomål mail.docx", "A 26922-2025")</f>
        <v/>
      </c>
      <c r="AC94">
        <f>HYPERLINK("https://klasma.github.io/Logging_2280/tillsyn/A 26922-2025 tillsynsbegäran.docx", "A 26922-2025")</f>
        <v/>
      </c>
      <c r="AD94">
        <f>HYPERLINK("https://klasma.github.io/Logging_2280/tillsynsmail/A 26922-2025 tillsynsbegäran mail.docx", "A 26922-2025")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46304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46304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46304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46304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46304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46304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46304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46304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46304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46304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46304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46304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46304</v>
      </c>
      <c r="F107" t="inlineStr">
        <is>
          <t>VÄSTERNORRLANDS LÄN</t>
        </is>
      </c>
      <c r="G107" t="inlineStr">
        <is>
          <t>HÄRNÖSAND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46304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46304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46304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46304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46304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46304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46304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46304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46304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46304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46304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46304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46304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46304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46304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46304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46304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46304</v>
      </c>
      <c r="F125" t="inlineStr">
        <is>
          <t>VÄSTERNORRLANDS LÄN</t>
        </is>
      </c>
      <c r="G125" t="inlineStr">
        <is>
          <t>HÄRNÖSAND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46304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46304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46304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46304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46304</v>
      </c>
      <c r="F130" t="inlineStr">
        <is>
          <t>VÄSTERNORRLANDS LÄN</t>
        </is>
      </c>
      <c r="G130" t="inlineStr">
        <is>
          <t>HÄRNÖSAND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46304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44747</v>
      </c>
      <c r="E132" s="1" t="n">
        <v>46304</v>
      </c>
      <c r="F132" t="inlineStr">
        <is>
          <t>VÄSTERNORRLANDS LÄN</t>
        </is>
      </c>
      <c r="G132" t="inlineStr">
        <is>
          <t>HÄRNÖSAND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46304</v>
      </c>
      <c r="F133" t="inlineStr">
        <is>
          <t>VÄSTERNORRLANDS LÄN</t>
        </is>
      </c>
      <c r="G133" t="inlineStr">
        <is>
          <t>HÄRNÖSAND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46304</v>
      </c>
      <c r="F134" t="inlineStr">
        <is>
          <t>VÄSTERNORRLANDS LÄN</t>
        </is>
      </c>
      <c r="G134" t="inlineStr">
        <is>
          <t>HÄRNÖSAND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54251-2022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44881</v>
      </c>
      <c r="E135" s="1" t="n">
        <v>46304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49039-2023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45209</v>
      </c>
      <c r="E136" s="1" t="n">
        <v>46304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46304</v>
      </c>
      <c r="F137" t="inlineStr">
        <is>
          <t>VÄSTERNORRLANDS LÄN</t>
        </is>
      </c>
      <c r="G137" t="inlineStr">
        <is>
          <t>HÄRNÖSAND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45293</v>
      </c>
      <c r="E138" s="1" t="n">
        <v>46304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46304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46304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46304</v>
      </c>
      <c r="F141" t="inlineStr">
        <is>
          <t>VÄSTERNORRLANDS LÄN</t>
        </is>
      </c>
      <c r="G141" t="inlineStr">
        <is>
          <t>HÄRNÖSAND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45576</v>
      </c>
      <c r="E142" s="1" t="n">
        <v>46304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46304</v>
      </c>
      <c r="F143" t="inlineStr">
        <is>
          <t>VÄSTERNORRLANDS LÄN</t>
        </is>
      </c>
      <c r="G143" t="inlineStr">
        <is>
          <t>HÄRNÖSAND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46304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46304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46304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46304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46304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46304</v>
      </c>
      <c r="F149" t="inlineStr">
        <is>
          <t>VÄSTERNORRLANDS LÄN</t>
        </is>
      </c>
      <c r="G149" t="inlineStr">
        <is>
          <t>HÄRNÖSAND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46304</v>
      </c>
      <c r="F150" t="inlineStr">
        <is>
          <t>VÄSTERNORRLANDS LÄN</t>
        </is>
      </c>
      <c r="G150" t="inlineStr">
        <is>
          <t>HÄRNÖSAND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46304</v>
      </c>
      <c r="F151" t="inlineStr">
        <is>
          <t>VÄSTERNORRLANDS LÄN</t>
        </is>
      </c>
      <c r="G151" t="inlineStr">
        <is>
          <t>HÄRNÖSAND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46304</v>
      </c>
      <c r="F152" t="inlineStr">
        <is>
          <t>VÄSTERNORRLANDS LÄN</t>
        </is>
      </c>
      <c r="G152" t="inlineStr">
        <is>
          <t>HÄRNÖSAND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46304</v>
      </c>
      <c r="F153" t="inlineStr">
        <is>
          <t>VÄSTERNORRLANDS LÄN</t>
        </is>
      </c>
      <c r="G153" t="inlineStr">
        <is>
          <t>HÄRNÖSAND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46304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46304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46304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46304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46304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46304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46304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64746-2023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46304</v>
      </c>
      <c r="F161" t="inlineStr">
        <is>
          <t>VÄSTERNORRLANDS LÄN</t>
        </is>
      </c>
      <c r="G161" t="inlineStr">
        <is>
          <t>HÄRNÖSAND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46304</v>
      </c>
      <c r="F162" t="inlineStr">
        <is>
          <t>VÄSTERNORRLANDS LÄN</t>
        </is>
      </c>
      <c r="G162" t="inlineStr">
        <is>
          <t>HÄRNÖSAND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46304</v>
      </c>
      <c r="F163" t="inlineStr">
        <is>
          <t>VÄSTERNORRLANDS LÄN</t>
        </is>
      </c>
      <c r="G163" t="inlineStr">
        <is>
          <t>HÄRNÖSAND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46304</v>
      </c>
      <c r="F164" t="inlineStr">
        <is>
          <t>VÄSTERNORRLANDS LÄN</t>
        </is>
      </c>
      <c r="G164" t="inlineStr">
        <is>
          <t>HÄRNÖSAND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64023-2023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45278</v>
      </c>
      <c r="E165" s="1" t="n">
        <v>46304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46304</v>
      </c>
      <c r="F166" t="inlineStr">
        <is>
          <t>VÄSTERNORRLANDS LÄN</t>
        </is>
      </c>
      <c r="G166" t="inlineStr">
        <is>
          <t>HÄRNÖSAND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46304</v>
      </c>
      <c r="F167" t="inlineStr">
        <is>
          <t>VÄSTERNORRLANDS LÄN</t>
        </is>
      </c>
      <c r="G167" t="inlineStr">
        <is>
          <t>HÄRNÖSAND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46304</v>
      </c>
      <c r="F168" t="inlineStr">
        <is>
          <t>VÄSTERNORRLANDS LÄN</t>
        </is>
      </c>
      <c r="G168" t="inlineStr">
        <is>
          <t>HÄRNÖSAND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46304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46304</v>
      </c>
      <c r="F170" t="inlineStr">
        <is>
          <t>VÄSTERNORRLANDS LÄN</t>
        </is>
      </c>
      <c r="G170" t="inlineStr">
        <is>
          <t>HÄRNÖSAND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46304</v>
      </c>
      <c r="F171" t="inlineStr">
        <is>
          <t>VÄSTERNORRLANDS LÄN</t>
        </is>
      </c>
      <c r="G171" t="inlineStr">
        <is>
          <t>HÄRNÖSAND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46304</v>
      </c>
      <c r="F172" t="inlineStr">
        <is>
          <t>VÄSTERNORRLANDS LÄN</t>
        </is>
      </c>
      <c r="G172" t="inlineStr">
        <is>
          <t>HÄRNÖSAND</t>
        </is>
      </c>
      <c r="I172" t="n">
        <v>10.3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46304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46304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46304</v>
      </c>
      <c r="F175" t="inlineStr">
        <is>
          <t>VÄSTERNORRLANDS LÄN</t>
        </is>
      </c>
      <c r="G175" t="inlineStr">
        <is>
          <t>HÄRNÖSAND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46085</v>
      </c>
      <c r="E176" s="1" t="n">
        <v>46304</v>
      </c>
      <c r="F176" t="inlineStr">
        <is>
          <t>VÄSTERNORRLANDS LÄN</t>
        </is>
      </c>
      <c r="G176" t="inlineStr">
        <is>
          <t>HÄRNÖSAND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46304</v>
      </c>
      <c r="F177" t="inlineStr">
        <is>
          <t>VÄSTERNORRLANDS LÄN</t>
        </is>
      </c>
      <c r="G177" t="inlineStr">
        <is>
          <t>HÄRNÖSAND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46304</v>
      </c>
      <c r="F178" t="inlineStr">
        <is>
          <t>VÄSTERNORRLANDS LÄN</t>
        </is>
      </c>
      <c r="G178" t="inlineStr">
        <is>
          <t>HÄRNÖSAND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46304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45496</v>
      </c>
      <c r="E180" s="1" t="n">
        <v>46304</v>
      </c>
      <c r="F180" t="inlineStr">
        <is>
          <t>VÄSTERNORRLANDS LÄN</t>
        </is>
      </c>
      <c r="G180" t="inlineStr">
        <is>
          <t>HÄRNÖSAND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46304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Övriga statliga verk och myndigheter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46304</v>
      </c>
      <c r="F182" t="inlineStr">
        <is>
          <t>VÄSTERNORRLANDS LÄN</t>
        </is>
      </c>
      <c r="G182" t="inlineStr">
        <is>
          <t>HÄRNÖSAND</t>
        </is>
      </c>
      <c r="I182" t="n">
        <v>10.3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46304</v>
      </c>
      <c r="F183" t="inlineStr">
        <is>
          <t>VÄSTERNORRLANDS LÄN</t>
        </is>
      </c>
      <c r="G183" t="inlineStr">
        <is>
          <t>HÄRNÖSAND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34751-2025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45848</v>
      </c>
      <c r="E184" s="1" t="n">
        <v>46304</v>
      </c>
      <c r="F184" t="inlineStr">
        <is>
          <t>VÄSTERNORRLANDS LÄN</t>
        </is>
      </c>
      <c r="G184" t="inlineStr">
        <is>
          <t>HÄRNÖSAND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45853</v>
      </c>
      <c r="E185" s="1" t="n">
        <v>46304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46304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46304</v>
      </c>
      <c r="F187" t="inlineStr">
        <is>
          <t>VÄSTERNORRLANDS LÄN</t>
        </is>
      </c>
      <c r="G187" t="inlineStr">
        <is>
          <t>HÄRNÖSAND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46304</v>
      </c>
      <c r="F188" t="inlineStr">
        <is>
          <t>VÄSTERNORRLANDS LÄN</t>
        </is>
      </c>
      <c r="G188" t="inlineStr">
        <is>
          <t>HÄRNÖSAND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46304</v>
      </c>
      <c r="F189" t="inlineStr">
        <is>
          <t>VÄSTERNORRLANDS LÄN</t>
        </is>
      </c>
      <c r="G189" t="inlineStr">
        <is>
          <t>HÄRNÖSAND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46304</v>
      </c>
      <c r="F190" t="inlineStr">
        <is>
          <t>VÄSTERNORRLANDS LÄN</t>
        </is>
      </c>
      <c r="G190" t="inlineStr">
        <is>
          <t>HÄRNÖSAND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46304</v>
      </c>
      <c r="F191" t="inlineStr">
        <is>
          <t>VÄSTERNORRLANDS LÄN</t>
        </is>
      </c>
      <c r="G191" t="inlineStr">
        <is>
          <t>HÄRNÖSAND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29429-2024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45483</v>
      </c>
      <c r="E192" s="1" t="n">
        <v>46304</v>
      </c>
      <c r="F192" t="inlineStr">
        <is>
          <t>VÄSTERNORRLANDS LÄN</t>
        </is>
      </c>
      <c r="G192" t="inlineStr">
        <is>
          <t>HÄRNÖSAND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46304</v>
      </c>
      <c r="F193" t="inlineStr">
        <is>
          <t>VÄSTERNORRLANDS LÄN</t>
        </is>
      </c>
      <c r="G193" t="inlineStr">
        <is>
          <t>HÄRNÖSAND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46304</v>
      </c>
      <c r="F194" t="inlineStr">
        <is>
          <t>VÄSTERNORRLANDS LÄN</t>
        </is>
      </c>
      <c r="G194" t="inlineStr">
        <is>
          <t>HÄRNÖSAND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46304</v>
      </c>
      <c r="F195" t="inlineStr">
        <is>
          <t>VÄSTERNORRLANDS LÄN</t>
        </is>
      </c>
      <c r="G195" t="inlineStr">
        <is>
          <t>HÄRNÖSAND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46304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46304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45173</v>
      </c>
      <c r="E198" s="1" t="n">
        <v>46304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45203</v>
      </c>
      <c r="E199" s="1" t="n">
        <v>46304</v>
      </c>
      <c r="F199" t="inlineStr">
        <is>
          <t>VÄSTERNORRLANDS LÄN</t>
        </is>
      </c>
      <c r="G199" t="inlineStr">
        <is>
          <t>HÄRNÖSAND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46304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46304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40452-2023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45168</v>
      </c>
      <c r="E202" s="1" t="n">
        <v>46304</v>
      </c>
      <c r="F202" t="inlineStr">
        <is>
          <t>VÄSTERNORRLANDS LÄN</t>
        </is>
      </c>
      <c r="G202" t="inlineStr">
        <is>
          <t>HÄRNÖSAND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46091</v>
      </c>
      <c r="E203" s="1" t="n">
        <v>46304</v>
      </c>
      <c r="F203" t="inlineStr">
        <is>
          <t>VÄSTERNORRLANDS LÄN</t>
        </is>
      </c>
      <c r="G203" t="inlineStr">
        <is>
          <t>HÄRNÖSAND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46091</v>
      </c>
      <c r="E204" s="1" t="n">
        <v>46304</v>
      </c>
      <c r="F204" t="inlineStr">
        <is>
          <t>VÄSTERNORRLANDS LÄN</t>
        </is>
      </c>
      <c r="G204" t="inlineStr">
        <is>
          <t>HÄRNÖSAND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46304</v>
      </c>
      <c r="F205" t="inlineStr">
        <is>
          <t>VÄSTERNORRLANDS LÄN</t>
        </is>
      </c>
      <c r="G205" t="inlineStr">
        <is>
          <t>HÄRNÖSAND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45874</v>
      </c>
      <c r="E206" s="1" t="n">
        <v>46304</v>
      </c>
      <c r="F206" t="inlineStr">
        <is>
          <t>VÄSTERNORRLANDS LÄN</t>
        </is>
      </c>
      <c r="G206" t="inlineStr">
        <is>
          <t>HÄRNÖSAND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45874</v>
      </c>
      <c r="E207" s="1" t="n">
        <v>46304</v>
      </c>
      <c r="F207" t="inlineStr">
        <is>
          <t>VÄSTERNORRLANDS LÄN</t>
        </is>
      </c>
      <c r="G207" t="inlineStr">
        <is>
          <t>HÄRNÖSAND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45874</v>
      </c>
      <c r="E208" s="1" t="n">
        <v>46304</v>
      </c>
      <c r="F208" t="inlineStr">
        <is>
          <t>VÄSTERNORRLANDS LÄN</t>
        </is>
      </c>
      <c r="G208" t="inlineStr">
        <is>
          <t>HÄRNÖSAND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46304</v>
      </c>
      <c r="F209" t="inlineStr">
        <is>
          <t>VÄSTERNORRLANDS LÄN</t>
        </is>
      </c>
      <c r="G209" t="inlineStr">
        <is>
          <t>HÄRNÖSAND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12650-2026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46091</v>
      </c>
      <c r="E210" s="1" t="n">
        <v>46304</v>
      </c>
      <c r="F210" t="inlineStr">
        <is>
          <t>VÄSTERNORRLANDS LÄN</t>
        </is>
      </c>
      <c r="G210" t="inlineStr">
        <is>
          <t>HÄRNÖSAND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46091</v>
      </c>
      <c r="E211" s="1" t="n">
        <v>46304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46304</v>
      </c>
      <c r="F212" t="inlineStr">
        <is>
          <t>VÄSTERNORRLANDS LÄN</t>
        </is>
      </c>
      <c r="G212" t="inlineStr">
        <is>
          <t>HÄRNÖSAND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46304</v>
      </c>
      <c r="F213" t="inlineStr">
        <is>
          <t>VÄSTERNORRLANDS LÄN</t>
        </is>
      </c>
      <c r="G213" t="inlineStr">
        <is>
          <t>HÄRNÖSAND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46304</v>
      </c>
      <c r="F214" t="inlineStr">
        <is>
          <t>VÄSTERNORRLANDS LÄN</t>
        </is>
      </c>
      <c r="G214" t="inlineStr">
        <is>
          <t>HÄRNÖSAND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46304</v>
      </c>
      <c r="F215" t="inlineStr">
        <is>
          <t>VÄSTERNORRLANDS LÄN</t>
        </is>
      </c>
      <c r="G215" t="inlineStr">
        <is>
          <t>HÄRNÖSAND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41562-2025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45901</v>
      </c>
      <c r="E216" s="1" t="n">
        <v>46304</v>
      </c>
      <c r="F216" t="inlineStr">
        <is>
          <t>VÄSTERNORRLANDS LÄN</t>
        </is>
      </c>
      <c r="G216" t="inlineStr">
        <is>
          <t>HÄRNÖSAND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46304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46304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46304</v>
      </c>
      <c r="F219" t="inlineStr">
        <is>
          <t>VÄSTERNORRLANDS LÄN</t>
        </is>
      </c>
      <c r="G219" t="inlineStr">
        <is>
          <t>HÄRNÖSAND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46304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46304</v>
      </c>
      <c r="F221" t="inlineStr">
        <is>
          <t>VÄSTERNORRLANDS LÄN</t>
        </is>
      </c>
      <c r="G221" t="inlineStr">
        <is>
          <t>HÄRNÖSAND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46304</v>
      </c>
      <c r="F222" t="inlineStr">
        <is>
          <t>VÄSTERNORRLANDS LÄN</t>
        </is>
      </c>
      <c r="G222" t="inlineStr">
        <is>
          <t>HÄRNÖSAND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46304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8411-2024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45352</v>
      </c>
      <c r="E224" s="1" t="n">
        <v>46304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46304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46304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46304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45730</v>
      </c>
      <c r="E228" s="1" t="n">
        <v>46304</v>
      </c>
      <c r="F228" t="inlineStr">
        <is>
          <t>VÄSTERNORRLANDS LÄN</t>
        </is>
      </c>
      <c r="G228" t="inlineStr">
        <is>
          <t>HÄRNÖSAND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46304</v>
      </c>
      <c r="F229" t="inlineStr">
        <is>
          <t>VÄSTERNORRLANDS LÄN</t>
        </is>
      </c>
      <c r="G229" t="inlineStr">
        <is>
          <t>HÄRNÖSAND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46304</v>
      </c>
      <c r="F230" t="inlineStr">
        <is>
          <t>VÄSTERNORRLANDS LÄN</t>
        </is>
      </c>
      <c r="G230" t="inlineStr">
        <is>
          <t>HÄRNÖSAND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46304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45884</v>
      </c>
      <c r="E232" s="1" t="n">
        <v>46304</v>
      </c>
      <c r="F232" t="inlineStr">
        <is>
          <t>VÄSTERNORRLANDS LÄN</t>
        </is>
      </c>
      <c r="G232" t="inlineStr">
        <is>
          <t>HÄRNÖSAND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46304</v>
      </c>
      <c r="F233" t="inlineStr">
        <is>
          <t>VÄSTERNORRLANDS LÄN</t>
        </is>
      </c>
      <c r="G233" t="inlineStr">
        <is>
          <t>HÄRNÖSAND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46304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59408-2024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45638</v>
      </c>
      <c r="E235" s="1" t="n">
        <v>46304</v>
      </c>
      <c r="F235" t="inlineStr">
        <is>
          <t>VÄSTERNORRLANDS LÄN</t>
        </is>
      </c>
      <c r="G235" t="inlineStr">
        <is>
          <t>HÄRNÖSAND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46304</v>
      </c>
      <c r="F236" t="inlineStr">
        <is>
          <t>VÄSTERNORRLANDS LÄN</t>
        </is>
      </c>
      <c r="G236" t="inlineStr">
        <is>
          <t>HÄRNÖSAND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46304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46304</v>
      </c>
      <c r="F238" t="inlineStr">
        <is>
          <t>VÄSTERNORRLANDS LÄN</t>
        </is>
      </c>
      <c r="G238" t="inlineStr">
        <is>
          <t>HÄRNÖSAND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46304</v>
      </c>
      <c r="F239" t="inlineStr">
        <is>
          <t>VÄSTERNORRLANDS LÄN</t>
        </is>
      </c>
      <c r="G239" t="inlineStr">
        <is>
          <t>HÄRNÖSAND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46304</v>
      </c>
      <c r="F240" t="inlineStr">
        <is>
          <t>VÄSTERNORRLANDS LÄN</t>
        </is>
      </c>
      <c r="G240" t="inlineStr">
        <is>
          <t>HÄRNÖSAND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46304</v>
      </c>
      <c r="F241" t="inlineStr">
        <is>
          <t>VÄSTERNORRLANDS LÄN</t>
        </is>
      </c>
      <c r="G241" t="inlineStr">
        <is>
          <t>HÄRNÖSAND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44853</v>
      </c>
      <c r="E242" s="1" t="n">
        <v>46304</v>
      </c>
      <c r="F242" t="inlineStr">
        <is>
          <t>VÄSTERNORRLANDS LÄN</t>
        </is>
      </c>
      <c r="G242" t="inlineStr">
        <is>
          <t>HÄRNÖSAND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46304</v>
      </c>
      <c r="F243" t="inlineStr">
        <is>
          <t>VÄSTERNORRLANDS LÄN</t>
        </is>
      </c>
      <c r="G243" t="inlineStr">
        <is>
          <t>HÄRNÖSAND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45924</v>
      </c>
      <c r="E244" s="1" t="n">
        <v>46304</v>
      </c>
      <c r="F244" t="inlineStr">
        <is>
          <t>VÄSTERNORRLANDS LÄN</t>
        </is>
      </c>
      <c r="G244" t="inlineStr">
        <is>
          <t>HÄRNÖSAND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46304</v>
      </c>
      <c r="F245" t="inlineStr">
        <is>
          <t>VÄSTERNORRLANDS LÄN</t>
        </is>
      </c>
      <c r="G245" t="inlineStr">
        <is>
          <t>HÄRNÖSAND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46304</v>
      </c>
      <c r="F246" t="inlineStr">
        <is>
          <t>VÄSTERNORRLANDS LÄN</t>
        </is>
      </c>
      <c r="G246" t="inlineStr">
        <is>
          <t>HÄRNÖSAND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46304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46304</v>
      </c>
      <c r="F248" t="inlineStr">
        <is>
          <t>VÄSTERNORRLANDS LÄN</t>
        </is>
      </c>
      <c r="G248" t="inlineStr">
        <is>
          <t>HÄRNÖSAND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46304</v>
      </c>
      <c r="F249" t="inlineStr">
        <is>
          <t>VÄSTERNORRLANDS LÄN</t>
        </is>
      </c>
      <c r="G249" t="inlineStr">
        <is>
          <t>HÄRNÖSAND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46101-2025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46304</v>
      </c>
      <c r="F250" t="inlineStr">
        <is>
          <t>VÄSTERNORRLANDS LÄN</t>
        </is>
      </c>
      <c r="G250" t="inlineStr">
        <is>
          <t>HÄRNÖSAND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45320</v>
      </c>
      <c r="E251" s="1" t="n">
        <v>46304</v>
      </c>
      <c r="F251" t="inlineStr">
        <is>
          <t>VÄSTERNORRLANDS LÄN</t>
        </is>
      </c>
      <c r="G251" t="inlineStr">
        <is>
          <t>HÄRNÖSAND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46304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46304</v>
      </c>
      <c r="F253" t="inlineStr">
        <is>
          <t>VÄSTERNORRLANDS LÄN</t>
        </is>
      </c>
      <c r="G253" t="inlineStr">
        <is>
          <t>HÄRNÖSAND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46304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46304</v>
      </c>
      <c r="F255" t="inlineStr">
        <is>
          <t>VÄSTERNORRLANDS LÄN</t>
        </is>
      </c>
      <c r="G255" t="inlineStr">
        <is>
          <t>HÄRNÖSAND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46304</v>
      </c>
      <c r="F256" t="inlineStr">
        <is>
          <t>VÄSTERNORRLANDS LÄN</t>
        </is>
      </c>
      <c r="G256" t="inlineStr">
        <is>
          <t>HÄRNÖSAND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46304</v>
      </c>
      <c r="F257" t="inlineStr">
        <is>
          <t>VÄSTERNORRLANDS LÄN</t>
        </is>
      </c>
      <c r="G257" t="inlineStr">
        <is>
          <t>HÄRNÖSAND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46304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46304</v>
      </c>
      <c r="F259" t="inlineStr">
        <is>
          <t>VÄSTERNORRLANDS LÄN</t>
        </is>
      </c>
      <c r="G259" t="inlineStr">
        <is>
          <t>HÄRNÖSAND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46304</v>
      </c>
      <c r="F260" t="inlineStr">
        <is>
          <t>VÄSTERNORRLANDS LÄN</t>
        </is>
      </c>
      <c r="G260" t="inlineStr">
        <is>
          <t>HÄRNÖSAND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46304</v>
      </c>
      <c r="F261" t="inlineStr">
        <is>
          <t>VÄSTERNORRLANDS LÄN</t>
        </is>
      </c>
      <c r="G261" t="inlineStr">
        <is>
          <t>HÄRNÖSAND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46304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46304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46304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46304</v>
      </c>
      <c r="F265" t="inlineStr">
        <is>
          <t>VÄSTERNORRLANDS LÄN</t>
        </is>
      </c>
      <c r="G265" t="inlineStr">
        <is>
          <t>HÄRNÖSAND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46304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46304</v>
      </c>
      <c r="F267" t="inlineStr">
        <is>
          <t>VÄSTERNORRLANDS LÄN</t>
        </is>
      </c>
      <c r="G267" t="inlineStr">
        <is>
          <t>HÄRNÖSAND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46304</v>
      </c>
      <c r="F268" t="inlineStr">
        <is>
          <t>VÄSTERNORRLANDS LÄN</t>
        </is>
      </c>
      <c r="G268" t="inlineStr">
        <is>
          <t>HÄRNÖSAND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44936</v>
      </c>
      <c r="E269" s="1" t="n">
        <v>46304</v>
      </c>
      <c r="F269" t="inlineStr">
        <is>
          <t>VÄSTERNORRLANDS LÄN</t>
        </is>
      </c>
      <c r="G269" t="inlineStr">
        <is>
          <t>HÄRNÖSAND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32180-2024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45511</v>
      </c>
      <c r="E270" s="1" t="n">
        <v>46304</v>
      </c>
      <c r="F270" t="inlineStr">
        <is>
          <t>VÄSTERNORRLANDS LÄN</t>
        </is>
      </c>
      <c r="G270" t="inlineStr">
        <is>
          <t>HÄRNÖSAND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45749</v>
      </c>
      <c r="E271" s="1" t="n">
        <v>46304</v>
      </c>
      <c r="F271" t="inlineStr">
        <is>
          <t>VÄSTERNORRLANDS LÄN</t>
        </is>
      </c>
      <c r="G271" t="inlineStr">
        <is>
          <t>HÄRNÖSAND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44728</v>
      </c>
      <c r="E272" s="1" t="n">
        <v>46304</v>
      </c>
      <c r="F272" t="inlineStr">
        <is>
          <t>VÄSTERNORRLANDS LÄN</t>
        </is>
      </c>
      <c r="G272" t="inlineStr">
        <is>
          <t>HÄRNÖSAND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44971</v>
      </c>
      <c r="E273" s="1" t="n">
        <v>46304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45489</v>
      </c>
      <c r="E274" s="1" t="n">
        <v>46304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46304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44791</v>
      </c>
      <c r="E276" s="1" t="n">
        <v>46304</v>
      </c>
      <c r="F276" t="inlineStr">
        <is>
          <t>VÄSTERNORRLANDS LÄN</t>
        </is>
      </c>
      <c r="G276" t="inlineStr">
        <is>
          <t>HÄRNÖSAND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46304</v>
      </c>
      <c r="F277" t="inlineStr">
        <is>
          <t>VÄSTERNORRLANDS LÄN</t>
        </is>
      </c>
      <c r="G277" t="inlineStr">
        <is>
          <t>HÄRNÖSAND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46304</v>
      </c>
      <c r="F278" t="inlineStr">
        <is>
          <t>VÄSTERNORRLANDS LÄN</t>
        </is>
      </c>
      <c r="G278" t="inlineStr">
        <is>
          <t>HÄRNÖSAND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45126</v>
      </c>
      <c r="E279" s="1" t="n">
        <v>46304</v>
      </c>
      <c r="F279" t="inlineStr">
        <is>
          <t>VÄSTERNORRLANDS LÄN</t>
        </is>
      </c>
      <c r="G279" t="inlineStr">
        <is>
          <t>HÄRNÖSAND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45685</v>
      </c>
      <c r="E280" s="1" t="n">
        <v>46304</v>
      </c>
      <c r="F280" t="inlineStr">
        <is>
          <t>VÄSTERNORRLANDS LÄN</t>
        </is>
      </c>
      <c r="G280" t="inlineStr">
        <is>
          <t>HÄRNÖSAND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46304</v>
      </c>
      <c r="F281" t="inlineStr">
        <is>
          <t>VÄSTERNORRLANDS LÄN</t>
        </is>
      </c>
      <c r="G281" t="inlineStr">
        <is>
          <t>HÄRNÖSAND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46304</v>
      </c>
      <c r="F282" t="inlineStr">
        <is>
          <t>VÄSTERNORRLANDS LÄN</t>
        </is>
      </c>
      <c r="G282" t="inlineStr">
        <is>
          <t>HÄRNÖSAND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46122</v>
      </c>
      <c r="E283" s="1" t="n">
        <v>46304</v>
      </c>
      <c r="F283" t="inlineStr">
        <is>
          <t>VÄSTERNORRLANDS LÄN</t>
        </is>
      </c>
      <c r="G283" t="inlineStr">
        <is>
          <t>HÄRNÖSAND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44987</v>
      </c>
      <c r="E284" s="1" t="n">
        <v>46304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46304</v>
      </c>
      <c r="F285" t="inlineStr">
        <is>
          <t>VÄSTERNORRLANDS LÄN</t>
        </is>
      </c>
      <c r="G285" t="inlineStr">
        <is>
          <t>HÄRNÖSAND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46304</v>
      </c>
      <c r="F286" t="inlineStr">
        <is>
          <t>VÄSTERNORRLANDS LÄN</t>
        </is>
      </c>
      <c r="G286" t="inlineStr">
        <is>
          <t>HÄRNÖSAND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46304</v>
      </c>
      <c r="F287" t="inlineStr">
        <is>
          <t>VÄSTERNORRLANDS LÄN</t>
        </is>
      </c>
      <c r="G287" t="inlineStr">
        <is>
          <t>HÄRNÖSAND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13611-2023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45006</v>
      </c>
      <c r="E288" s="1" t="n">
        <v>46304</v>
      </c>
      <c r="F288" t="inlineStr">
        <is>
          <t>VÄSTERNORRLANDS LÄN</t>
        </is>
      </c>
      <c r="G288" t="inlineStr">
        <is>
          <t>HÄRNÖSAND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46304</v>
      </c>
      <c r="F289" t="inlineStr">
        <is>
          <t>VÄSTERNORRLANDS LÄN</t>
        </is>
      </c>
      <c r="G289" t="inlineStr">
        <is>
          <t>HÄRNÖSAND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46304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46304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45409</v>
      </c>
      <c r="E292" s="1" t="n">
        <v>46304</v>
      </c>
      <c r="F292" t="inlineStr">
        <is>
          <t>VÄSTERNORRLANDS LÄN</t>
        </is>
      </c>
      <c r="G292" t="inlineStr">
        <is>
          <t>HÄRNÖSAND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46304</v>
      </c>
      <c r="F293" t="inlineStr">
        <is>
          <t>VÄSTERNORRLANDS LÄN</t>
        </is>
      </c>
      <c r="G293" t="inlineStr">
        <is>
          <t>HÄRNÖSAND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46304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46304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16854-2024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45409</v>
      </c>
      <c r="E296" s="1" t="n">
        <v>46304</v>
      </c>
      <c r="F296" t="inlineStr">
        <is>
          <t>VÄSTERNORRLANDS LÄN</t>
        </is>
      </c>
      <c r="G296" t="inlineStr">
        <is>
          <t>HÄRNÖSAND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46304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46304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46304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46304</v>
      </c>
      <c r="F300" t="inlineStr">
        <is>
          <t>VÄSTERNORRLANDS LÄN</t>
        </is>
      </c>
      <c r="G300" t="inlineStr">
        <is>
          <t>HÄRNÖSAND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46304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46304</v>
      </c>
      <c r="F302" t="inlineStr">
        <is>
          <t>VÄSTERNORRLANDS LÄN</t>
        </is>
      </c>
      <c r="G302" t="inlineStr">
        <is>
          <t>HÄRNÖSAND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46304</v>
      </c>
      <c r="F303" t="inlineStr">
        <is>
          <t>VÄSTERNORRLANDS LÄN</t>
        </is>
      </c>
      <c r="G303" t="inlineStr">
        <is>
          <t>HÄRNÖSAND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46304</v>
      </c>
      <c r="F304" t="inlineStr">
        <is>
          <t>VÄSTERNORRLANDS LÄN</t>
        </is>
      </c>
      <c r="G304" t="inlineStr">
        <is>
          <t>HÄRNÖSAND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46304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46304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46304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46304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46304</v>
      </c>
      <c r="F309" t="inlineStr">
        <is>
          <t>VÄSTERNORRLANDS LÄN</t>
        </is>
      </c>
      <c r="G309" t="inlineStr">
        <is>
          <t>HÄRNÖSAND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46304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46304</v>
      </c>
      <c r="F311" t="inlineStr">
        <is>
          <t>VÄSTERNORRLANDS LÄN</t>
        </is>
      </c>
      <c r="G311" t="inlineStr">
        <is>
          <t>HÄRNÖSAND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46133</v>
      </c>
      <c r="E312" s="1" t="n">
        <v>46304</v>
      </c>
      <c r="F312" t="inlineStr">
        <is>
          <t>VÄSTERNORRLANDS LÄN</t>
        </is>
      </c>
      <c r="G312" t="inlineStr">
        <is>
          <t>HÄRNÖSAND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45987</v>
      </c>
      <c r="E313" s="1" t="n">
        <v>46304</v>
      </c>
      <c r="F313" t="inlineStr">
        <is>
          <t>VÄSTERNORRLANDS LÄN</t>
        </is>
      </c>
      <c r="G313" t="inlineStr">
        <is>
          <t>HÄRNÖSAND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46304</v>
      </c>
      <c r="F314" t="inlineStr">
        <is>
          <t>VÄSTERNORRLANDS LÄN</t>
        </is>
      </c>
      <c r="G314" t="inlineStr">
        <is>
          <t>HÄRNÖSAND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45462</v>
      </c>
      <c r="E315" s="1" t="n">
        <v>46304</v>
      </c>
      <c r="F315" t="inlineStr">
        <is>
          <t>VÄSTERNORRLANDS LÄN</t>
        </is>
      </c>
      <c r="G315" t="inlineStr">
        <is>
          <t>HÄRNÖSAND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46304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45418</v>
      </c>
      <c r="E317" s="1" t="n">
        <v>46304</v>
      </c>
      <c r="F317" t="inlineStr">
        <is>
          <t>VÄSTERNORRLANDS LÄN</t>
        </is>
      </c>
      <c r="G317" t="inlineStr">
        <is>
          <t>HÄRNÖSAND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46304</v>
      </c>
      <c r="F318" t="inlineStr">
        <is>
          <t>VÄSTERNORRLANDS LÄN</t>
        </is>
      </c>
      <c r="G318" t="inlineStr">
        <is>
          <t>HÄRNÖSAND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46304</v>
      </c>
      <c r="F319" t="inlineStr">
        <is>
          <t>VÄSTERNORRLANDS LÄN</t>
        </is>
      </c>
      <c r="G319" t="inlineStr">
        <is>
          <t>HÄRNÖSAND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44937</v>
      </c>
      <c r="E320" s="1" t="n">
        <v>46304</v>
      </c>
      <c r="F320" t="inlineStr">
        <is>
          <t>VÄSTERNORRLANDS LÄN</t>
        </is>
      </c>
      <c r="G320" t="inlineStr">
        <is>
          <t>HÄRNÖSAND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46304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46304</v>
      </c>
      <c r="F322" t="inlineStr">
        <is>
          <t>VÄSTERNORRLANDS LÄN</t>
        </is>
      </c>
      <c r="G322" t="inlineStr">
        <is>
          <t>HÄRNÖSAND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46304</v>
      </c>
      <c r="F323" t="inlineStr">
        <is>
          <t>VÄSTERNORRLANDS LÄN</t>
        </is>
      </c>
      <c r="G323" t="inlineStr">
        <is>
          <t>HÄRNÖSAND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45723</v>
      </c>
      <c r="E324" s="1" t="n">
        <v>46304</v>
      </c>
      <c r="F324" t="inlineStr">
        <is>
          <t>VÄSTERNORRLANDS LÄN</t>
        </is>
      </c>
      <c r="G324" t="inlineStr">
        <is>
          <t>HÄRNÖSAND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46304</v>
      </c>
      <c r="F325" t="inlineStr">
        <is>
          <t>VÄSTERNORRLANDS LÄN</t>
        </is>
      </c>
      <c r="G325" t="inlineStr">
        <is>
          <t>HÄRNÖSAND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45733</v>
      </c>
      <c r="E326" s="1" t="n">
        <v>46304</v>
      </c>
      <c r="F326" t="inlineStr">
        <is>
          <t>VÄSTERNORRLANDS LÄN</t>
        </is>
      </c>
      <c r="G326" t="inlineStr">
        <is>
          <t>HÄRNÖSAND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46304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45293</v>
      </c>
      <c r="E328" s="1" t="n">
        <v>46304</v>
      </c>
      <c r="F328" t="inlineStr">
        <is>
          <t>VÄSTERNORRLANDS LÄN</t>
        </is>
      </c>
      <c r="G328" t="inlineStr">
        <is>
          <t>HÄRNÖSAND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45392</v>
      </c>
      <c r="E329" s="1" t="n">
        <v>46304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18885-2023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45044</v>
      </c>
      <c r="E330" s="1" t="n">
        <v>46304</v>
      </c>
      <c r="F330" t="inlineStr">
        <is>
          <t>VÄSTERNORRLANDS LÄN</t>
        </is>
      </c>
      <c r="G330" t="inlineStr">
        <is>
          <t>HÄRNÖSAND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44951</v>
      </c>
      <c r="E331" s="1" t="n">
        <v>46304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46304</v>
      </c>
      <c r="F332" t="inlineStr">
        <is>
          <t>VÄSTERNORRLANDS LÄN</t>
        </is>
      </c>
      <c r="G332" t="inlineStr">
        <is>
          <t>HÄRNÖSAND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59073-2022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46304</v>
      </c>
      <c r="F333" t="inlineStr">
        <is>
          <t>VÄSTERNORRLANDS LÄN</t>
        </is>
      </c>
      <c r="G333" t="inlineStr">
        <is>
          <t>HÄRNÖSAND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46304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25430-2022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44732</v>
      </c>
      <c r="E335" s="1" t="n">
        <v>46304</v>
      </c>
      <c r="F335" t="inlineStr">
        <is>
          <t>VÄSTERNORRLANDS LÄN</t>
        </is>
      </c>
      <c r="G335" t="inlineStr">
        <is>
          <t>HÄRNÖSAND</t>
        </is>
      </c>
      <c r="I335" t="n">
        <v>18.7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46304</v>
      </c>
      <c r="F336" t="inlineStr">
        <is>
          <t>VÄSTERNORRLANDS LÄN</t>
        </is>
      </c>
      <c r="G336" t="inlineStr">
        <is>
          <t>HÄRNÖSAND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46023</v>
      </c>
      <c r="E337" s="1" t="n">
        <v>46304</v>
      </c>
      <c r="F337" t="inlineStr">
        <is>
          <t>VÄSTERNORRLANDS LÄN</t>
        </is>
      </c>
      <c r="G337" t="inlineStr">
        <is>
          <t>HÄRNÖSAND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46024</v>
      </c>
      <c r="E338" s="1" t="n">
        <v>46304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46304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44596</v>
      </c>
      <c r="E340" s="1" t="n">
        <v>46304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Övriga statliga verk och myndigheter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44706</v>
      </c>
      <c r="E341" s="1" t="n">
        <v>46304</v>
      </c>
      <c r="F341" t="inlineStr">
        <is>
          <t>VÄSTERNORRLANDS LÄN</t>
        </is>
      </c>
      <c r="G341" t="inlineStr">
        <is>
          <t>HÄRNÖSAND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45512</v>
      </c>
      <c r="E342" s="1" t="n">
        <v>46304</v>
      </c>
      <c r="F342" t="inlineStr">
        <is>
          <t>VÄSTERNORRLANDS LÄN</t>
        </is>
      </c>
      <c r="G342" t="inlineStr">
        <is>
          <t>HÄRNÖSAND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46304</v>
      </c>
      <c r="F343" t="inlineStr">
        <is>
          <t>VÄSTERNORRLANDS LÄN</t>
        </is>
      </c>
      <c r="G343" t="inlineStr">
        <is>
          <t>HÄRNÖSAND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46026</v>
      </c>
      <c r="E344" s="1" t="n">
        <v>46304</v>
      </c>
      <c r="F344" t="inlineStr">
        <is>
          <t>VÄSTERNORRLANDS LÄN</t>
        </is>
      </c>
      <c r="G344" t="inlineStr">
        <is>
          <t>HÄRNÖSAND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46304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46304</v>
      </c>
      <c r="F346" t="inlineStr">
        <is>
          <t>VÄSTERNORRLANDS LÄN</t>
        </is>
      </c>
      <c r="G346" t="inlineStr">
        <is>
          <t>HÄRNÖSAND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46304</v>
      </c>
      <c r="F347" t="inlineStr">
        <is>
          <t>VÄSTERNORRLANDS LÄN</t>
        </is>
      </c>
      <c r="G347" t="inlineStr">
        <is>
          <t>HÄRNÖSAND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46304</v>
      </c>
      <c r="F348" t="inlineStr">
        <is>
          <t>VÄSTERNORRLANDS LÄN</t>
        </is>
      </c>
      <c r="G348" t="inlineStr">
        <is>
          <t>HÄRNÖSAND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46029</v>
      </c>
      <c r="E349" s="1" t="n">
        <v>46304</v>
      </c>
      <c r="F349" t="inlineStr">
        <is>
          <t>VÄSTERNORRLANDS LÄN</t>
        </is>
      </c>
      <c r="G349" t="inlineStr">
        <is>
          <t>HÄRNÖSAND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46304</v>
      </c>
      <c r="F350" t="inlineStr">
        <is>
          <t>VÄSTERNORRLANDS LÄN</t>
        </is>
      </c>
      <c r="G350" t="inlineStr">
        <is>
          <t>HÄRNÖSAND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46304</v>
      </c>
      <c r="F351" t="inlineStr">
        <is>
          <t>VÄSTERNORRLANDS LÄN</t>
        </is>
      </c>
      <c r="G351" t="inlineStr">
        <is>
          <t>HÄRNÖSAND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46304</v>
      </c>
      <c r="F352" t="inlineStr">
        <is>
          <t>VÄSTERNORRLANDS LÄN</t>
        </is>
      </c>
      <c r="G352" t="inlineStr">
        <is>
          <t>HÄRNÖSAND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46304</v>
      </c>
      <c r="F353" t="inlineStr">
        <is>
          <t>VÄSTERNORRLANDS LÄN</t>
        </is>
      </c>
      <c r="G353" t="inlineStr">
        <is>
          <t>HÄRNÖSAND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46304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19900-2025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46304</v>
      </c>
      <c r="F355" t="inlineStr">
        <is>
          <t>VÄSTERNORRLANDS LÄN</t>
        </is>
      </c>
      <c r="G355" t="inlineStr">
        <is>
          <t>HÄRNÖSAND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46304</v>
      </c>
      <c r="F356" t="inlineStr">
        <is>
          <t>VÄSTERNORRLANDS LÄN</t>
        </is>
      </c>
      <c r="G356" t="inlineStr">
        <is>
          <t>HÄRNÖSAND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45329</v>
      </c>
      <c r="E357" s="1" t="n">
        <v>46304</v>
      </c>
      <c r="F357" t="inlineStr">
        <is>
          <t>VÄSTERNORRLANDS LÄN</t>
        </is>
      </c>
      <c r="G357" t="inlineStr">
        <is>
          <t>HÄRNÖSAND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46304</v>
      </c>
      <c r="F358" t="inlineStr">
        <is>
          <t>VÄSTERNORRLANDS LÄN</t>
        </is>
      </c>
      <c r="G358" t="inlineStr">
        <is>
          <t>HÄRNÖSAND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46304</v>
      </c>
      <c r="F359" t="inlineStr">
        <is>
          <t>VÄSTERNORRLANDS LÄN</t>
        </is>
      </c>
      <c r="G359" t="inlineStr">
        <is>
          <t>HÄRNÖSAND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46304</v>
      </c>
      <c r="F360" t="inlineStr">
        <is>
          <t>VÄSTERNORRLANDS LÄN</t>
        </is>
      </c>
      <c r="G360" t="inlineStr">
        <is>
          <t>HÄRNÖSAND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46304</v>
      </c>
      <c r="F361" t="inlineStr">
        <is>
          <t>VÄSTERNORRLANDS LÄN</t>
        </is>
      </c>
      <c r="G361" t="inlineStr">
        <is>
          <t>HÄRNÖSAND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46304</v>
      </c>
      <c r="F362" t="inlineStr">
        <is>
          <t>VÄSTERNORRLANDS LÄN</t>
        </is>
      </c>
      <c r="G362" t="inlineStr">
        <is>
          <t>HÄRNÖSAND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54091-2024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45616</v>
      </c>
      <c r="E363" s="1" t="n">
        <v>46304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45320</v>
      </c>
      <c r="E364" s="1" t="n">
        <v>46304</v>
      </c>
      <c r="F364" t="inlineStr">
        <is>
          <t>VÄSTERNORRLANDS LÄN</t>
        </is>
      </c>
      <c r="G364" t="inlineStr">
        <is>
          <t>HÄRNÖSAND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46304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46304</v>
      </c>
      <c r="F366" t="inlineStr">
        <is>
          <t>VÄSTERNORRLANDS LÄN</t>
        </is>
      </c>
      <c r="G366" t="inlineStr">
        <is>
          <t>HÄRNÖSAND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46304</v>
      </c>
      <c r="F367" t="inlineStr">
        <is>
          <t>VÄSTERNORRLANDS LÄN</t>
        </is>
      </c>
      <c r="G367" t="inlineStr">
        <is>
          <t>HÄRNÖSAND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46304</v>
      </c>
      <c r="F368" t="inlineStr">
        <is>
          <t>VÄSTERNORRLANDS LÄN</t>
        </is>
      </c>
      <c r="G368" t="inlineStr">
        <is>
          <t>HÄRNÖSAND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46304</v>
      </c>
      <c r="F369" t="inlineStr">
        <is>
          <t>VÄSTERNORRLANDS LÄN</t>
        </is>
      </c>
      <c r="G369" t="inlineStr">
        <is>
          <t>HÄRNÖSAND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46304</v>
      </c>
      <c r="F370" t="inlineStr">
        <is>
          <t>VÄSTERNORRLANDS LÄN</t>
        </is>
      </c>
      <c r="G370" t="inlineStr">
        <is>
          <t>HÄRNÖSAND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46304</v>
      </c>
      <c r="F371" t="inlineStr">
        <is>
          <t>VÄSTERNORRLANDS LÄN</t>
        </is>
      </c>
      <c r="G371" t="inlineStr">
        <is>
          <t>HÄRNÖSAND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46304</v>
      </c>
      <c r="F372" t="inlineStr">
        <is>
          <t>VÄSTERNORRLANDS LÄN</t>
        </is>
      </c>
      <c r="G372" t="inlineStr">
        <is>
          <t>HÄRNÖSAND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46304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46304</v>
      </c>
      <c r="F374" t="inlineStr">
        <is>
          <t>VÄSTERNORRLANDS LÄN</t>
        </is>
      </c>
      <c r="G374" t="inlineStr">
        <is>
          <t>HÄRNÖSAND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47552-2022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46304</v>
      </c>
      <c r="F375" t="inlineStr">
        <is>
          <t>VÄSTERNORRLANDS LÄN</t>
        </is>
      </c>
      <c r="G375" t="inlineStr">
        <is>
          <t>HÄRNÖSAND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45526</v>
      </c>
      <c r="E376" s="1" t="n">
        <v>46304</v>
      </c>
      <c r="F376" t="inlineStr">
        <is>
          <t>VÄSTERNORRLANDS LÄN</t>
        </is>
      </c>
      <c r="G376" t="inlineStr">
        <is>
          <t>HÄRNÖSAND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45138</v>
      </c>
      <c r="E377" s="1" t="n">
        <v>46304</v>
      </c>
      <c r="F377" t="inlineStr">
        <is>
          <t>VÄSTERNORRLANDS LÄN</t>
        </is>
      </c>
      <c r="G377" t="inlineStr">
        <is>
          <t>HÄRNÖSAND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46304</v>
      </c>
      <c r="F378" t="inlineStr">
        <is>
          <t>VÄSTERNORRLANDS LÄN</t>
        </is>
      </c>
      <c r="G378" t="inlineStr">
        <is>
          <t>HÄRNÖSAND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46304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46304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46304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46304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46304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46304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Kyrkan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46304</v>
      </c>
      <c r="F385" t="inlineStr">
        <is>
          <t>VÄSTERNORRLANDS LÄN</t>
        </is>
      </c>
      <c r="G385" t="inlineStr">
        <is>
          <t>HÄRNÖSAND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13605-2024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45390</v>
      </c>
      <c r="E386" s="1" t="n">
        <v>46304</v>
      </c>
      <c r="F386" t="inlineStr">
        <is>
          <t>VÄSTERNORRLANDS LÄN</t>
        </is>
      </c>
      <c r="G386" t="inlineStr">
        <is>
          <t>HÄRNÖSAND</t>
        </is>
      </c>
      <c r="I386" t="n">
        <v>14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46304</v>
      </c>
      <c r="F387" t="inlineStr">
        <is>
          <t>VÄSTERNORRLANDS LÄN</t>
        </is>
      </c>
      <c r="G387" t="inlineStr">
        <is>
          <t>HÄRNÖSAND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46304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46070</v>
      </c>
      <c r="E389" s="1" t="n">
        <v>46304</v>
      </c>
      <c r="F389" t="inlineStr">
        <is>
          <t>VÄSTERNORRLANDS LÄN</t>
        </is>
      </c>
      <c r="G389" t="inlineStr">
        <is>
          <t>HÄRNÖSAND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45523</v>
      </c>
      <c r="E390" s="1" t="n">
        <v>46304</v>
      </c>
      <c r="F390" t="inlineStr">
        <is>
          <t>VÄSTERNORRLANDS LÄN</t>
        </is>
      </c>
      <c r="G390" t="inlineStr">
        <is>
          <t>HÄRNÖSAND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46304</v>
      </c>
      <c r="F391" t="inlineStr">
        <is>
          <t>VÄSTERNORRLANDS LÄN</t>
        </is>
      </c>
      <c r="G391" t="inlineStr">
        <is>
          <t>HÄRNÖSAND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46304</v>
      </c>
      <c r="F392" t="inlineStr">
        <is>
          <t>VÄSTERNORRLANDS LÄN</t>
        </is>
      </c>
      <c r="G392" t="inlineStr">
        <is>
          <t>HÄRNÖSAND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38920-2025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45887</v>
      </c>
      <c r="E393" s="1" t="n">
        <v>46304</v>
      </c>
      <c r="F393" t="inlineStr">
        <is>
          <t>VÄSTERNORRLANDS LÄN</t>
        </is>
      </c>
      <c r="G393" t="inlineStr">
        <is>
          <t>HÄRNÖSAND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46304</v>
      </c>
      <c r="F394" t="inlineStr">
        <is>
          <t>VÄSTERNORRLANDS LÄN</t>
        </is>
      </c>
      <c r="G394" t="inlineStr">
        <is>
          <t>HÄRNÖSAND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46304</v>
      </c>
      <c r="F395" t="inlineStr">
        <is>
          <t>VÄSTERNORRLANDS LÄN</t>
        </is>
      </c>
      <c r="G395" t="inlineStr">
        <is>
          <t>HÄRNÖSAND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45072</v>
      </c>
      <c r="E396" s="1" t="n">
        <v>46304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Kyrkan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46304</v>
      </c>
      <c r="F397" t="inlineStr">
        <is>
          <t>VÄSTERNORRLANDS LÄN</t>
        </is>
      </c>
      <c r="G397" t="inlineStr">
        <is>
          <t>HÄRNÖSAND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45840</v>
      </c>
      <c r="E398" s="1" t="n">
        <v>46304</v>
      </c>
      <c r="F398" t="inlineStr">
        <is>
          <t>VÄSTERNORRLANDS LÄN</t>
        </is>
      </c>
      <c r="G398" t="inlineStr">
        <is>
          <t>HÄRNÖSAND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16979-2022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44676</v>
      </c>
      <c r="E399" s="1" t="n">
        <v>46304</v>
      </c>
      <c r="F399" t="inlineStr">
        <is>
          <t>VÄSTERNORRLANDS LÄN</t>
        </is>
      </c>
      <c r="G399" t="inlineStr">
        <is>
          <t>HÄRNÖSAND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11202-2026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46080</v>
      </c>
      <c r="E400" s="1" t="n">
        <v>46304</v>
      </c>
      <c r="F400" t="inlineStr">
        <is>
          <t>VÄSTERNORRLANDS LÄN</t>
        </is>
      </c>
      <c r="G400" t="inlineStr">
        <is>
          <t>HÄRNÖSAND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46304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46304</v>
      </c>
      <c r="F402" t="inlineStr">
        <is>
          <t>VÄSTERNORRLANDS LÄN</t>
        </is>
      </c>
      <c r="G402" t="inlineStr">
        <is>
          <t>HÄRNÖSAND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46304</v>
      </c>
      <c r="F403" t="inlineStr">
        <is>
          <t>VÄSTERNORRLANDS LÄN</t>
        </is>
      </c>
      <c r="G403" t="inlineStr">
        <is>
          <t>HÄRNÖSAND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14874-2023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46304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46304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45313</v>
      </c>
      <c r="E406" s="1" t="n">
        <v>46304</v>
      </c>
      <c r="F406" t="inlineStr">
        <is>
          <t>VÄSTERNORRLANDS LÄN</t>
        </is>
      </c>
      <c r="G406" t="inlineStr">
        <is>
          <t>HÄRNÖSAND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46304</v>
      </c>
      <c r="F407" t="inlineStr">
        <is>
          <t>VÄSTERNORRLANDS LÄN</t>
        </is>
      </c>
      <c r="G407" t="inlineStr">
        <is>
          <t>HÄRNÖSAND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46304</v>
      </c>
      <c r="F408" t="inlineStr">
        <is>
          <t>VÄSTERNORRLANDS LÄN</t>
        </is>
      </c>
      <c r="G408" t="inlineStr">
        <is>
          <t>HÄRNÖSAND</t>
        </is>
      </c>
      <c r="I408" t="n">
        <v>16.7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22200-2026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46304</v>
      </c>
      <c r="F409" t="inlineStr">
        <is>
          <t>VÄSTERNORRLANDS LÄN</t>
        </is>
      </c>
      <c r="G409" t="inlineStr">
        <is>
          <t>HÄRNÖSAND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46304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46304</v>
      </c>
      <c r="F411" t="inlineStr">
        <is>
          <t>VÄSTERNORRLANDS LÄN</t>
        </is>
      </c>
      <c r="G411" t="inlineStr">
        <is>
          <t>HÄRNÖSAND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45930</v>
      </c>
      <c r="E412" s="1" t="n">
        <v>46304</v>
      </c>
      <c r="F412" t="inlineStr">
        <is>
          <t>VÄSTERNORRLANDS LÄN</t>
        </is>
      </c>
      <c r="G412" t="inlineStr">
        <is>
          <t>HÄRNÖSAND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44971</v>
      </c>
      <c r="E413" s="1" t="n">
        <v>46304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46304</v>
      </c>
      <c r="F414" t="inlineStr">
        <is>
          <t>VÄSTERNORRLANDS LÄN</t>
        </is>
      </c>
      <c r="G414" t="inlineStr">
        <is>
          <t>HÄRNÖSAND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46304</v>
      </c>
      <c r="F415" t="inlineStr">
        <is>
          <t>VÄSTERNORRLANDS LÄN</t>
        </is>
      </c>
      <c r="G415" t="inlineStr">
        <is>
          <t>HÄRNÖSAND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44845</v>
      </c>
      <c r="E416" s="1" t="n">
        <v>46304</v>
      </c>
      <c r="F416" t="inlineStr">
        <is>
          <t>VÄSTERNORRLANDS LÄN</t>
        </is>
      </c>
      <c r="G416" t="inlineStr">
        <is>
          <t>HÄRNÖSAND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46304</v>
      </c>
      <c r="F417" t="inlineStr">
        <is>
          <t>VÄSTERNORRLANDS LÄN</t>
        </is>
      </c>
      <c r="G417" t="inlineStr">
        <is>
          <t>HÄRNÖSAND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45409</v>
      </c>
      <c r="E418" s="1" t="n">
        <v>46304</v>
      </c>
      <c r="F418" t="inlineStr">
        <is>
          <t>VÄSTERNORRLANDS LÄN</t>
        </is>
      </c>
      <c r="G418" t="inlineStr">
        <is>
          <t>HÄRNÖSAND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44580</v>
      </c>
      <c r="E419" s="1" t="n">
        <v>46304</v>
      </c>
      <c r="F419" t="inlineStr">
        <is>
          <t>VÄSTERNORRLANDS LÄN</t>
        </is>
      </c>
      <c r="G419" t="inlineStr">
        <is>
          <t>HÄRNÖSAND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46304</v>
      </c>
      <c r="F420" t="inlineStr">
        <is>
          <t>VÄSTERNORRLANDS LÄN</t>
        </is>
      </c>
      <c r="G420" t="inlineStr">
        <is>
          <t>HÄRNÖSAND</t>
        </is>
      </c>
      <c r="I420" t="n">
        <v>9.199999999999999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46304</v>
      </c>
      <c r="F421" t="inlineStr">
        <is>
          <t>VÄSTERNORRLANDS LÄN</t>
        </is>
      </c>
      <c r="G421" t="inlineStr">
        <is>
          <t>HÄRNÖSAND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46304</v>
      </c>
      <c r="F422" t="inlineStr">
        <is>
          <t>VÄSTERNORRLANDS LÄN</t>
        </is>
      </c>
      <c r="G422" t="inlineStr">
        <is>
          <t>HÄRNÖSAND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58588-2022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44894</v>
      </c>
      <c r="E423" s="1" t="n">
        <v>46304</v>
      </c>
      <c r="F423" t="inlineStr">
        <is>
          <t>VÄSTERNORRLANDS LÄN</t>
        </is>
      </c>
      <c r="G423" t="inlineStr">
        <is>
          <t>HÄRNÖSAND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22515-2025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46304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31.8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45790</v>
      </c>
      <c r="E425" s="1" t="n">
        <v>46304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31.8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22990-2026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46160</v>
      </c>
      <c r="E426" s="1" t="n">
        <v>46304</v>
      </c>
      <c r="F426" t="inlineStr">
        <is>
          <t>VÄSTERNORRLANDS LÄN</t>
        </is>
      </c>
      <c r="G426" t="inlineStr">
        <is>
          <t>HÄRNÖSAND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46304</v>
      </c>
      <c r="F427" t="inlineStr">
        <is>
          <t>VÄSTERNORRLANDS LÄN</t>
        </is>
      </c>
      <c r="G427" t="inlineStr">
        <is>
          <t>HÄRNÖSAND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46304</v>
      </c>
      <c r="F428" t="inlineStr">
        <is>
          <t>VÄSTERNORRLANDS LÄN</t>
        </is>
      </c>
      <c r="G428" t="inlineStr">
        <is>
          <t>HÄRNÖSAND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46304</v>
      </c>
      <c r="F429" t="inlineStr">
        <is>
          <t>VÄSTERNORRLANDS LÄN</t>
        </is>
      </c>
      <c r="G429" t="inlineStr">
        <is>
          <t>HÄRNÖSAND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46304</v>
      </c>
      <c r="F430" t="inlineStr">
        <is>
          <t>VÄSTERNORRLANDS LÄN</t>
        </is>
      </c>
      <c r="G430" t="inlineStr">
        <is>
          <t>HÄRNÖSAND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46304</v>
      </c>
      <c r="F431" t="inlineStr">
        <is>
          <t>VÄSTERNORRLANDS LÄN</t>
        </is>
      </c>
      <c r="G431" t="inlineStr">
        <is>
          <t>HÄRNÖSAND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46304</v>
      </c>
      <c r="F432" t="inlineStr">
        <is>
          <t>VÄSTERNORRLANDS LÄN</t>
        </is>
      </c>
      <c r="G432" t="inlineStr">
        <is>
          <t>HÄRNÖSAND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46304</v>
      </c>
      <c r="F433" t="inlineStr">
        <is>
          <t>VÄSTERNORRLANDS LÄN</t>
        </is>
      </c>
      <c r="G433" t="inlineStr">
        <is>
          <t>HÄRNÖSAND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46304</v>
      </c>
      <c r="F434" t="inlineStr">
        <is>
          <t>VÄSTERNORRLANDS LÄN</t>
        </is>
      </c>
      <c r="G434" t="inlineStr">
        <is>
          <t>HÄRNÖSAND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46304</v>
      </c>
      <c r="F435" t="inlineStr">
        <is>
          <t>VÄSTERNORRLANDS LÄN</t>
        </is>
      </c>
      <c r="G435" t="inlineStr">
        <is>
          <t>HÄRNÖSAND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61102-2021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44498</v>
      </c>
      <c r="E436" s="1" t="n">
        <v>46304</v>
      </c>
      <c r="F436" t="inlineStr">
        <is>
          <t>VÄSTERNORRLANDS LÄN</t>
        </is>
      </c>
      <c r="G436" t="inlineStr">
        <is>
          <t>HÄRNÖSAND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46304</v>
      </c>
      <c r="F437" t="inlineStr">
        <is>
          <t>VÄSTERNORRLANDS LÄN</t>
        </is>
      </c>
      <c r="G437" t="inlineStr">
        <is>
          <t>HÄRNÖSAND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45832</v>
      </c>
      <c r="E438" s="1" t="n">
        <v>46304</v>
      </c>
      <c r="F438" t="inlineStr">
        <is>
          <t>VÄSTERNORRLANDS LÄN</t>
        </is>
      </c>
      <c r="G438" t="inlineStr">
        <is>
          <t>HÄRNÖSAND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46304</v>
      </c>
      <c r="F439" t="inlineStr">
        <is>
          <t>VÄSTERNORRLANDS LÄN</t>
        </is>
      </c>
      <c r="G439" t="inlineStr">
        <is>
          <t>HÄRNÖSAND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46304</v>
      </c>
      <c r="F440" t="inlineStr">
        <is>
          <t>VÄSTERNORRLANDS LÄN</t>
        </is>
      </c>
      <c r="G440" t="inlineStr">
        <is>
          <t>HÄRNÖSAND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46304</v>
      </c>
      <c r="F441" t="inlineStr">
        <is>
          <t>VÄSTERNORRLANDS LÄN</t>
        </is>
      </c>
      <c r="G441" t="inlineStr">
        <is>
          <t>HÄRNÖSAND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50338-2022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44865</v>
      </c>
      <c r="E442" s="1" t="n">
        <v>46304</v>
      </c>
      <c r="F442" t="inlineStr">
        <is>
          <t>VÄSTERNORRLANDS LÄN</t>
        </is>
      </c>
      <c r="G442" t="inlineStr">
        <is>
          <t>HÄRNÖSAND</t>
        </is>
      </c>
      <c r="H442" t="inlineStr">
        <is>
          <t>SCA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46304</v>
      </c>
      <c r="F443" t="inlineStr">
        <is>
          <t>VÄSTERNORRLANDS LÄN</t>
        </is>
      </c>
      <c r="G443" t="inlineStr">
        <is>
          <t>HÄRNÖSAND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45638</v>
      </c>
      <c r="E444" s="1" t="n">
        <v>46304</v>
      </c>
      <c r="F444" t="inlineStr">
        <is>
          <t>VÄSTERNORRLANDS LÄN</t>
        </is>
      </c>
      <c r="G444" t="inlineStr">
        <is>
          <t>HÄRNÖSAND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46304</v>
      </c>
      <c r="F445" t="inlineStr">
        <is>
          <t>VÄSTERNORRLANDS LÄN</t>
        </is>
      </c>
      <c r="G445" t="inlineStr">
        <is>
          <t>HÄRNÖSAND</t>
        </is>
      </c>
      <c r="I445" t="n">
        <v>13.8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45044</v>
      </c>
      <c r="E446" s="1" t="n">
        <v>46304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31408-2024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45502</v>
      </c>
      <c r="E447" s="1" t="n">
        <v>46304</v>
      </c>
      <c r="F447" t="inlineStr">
        <is>
          <t>VÄSTERNORRLANDS LÄN</t>
        </is>
      </c>
      <c r="G447" t="inlineStr">
        <is>
          <t>HÄRNÖSAND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24120-2026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46168</v>
      </c>
      <c r="E448" s="1" t="n">
        <v>46304</v>
      </c>
      <c r="F448" t="inlineStr">
        <is>
          <t>VÄSTERNORRLANDS LÄN</t>
        </is>
      </c>
      <c r="G448" t="inlineStr">
        <is>
          <t>HÄRNÖSAND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24452-2022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44726</v>
      </c>
      <c r="E449" s="1" t="n">
        <v>46304</v>
      </c>
      <c r="F449" t="inlineStr">
        <is>
          <t>VÄSTERNORRLANDS LÄN</t>
        </is>
      </c>
      <c r="G449" t="inlineStr">
        <is>
          <t>HÄRNÖSAND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46304</v>
      </c>
      <c r="F450" t="inlineStr">
        <is>
          <t>VÄSTERNORRLANDS LÄN</t>
        </is>
      </c>
      <c r="G450" t="inlineStr">
        <is>
          <t>HÄRNÖSAND</t>
        </is>
      </c>
      <c r="I450" t="n">
        <v>12.3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46304</v>
      </c>
      <c r="F451" t="inlineStr">
        <is>
          <t>VÄSTERNORRLANDS LÄN</t>
        </is>
      </c>
      <c r="G451" t="inlineStr">
        <is>
          <t>HÄRNÖSAND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46304</v>
      </c>
      <c r="F452" t="inlineStr">
        <is>
          <t>VÄSTERNORRLANDS LÄN</t>
        </is>
      </c>
      <c r="G452" t="inlineStr">
        <is>
          <t>HÄRNÖSAND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46304</v>
      </c>
      <c r="F453" t="inlineStr">
        <is>
          <t>VÄSTERNORRLANDS LÄN</t>
        </is>
      </c>
      <c r="G453" t="inlineStr">
        <is>
          <t>HÄRNÖSAND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45910</v>
      </c>
      <c r="E454" s="1" t="n">
        <v>46304</v>
      </c>
      <c r="F454" t="inlineStr">
        <is>
          <t>VÄSTERNORRLANDS LÄN</t>
        </is>
      </c>
      <c r="G454" t="inlineStr">
        <is>
          <t>HÄRNÖSAND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46304</v>
      </c>
      <c r="F455" t="inlineStr">
        <is>
          <t>VÄSTERNORRLANDS LÄN</t>
        </is>
      </c>
      <c r="G455" t="inlineStr">
        <is>
          <t>HÄRNÖSAND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56165-2022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44889</v>
      </c>
      <c r="E456" s="1" t="n">
        <v>46304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46165</v>
      </c>
      <c r="E457" s="1" t="n">
        <v>46304</v>
      </c>
      <c r="F457" t="inlineStr">
        <is>
          <t>VÄSTERNORRLANDS LÄN</t>
        </is>
      </c>
      <c r="G457" t="inlineStr">
        <is>
          <t>HÄRNÖSAND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46304</v>
      </c>
      <c r="F458" t="inlineStr">
        <is>
          <t>VÄSTERNORRLANDS LÄN</t>
        </is>
      </c>
      <c r="G458" t="inlineStr">
        <is>
          <t>HÄRNÖSAND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29813-2022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44755</v>
      </c>
      <c r="E459" s="1" t="n">
        <v>46304</v>
      </c>
      <c r="F459" t="inlineStr">
        <is>
          <t>VÄSTERNORRLANDS LÄN</t>
        </is>
      </c>
      <c r="G459" t="inlineStr">
        <is>
          <t>HÄRNÖSAND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54252-2022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44881</v>
      </c>
      <c r="E460" s="1" t="n">
        <v>46304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46508-2023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45194</v>
      </c>
      <c r="E461" s="1" t="n">
        <v>46304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46304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46304</v>
      </c>
      <c r="F463" t="inlineStr">
        <is>
          <t>VÄSTERNORRLANDS LÄN</t>
        </is>
      </c>
      <c r="G463" t="inlineStr">
        <is>
          <t>HÄRNÖSAND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46304</v>
      </c>
      <c r="F464" t="inlineStr">
        <is>
          <t>VÄSTERNORRLANDS LÄN</t>
        </is>
      </c>
      <c r="G464" t="inlineStr">
        <is>
          <t>HÄRNÖSAND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46304</v>
      </c>
      <c r="F465" t="inlineStr">
        <is>
          <t>VÄSTERNORRLANDS LÄN</t>
        </is>
      </c>
      <c r="G465" t="inlineStr">
        <is>
          <t>HÄRNÖSAND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46304</v>
      </c>
      <c r="F466" t="inlineStr">
        <is>
          <t>VÄSTERNORRLANDS LÄN</t>
        </is>
      </c>
      <c r="G466" t="inlineStr">
        <is>
          <t>HÄRNÖSAND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46304</v>
      </c>
      <c r="F467" t="inlineStr">
        <is>
          <t>VÄSTERNORRLANDS LÄN</t>
        </is>
      </c>
      <c r="G467" t="inlineStr">
        <is>
          <t>HÄRNÖSAND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46304</v>
      </c>
      <c r="F468" t="inlineStr">
        <is>
          <t>VÄSTERNORRLANDS LÄN</t>
        </is>
      </c>
      <c r="G468" t="inlineStr">
        <is>
          <t>HÄRNÖSAND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46304</v>
      </c>
      <c r="F469" t="inlineStr">
        <is>
          <t>VÄSTERNORRLANDS LÄN</t>
        </is>
      </c>
      <c r="G469" t="inlineStr">
        <is>
          <t>HÄRNÖSAND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45505</v>
      </c>
      <c r="E470" s="1" t="n">
        <v>46304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46320-2022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44847</v>
      </c>
      <c r="E471" s="1" t="n">
        <v>46304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Kyrkan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46304</v>
      </c>
      <c r="F472" t="inlineStr">
        <is>
          <t>VÄSTERNORRLANDS LÄN</t>
        </is>
      </c>
      <c r="G472" t="inlineStr">
        <is>
          <t>HÄRNÖSAND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44847</v>
      </c>
      <c r="E473" s="1" t="n">
        <v>46304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Kyrkan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46304</v>
      </c>
      <c r="F474" t="inlineStr">
        <is>
          <t>VÄSTERNORRLANDS LÄN</t>
        </is>
      </c>
      <c r="G474" t="inlineStr">
        <is>
          <t>HÄRNÖSAND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46304</v>
      </c>
      <c r="F475" t="inlineStr">
        <is>
          <t>VÄSTERNORRLANDS LÄN</t>
        </is>
      </c>
      <c r="G475" t="inlineStr">
        <is>
          <t>HÄRNÖSAND</t>
        </is>
      </c>
      <c r="I475" t="n">
        <v>7.5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46304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46304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45328</v>
      </c>
      <c r="E478" s="1" t="n">
        <v>46304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46304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46304</v>
      </c>
      <c r="F480" t="inlineStr">
        <is>
          <t>VÄSTERNORRLANDS LÄN</t>
        </is>
      </c>
      <c r="G480" t="inlineStr">
        <is>
          <t>HÄRNÖSAND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45390</v>
      </c>
      <c r="E481" s="1" t="n">
        <v>46304</v>
      </c>
      <c r="F481" t="inlineStr">
        <is>
          <t>VÄSTERNORRLANDS LÄN</t>
        </is>
      </c>
      <c r="G481" t="inlineStr">
        <is>
          <t>HÄRNÖSAND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60970-2021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46304</v>
      </c>
      <c r="F482" t="inlineStr">
        <is>
          <t>VÄSTERNORRLANDS LÄN</t>
        </is>
      </c>
      <c r="G482" t="inlineStr">
        <is>
          <t>HÄRNÖSAND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52987-2022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44875</v>
      </c>
      <c r="E483" s="1" t="n">
        <v>46304</v>
      </c>
      <c r="F483" t="inlineStr">
        <is>
          <t>VÄSTERNORRLANDS LÄN</t>
        </is>
      </c>
      <c r="G483" t="inlineStr">
        <is>
          <t>HÄRNÖSAND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69269-2021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44531</v>
      </c>
      <c r="E484" s="1" t="n">
        <v>46304</v>
      </c>
      <c r="F484" t="inlineStr">
        <is>
          <t>VÄSTERNORRLANDS LÄN</t>
        </is>
      </c>
      <c r="G484" t="inlineStr">
        <is>
          <t>HÄRNÖSAND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46304</v>
      </c>
      <c r="F485" t="inlineStr">
        <is>
          <t>VÄSTERNORRLANDS LÄN</t>
        </is>
      </c>
      <c r="G485" t="inlineStr">
        <is>
          <t>HÄRNÖSAND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46304</v>
      </c>
      <c r="F486" t="inlineStr">
        <is>
          <t>VÄSTERNORRLANDS LÄN</t>
        </is>
      </c>
      <c r="G486" t="inlineStr">
        <is>
          <t>HÄRNÖSAND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46304</v>
      </c>
      <c r="F487" t="inlineStr">
        <is>
          <t>VÄSTERNORRLANDS LÄN</t>
        </is>
      </c>
      <c r="G487" t="inlineStr">
        <is>
          <t>HÄRNÖSAND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45595</v>
      </c>
      <c r="E488" s="1" t="n">
        <v>46304</v>
      </c>
      <c r="F488" t="inlineStr">
        <is>
          <t>VÄSTERNORRLANDS LÄN</t>
        </is>
      </c>
      <c r="G488" t="inlineStr">
        <is>
          <t>HÄRNÖSAND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46304</v>
      </c>
      <c r="F489" t="inlineStr">
        <is>
          <t>VÄSTERNORRLANDS LÄN</t>
        </is>
      </c>
      <c r="G489" t="inlineStr">
        <is>
          <t>HÄRNÖSAND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64377-2023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45280</v>
      </c>
      <c r="E490" s="1" t="n">
        <v>46304</v>
      </c>
      <c r="F490" t="inlineStr">
        <is>
          <t>VÄSTERNORRLANDS LÄN</t>
        </is>
      </c>
      <c r="G490" t="inlineStr">
        <is>
          <t>HÄRNÖSAND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45800</v>
      </c>
      <c r="E491" s="1" t="n">
        <v>46304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19827-2022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44694</v>
      </c>
      <c r="E492" s="1" t="n">
        <v>46304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46304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46304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46304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44743</v>
      </c>
      <c r="E496" s="1" t="n">
        <v>46304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44806</v>
      </c>
      <c r="E497" s="1" t="n">
        <v>46304</v>
      </c>
      <c r="F497" t="inlineStr">
        <is>
          <t>VÄSTERNORRLANDS LÄN</t>
        </is>
      </c>
      <c r="G497" t="inlineStr">
        <is>
          <t>HÄRNÖSAND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46304</v>
      </c>
      <c r="F498" t="inlineStr">
        <is>
          <t>VÄSTERNORRLANDS LÄN</t>
        </is>
      </c>
      <c r="G498" t="inlineStr">
        <is>
          <t>HÄRNÖSAND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37172-2022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44806</v>
      </c>
      <c r="E499" s="1" t="n">
        <v>46304</v>
      </c>
      <c r="F499" t="inlineStr">
        <is>
          <t>VÄSTERNORRLANDS LÄN</t>
        </is>
      </c>
      <c r="G499" t="inlineStr">
        <is>
          <t>HÄRNÖSAND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46304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46304</v>
      </c>
      <c r="F501" t="inlineStr">
        <is>
          <t>VÄSTERNORRLANDS LÄN</t>
        </is>
      </c>
      <c r="G501" t="inlineStr">
        <is>
          <t>HÄRNÖSAND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46304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46304</v>
      </c>
      <c r="F503" t="inlineStr">
        <is>
          <t>VÄSTERNORRLANDS LÄN</t>
        </is>
      </c>
      <c r="G503" t="inlineStr">
        <is>
          <t>HÄRNÖSAND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46304</v>
      </c>
      <c r="F504" t="inlineStr">
        <is>
          <t>VÄSTERNORRLANDS LÄN</t>
        </is>
      </c>
      <c r="G504" t="inlineStr">
        <is>
          <t>HÄRNÖSAND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46304</v>
      </c>
      <c r="F505" t="inlineStr">
        <is>
          <t>VÄSTERNORRLANDS LÄN</t>
        </is>
      </c>
      <c r="G505" t="inlineStr">
        <is>
          <t>HÄRNÖSAND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46304</v>
      </c>
      <c r="F506" t="inlineStr">
        <is>
          <t>VÄSTERNORRLANDS LÄN</t>
        </is>
      </c>
      <c r="G506" t="inlineStr">
        <is>
          <t>HÄRNÖSAND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46304</v>
      </c>
      <c r="F507" t="inlineStr">
        <is>
          <t>VÄSTERNORRLANDS LÄN</t>
        </is>
      </c>
      <c r="G507" t="inlineStr">
        <is>
          <t>HÄRNÖSAND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46304</v>
      </c>
      <c r="F508" t="inlineStr">
        <is>
          <t>VÄSTERNORRLANDS LÄN</t>
        </is>
      </c>
      <c r="G508" t="inlineStr">
        <is>
          <t>HÄRNÖSAND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46304</v>
      </c>
      <c r="F509" t="inlineStr">
        <is>
          <t>VÄSTERNORRLANDS LÄN</t>
        </is>
      </c>
      <c r="G509" t="inlineStr">
        <is>
          <t>HÄRNÖSAND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44991</v>
      </c>
      <c r="E510" s="1" t="n">
        <v>46304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58869-2023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45250</v>
      </c>
      <c r="E511" s="1" t="n">
        <v>46304</v>
      </c>
      <c r="F511" t="inlineStr">
        <is>
          <t>VÄSTERNORRLANDS LÄN</t>
        </is>
      </c>
      <c r="G511" t="inlineStr">
        <is>
          <t>HÄRNÖSAND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45921-2024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45580</v>
      </c>
      <c r="E512" s="1" t="n">
        <v>46304</v>
      </c>
      <c r="F512" t="inlineStr">
        <is>
          <t>VÄSTERNORRLANDS LÄN</t>
        </is>
      </c>
      <c r="G512" t="inlineStr">
        <is>
          <t>HÄRNÖSAND</t>
        </is>
      </c>
      <c r="I512" t="n">
        <v>14.2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45281</v>
      </c>
      <c r="E513" s="1" t="n">
        <v>46304</v>
      </c>
      <c r="F513" t="inlineStr">
        <is>
          <t>VÄSTERNORRLANDS LÄN</t>
        </is>
      </c>
      <c r="G513" t="inlineStr">
        <is>
          <t>HÄRNÖSAND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44957</v>
      </c>
      <c r="E514" s="1" t="n">
        <v>46304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46304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61776-2023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45265</v>
      </c>
      <c r="E516" s="1" t="n">
        <v>46304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46304</v>
      </c>
      <c r="F517" t="inlineStr">
        <is>
          <t>VÄSTERNORRLANDS LÄN</t>
        </is>
      </c>
      <c r="G517" t="inlineStr">
        <is>
          <t>HÄRNÖSAND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46304</v>
      </c>
      <c r="F518" t="inlineStr">
        <is>
          <t>VÄSTERNORRLANDS LÄN</t>
        </is>
      </c>
      <c r="G518" t="inlineStr">
        <is>
          <t>HÄRNÖSAND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46304</v>
      </c>
      <c r="F519" t="inlineStr">
        <is>
          <t>VÄSTERNORRLANDS LÄN</t>
        </is>
      </c>
      <c r="G519" t="inlineStr">
        <is>
          <t>HÄRNÖSAND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46304</v>
      </c>
      <c r="F520" t="inlineStr">
        <is>
          <t>VÄSTERNORRLANDS LÄN</t>
        </is>
      </c>
      <c r="G520" t="inlineStr">
        <is>
          <t>HÄRNÖSAND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45476</v>
      </c>
      <c r="E521" s="1" t="n">
        <v>46304</v>
      </c>
      <c r="F521" t="inlineStr">
        <is>
          <t>VÄSTERNORRLANDS LÄN</t>
        </is>
      </c>
      <c r="G521" t="inlineStr">
        <is>
          <t>HÄRNÖSAND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46304</v>
      </c>
      <c r="F522" t="inlineStr">
        <is>
          <t>VÄSTERNORRLANDS LÄN</t>
        </is>
      </c>
      <c r="G522" t="inlineStr">
        <is>
          <t>HÄRNÖSAND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46304</v>
      </c>
      <c r="F523" t="inlineStr">
        <is>
          <t>VÄSTERNORRLANDS LÄN</t>
        </is>
      </c>
      <c r="G523" t="inlineStr">
        <is>
          <t>HÄRNÖSAND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27976-2024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46304</v>
      </c>
      <c r="F524" t="inlineStr">
        <is>
          <t>VÄSTERNORRLANDS LÄN</t>
        </is>
      </c>
      <c r="G524" t="inlineStr">
        <is>
          <t>HÄRNÖSAND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46304</v>
      </c>
      <c r="F525" t="inlineStr">
        <is>
          <t>VÄSTERNORRLANDS LÄN</t>
        </is>
      </c>
      <c r="G525" t="inlineStr">
        <is>
          <t>HÄRNÖSAND</t>
        </is>
      </c>
      <c r="I525" t="n">
        <v>14.6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39498-2023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46304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46304</v>
      </c>
      <c r="F527" t="inlineStr">
        <is>
          <t>VÄSTERNORRLANDS LÄN</t>
        </is>
      </c>
      <c r="G527" t="inlineStr">
        <is>
          <t>HÄRNÖSAND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48047-2022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44855</v>
      </c>
      <c r="E528" s="1" t="n">
        <v>46304</v>
      </c>
      <c r="F528" t="inlineStr">
        <is>
          <t>VÄSTERNORRLANDS LÄN</t>
        </is>
      </c>
      <c r="G528" t="inlineStr">
        <is>
          <t>HÄRNÖSAND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46304</v>
      </c>
      <c r="F529" t="inlineStr">
        <is>
          <t>VÄSTERNORRLANDS LÄN</t>
        </is>
      </c>
      <c r="G529" t="inlineStr">
        <is>
          <t>HÄRNÖSAND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56395-2022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44890</v>
      </c>
      <c r="E530" s="1" t="n">
        <v>46304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Kyrkan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46304</v>
      </c>
      <c r="F531" t="inlineStr">
        <is>
          <t>VÄSTERNORRLANDS LÄN</t>
        </is>
      </c>
      <c r="G531" t="inlineStr">
        <is>
          <t>HÄRNÖSAND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46304</v>
      </c>
      <c r="F532" t="inlineStr">
        <is>
          <t>VÄSTERNORRLANDS LÄN</t>
        </is>
      </c>
      <c r="G532" t="inlineStr">
        <is>
          <t>HÄRNÖSAND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46304</v>
      </c>
      <c r="F533" t="inlineStr">
        <is>
          <t>VÄSTERNORRLANDS LÄN</t>
        </is>
      </c>
      <c r="G533" t="inlineStr">
        <is>
          <t>HÄRNÖSAND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46304</v>
      </c>
      <c r="F534" t="inlineStr">
        <is>
          <t>VÄSTERNORRLANDS LÄN</t>
        </is>
      </c>
      <c r="G534" t="inlineStr">
        <is>
          <t>HÄRNÖSAND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46304</v>
      </c>
      <c r="F535" t="inlineStr">
        <is>
          <t>VÄSTERNORRLANDS LÄN</t>
        </is>
      </c>
      <c r="G535" t="inlineStr">
        <is>
          <t>HÄRNÖSAND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44945</v>
      </c>
      <c r="E536" s="1" t="n">
        <v>46304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30711-2026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46211</v>
      </c>
      <c r="E537" s="1" t="n">
        <v>46304</v>
      </c>
      <c r="F537" t="inlineStr">
        <is>
          <t>VÄSTERNORRLANDS LÄN</t>
        </is>
      </c>
      <c r="G537" t="inlineStr">
        <is>
          <t>HÄRNÖSAND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46215</v>
      </c>
      <c r="E538" s="1" t="n">
        <v>46304</v>
      </c>
      <c r="F538" t="inlineStr">
        <is>
          <t>VÄSTERNORRLANDS LÄN</t>
        </is>
      </c>
      <c r="G538" t="inlineStr">
        <is>
          <t>HÄRNÖSAND</t>
        </is>
      </c>
      <c r="I538" t="n">
        <v>12.7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31050-2026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46215</v>
      </c>
      <c r="E539" s="1" t="n">
        <v>46304</v>
      </c>
      <c r="F539" t="inlineStr">
        <is>
          <t>VÄSTERNORRLANDS LÄN</t>
        </is>
      </c>
      <c r="G539" t="inlineStr">
        <is>
          <t>HÄRNÖSAND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7793-2024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45348</v>
      </c>
      <c r="E540" s="1" t="n">
        <v>46304</v>
      </c>
      <c r="F540" t="inlineStr">
        <is>
          <t>VÄSTERNORRLANDS LÄN</t>
        </is>
      </c>
      <c r="G540" t="inlineStr">
        <is>
          <t>HÄRNÖSAND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46213</v>
      </c>
      <c r="E541" s="1" t="n">
        <v>46304</v>
      </c>
      <c r="F541" t="inlineStr">
        <is>
          <t>VÄSTERNORRLANDS LÄN</t>
        </is>
      </c>
      <c r="G541" t="inlineStr">
        <is>
          <t>HÄRNÖSAND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46213</v>
      </c>
      <c r="E542" s="1" t="n">
        <v>46304</v>
      </c>
      <c r="F542" t="inlineStr">
        <is>
          <t>VÄSTERNORRLANDS LÄN</t>
        </is>
      </c>
      <c r="G542" t="inlineStr">
        <is>
          <t>HÄRNÖSAND</t>
        </is>
      </c>
      <c r="I542" t="n">
        <v>13.6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59034-2022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44903</v>
      </c>
      <c r="E543" s="1" t="n">
        <v>46304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46219</v>
      </c>
      <c r="E544" s="1" t="n">
        <v>46304</v>
      </c>
      <c r="F544" t="inlineStr">
        <is>
          <t>VÄSTERNORRLANDS LÄN</t>
        </is>
      </c>
      <c r="G544" t="inlineStr">
        <is>
          <t>HÄRNÖSAND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45251</v>
      </c>
      <c r="E545" s="1" t="n">
        <v>46304</v>
      </c>
      <c r="F545" t="inlineStr">
        <is>
          <t>VÄSTERNORRLANDS LÄN</t>
        </is>
      </c>
      <c r="G545" t="inlineStr">
        <is>
          <t>HÄRNÖSAND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46304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46304</v>
      </c>
      <c r="F547" t="inlineStr">
        <is>
          <t>VÄSTERNORRLANDS LÄN</t>
        </is>
      </c>
      <c r="G547" t="inlineStr">
        <is>
          <t>HÄRNÖSAND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46213</v>
      </c>
      <c r="E548" s="1" t="n">
        <v>46304</v>
      </c>
      <c r="F548" t="inlineStr">
        <is>
          <t>VÄSTERNORRLANDS LÄN</t>
        </is>
      </c>
      <c r="G548" t="inlineStr">
        <is>
          <t>HÄRNÖSAND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46304</v>
      </c>
      <c r="F549" t="inlineStr">
        <is>
          <t>VÄSTERNORRLANDS LÄN</t>
        </is>
      </c>
      <c r="G549" t="inlineStr">
        <is>
          <t>HÄRNÖSAND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46304</v>
      </c>
      <c r="F550" t="inlineStr">
        <is>
          <t>VÄSTERNORRLANDS LÄN</t>
        </is>
      </c>
      <c r="G550" t="inlineStr">
        <is>
          <t>HÄRNÖSAND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46262</v>
      </c>
      <c r="E551" s="1" t="n">
        <v>46304</v>
      </c>
      <c r="F551" t="inlineStr">
        <is>
          <t>VÄSTERNORRLANDS LÄN</t>
        </is>
      </c>
      <c r="G551" t="inlineStr">
        <is>
          <t>HÄRNÖSAND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45512</v>
      </c>
      <c r="E552" s="1" t="n">
        <v>46304</v>
      </c>
      <c r="F552" t="inlineStr">
        <is>
          <t>VÄSTERNORRLANDS LÄN</t>
        </is>
      </c>
      <c r="G552" t="inlineStr">
        <is>
          <t>HÄRNÖSAND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46304</v>
      </c>
      <c r="F553" t="inlineStr">
        <is>
          <t>VÄSTERNORRLANDS LÄN</t>
        </is>
      </c>
      <c r="G553" t="inlineStr">
        <is>
          <t>HÄRNÖSAND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61574-2021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44497</v>
      </c>
      <c r="E554" s="1" t="n">
        <v>46304</v>
      </c>
      <c r="F554" t="inlineStr">
        <is>
          <t>VÄSTERNORRLANDS LÄN</t>
        </is>
      </c>
      <c r="G554" t="inlineStr">
        <is>
          <t>HÄRNÖSAND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62333-2021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44502</v>
      </c>
      <c r="E555" s="1" t="n">
        <v>46304</v>
      </c>
      <c r="F555" t="inlineStr">
        <is>
          <t>VÄSTERNORRLANDS LÄN</t>
        </is>
      </c>
      <c r="G555" t="inlineStr">
        <is>
          <t>HÄRNÖSAND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46304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22.1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45323</v>
      </c>
      <c r="E557" s="1" t="n">
        <v>46304</v>
      </c>
      <c r="F557" t="inlineStr">
        <is>
          <t>VÄSTERNORRLANDS LÄN</t>
        </is>
      </c>
      <c r="G557" t="inlineStr">
        <is>
          <t>HÄRNÖSAND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46304</v>
      </c>
      <c r="F558" t="inlineStr">
        <is>
          <t>VÄSTERNORRLANDS LÄN</t>
        </is>
      </c>
      <c r="G558" t="inlineStr">
        <is>
          <t>HÄRNÖSAND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44609</v>
      </c>
      <c r="E559" s="1" t="n">
        <v>46304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Övriga statliga verk och myndigheter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44952</v>
      </c>
      <c r="E560" s="1" t="n">
        <v>46304</v>
      </c>
      <c r="F560" t="inlineStr">
        <is>
          <t>VÄSTERNORRLANDS LÄN</t>
        </is>
      </c>
      <c r="G560" t="inlineStr">
        <is>
          <t>HÄRNÖSAND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44747</v>
      </c>
      <c r="E561" s="1" t="n">
        <v>46304</v>
      </c>
      <c r="F561" t="inlineStr">
        <is>
          <t>VÄSTERNORRLANDS LÄN</t>
        </is>
      </c>
      <c r="G561" t="inlineStr">
        <is>
          <t>HÄRNÖSAND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45152</v>
      </c>
      <c r="E562" s="1" t="n">
        <v>46304</v>
      </c>
      <c r="F562" t="inlineStr">
        <is>
          <t>VÄSTERNORRLANDS LÄN</t>
        </is>
      </c>
      <c r="G562" t="inlineStr">
        <is>
          <t>HÄRNÖSAND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45099</v>
      </c>
      <c r="E563" s="1" t="n">
        <v>46304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57154-2024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46304</v>
      </c>
      <c r="F564" t="inlineStr">
        <is>
          <t>VÄSTERNORRLANDS LÄN</t>
        </is>
      </c>
      <c r="G564" t="inlineStr">
        <is>
          <t>HÄRNÖSAND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12533-2023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45000</v>
      </c>
      <c r="E565" s="1" t="n">
        <v>46304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45000</v>
      </c>
      <c r="E566" s="1" t="n">
        <v>46304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39954-2022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44819</v>
      </c>
      <c r="E567" s="1" t="n">
        <v>46304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18348-2025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45762</v>
      </c>
      <c r="E568" s="1" t="n">
        <v>46304</v>
      </c>
      <c r="F568" t="inlineStr">
        <is>
          <t>VÄSTERNORRLANDS LÄN</t>
        </is>
      </c>
      <c r="G568" t="inlineStr">
        <is>
          <t>HÄRNÖSAND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46304</v>
      </c>
      <c r="F569" t="inlineStr">
        <is>
          <t>VÄSTERNORRLANDS LÄN</t>
        </is>
      </c>
      <c r="G569" t="inlineStr">
        <is>
          <t>HÄRNÖSAND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37246-2026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46274</v>
      </c>
      <c r="E570" s="1" t="n">
        <v>46304</v>
      </c>
      <c r="F570" t="inlineStr">
        <is>
          <t>VÄSTERNORRLANDS LÄN</t>
        </is>
      </c>
      <c r="G570" t="inlineStr">
        <is>
          <t>HÄRNÖSAND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46232</v>
      </c>
      <c r="E571" s="1" t="n">
        <v>46304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45163</v>
      </c>
      <c r="E572" s="1" t="n">
        <v>46304</v>
      </c>
      <c r="F572" t="inlineStr">
        <is>
          <t>VÄSTERNORRLANDS LÄN</t>
        </is>
      </c>
      <c r="G572" t="inlineStr">
        <is>
          <t>HÄRNÖSAND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45107</v>
      </c>
      <c r="E573" s="1" t="n">
        <v>46304</v>
      </c>
      <c r="F573" t="inlineStr">
        <is>
          <t>VÄSTERNORRLANDS LÄN</t>
        </is>
      </c>
      <c r="G573" t="inlineStr">
        <is>
          <t>HÄRNÖSAND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46304</v>
      </c>
      <c r="F574" t="inlineStr">
        <is>
          <t>VÄSTERNORRLANDS LÄN</t>
        </is>
      </c>
      <c r="G574" t="inlineStr">
        <is>
          <t>HÄRNÖSAND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20822-2025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45776</v>
      </c>
      <c r="E575" s="1" t="n">
        <v>46304</v>
      </c>
      <c r="F575" t="inlineStr">
        <is>
          <t>VÄSTERNORRLANDS LÄN</t>
        </is>
      </c>
      <c r="G575" t="inlineStr">
        <is>
          <t>HÄRNÖSAND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20821-2025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45776</v>
      </c>
      <c r="E576" s="1" t="n">
        <v>46304</v>
      </c>
      <c r="F576" t="inlineStr">
        <is>
          <t>VÄSTERNORRLANDS LÄN</t>
        </is>
      </c>
      <c r="G576" t="inlineStr">
        <is>
          <t>HÄRNÖSAND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32293-2026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46237</v>
      </c>
      <c r="E577" s="1" t="n">
        <v>46304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21484-2025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45782</v>
      </c>
      <c r="E578" s="1" t="n">
        <v>46304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32.1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46281</v>
      </c>
      <c r="E579" s="1" t="n">
        <v>46304</v>
      </c>
      <c r="F579" t="inlineStr">
        <is>
          <t>VÄSTERNORRLANDS LÄN</t>
        </is>
      </c>
      <c r="G579" t="inlineStr">
        <is>
          <t>HÄRNÖSAND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46281</v>
      </c>
      <c r="E580" s="1" t="n">
        <v>46304</v>
      </c>
      <c r="F580" t="inlineStr">
        <is>
          <t>VÄSTERNORRLANDS LÄN</t>
        </is>
      </c>
      <c r="G580" t="inlineStr">
        <is>
          <t>HÄRNÖSAND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46304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42343-2024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45562</v>
      </c>
      <c r="E582" s="1" t="n">
        <v>46304</v>
      </c>
      <c r="F582" t="inlineStr">
        <is>
          <t>VÄSTERNORRLANDS LÄN</t>
        </is>
      </c>
      <c r="G582" t="inlineStr">
        <is>
          <t>HÄRNÖSAND</t>
        </is>
      </c>
      <c r="I582" t="n">
        <v>15.6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32485-2026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46239</v>
      </c>
      <c r="E583" s="1" t="n">
        <v>46304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46304</v>
      </c>
      <c r="F584" t="inlineStr">
        <is>
          <t>VÄSTERNORRLANDS LÄN</t>
        </is>
      </c>
      <c r="G584" t="inlineStr">
        <is>
          <t>HÄRNÖSAND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46282</v>
      </c>
      <c r="E585" s="1" t="n">
        <v>46304</v>
      </c>
      <c r="F585" t="inlineStr">
        <is>
          <t>VÄSTERNORRLANDS LÄN</t>
        </is>
      </c>
      <c r="G585" t="inlineStr">
        <is>
          <t>HÄRNÖSAND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46189</v>
      </c>
      <c r="E586" s="1" t="n">
        <v>46304</v>
      </c>
      <c r="F586" t="inlineStr">
        <is>
          <t>VÄSTERNORRLANDS LÄN</t>
        </is>
      </c>
      <c r="G586" t="inlineStr">
        <is>
          <t>HÄRNÖSAND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46304</v>
      </c>
      <c r="F587" t="inlineStr">
        <is>
          <t>VÄSTERNORRLANDS LÄN</t>
        </is>
      </c>
      <c r="G587" t="inlineStr">
        <is>
          <t>HÄRNÖSAND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9160-2026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46304</v>
      </c>
      <c r="F588" t="inlineStr">
        <is>
          <t>VÄSTERNORRLANDS LÄN</t>
        </is>
      </c>
      <c r="G588" t="inlineStr">
        <is>
          <t>HÄRNÖSAND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46304</v>
      </c>
      <c r="F589" t="inlineStr">
        <is>
          <t>VÄSTERNORRLANDS LÄN</t>
        </is>
      </c>
      <c r="G589" t="inlineStr">
        <is>
          <t>HÄRNÖSAND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38849-2026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46286</v>
      </c>
      <c r="E590" s="1" t="n">
        <v>46304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23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6831-2024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45342</v>
      </c>
      <c r="E591" s="1" t="n">
        <v>46304</v>
      </c>
      <c r="F591" t="inlineStr">
        <is>
          <t>VÄSTERNORRLANDS LÄN</t>
        </is>
      </c>
      <c r="G591" t="inlineStr">
        <is>
          <t>HÄRNÖSAND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45433</v>
      </c>
      <c r="E592" s="1" t="n">
        <v>46304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38854-2026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46304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8475-2024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45351</v>
      </c>
      <c r="E594" s="1" t="n">
        <v>46304</v>
      </c>
      <c r="F594" t="inlineStr">
        <is>
          <t>VÄSTERNORRLANDS LÄN</t>
        </is>
      </c>
      <c r="G594" t="inlineStr">
        <is>
          <t>HÄRNÖSAND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45793</v>
      </c>
      <c r="E595" s="1" t="n">
        <v>46304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46304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Kyrkan</t>
        </is>
      </c>
      <c r="I596" t="n">
        <v>24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46287</v>
      </c>
      <c r="E597" s="1" t="n">
        <v>46304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46304</v>
      </c>
      <c r="F598" t="inlineStr">
        <is>
          <t>VÄSTERNORRLANDS LÄN</t>
        </is>
      </c>
      <c r="G598" t="inlineStr">
        <is>
          <t>HÄRNÖSAND</t>
        </is>
      </c>
      <c r="I598" t="n">
        <v>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45579</v>
      </c>
      <c r="E599" s="1" t="n">
        <v>46304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1088-2022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44571</v>
      </c>
      <c r="E600" s="1" t="n">
        <v>46304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39390-2026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46304</v>
      </c>
      <c r="F601" t="inlineStr">
        <is>
          <t>VÄSTERNORRLANDS LÄN</t>
        </is>
      </c>
      <c r="G601" t="inlineStr">
        <is>
          <t>HÄRNÖSAND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61944-2023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45266</v>
      </c>
      <c r="E602" s="1" t="n">
        <v>46304</v>
      </c>
      <c r="F602" t="inlineStr">
        <is>
          <t>VÄSTERNORRLANDS LÄN</t>
        </is>
      </c>
      <c r="G602" t="inlineStr">
        <is>
          <t>HÄRNÖSAND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46288</v>
      </c>
      <c r="E603" s="1" t="n">
        <v>46304</v>
      </c>
      <c r="F603" t="inlineStr">
        <is>
          <t>VÄSTERNORRLANDS LÄN</t>
        </is>
      </c>
      <c r="G603" t="inlineStr">
        <is>
          <t>HÄRNÖSAND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46286</v>
      </c>
      <c r="E604" s="1" t="n">
        <v>46304</v>
      </c>
      <c r="F604" t="inlineStr">
        <is>
          <t>VÄSTERNORRLANDS LÄN</t>
        </is>
      </c>
      <c r="G604" t="inlineStr">
        <is>
          <t>HÄRNÖSAND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45516</v>
      </c>
      <c r="E605" s="1" t="n">
        <v>46304</v>
      </c>
      <c r="F605" t="inlineStr">
        <is>
          <t>VÄSTERNORRLANDS LÄN</t>
        </is>
      </c>
      <c r="G605" t="inlineStr">
        <is>
          <t>HÄRNÖSAND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24955-2025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45799</v>
      </c>
      <c r="E606" s="1" t="n">
        <v>46304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39395-2026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46288</v>
      </c>
      <c r="E607" s="1" t="n">
        <v>46304</v>
      </c>
      <c r="F607" t="inlineStr">
        <is>
          <t>VÄSTERNORRLANDS LÄN</t>
        </is>
      </c>
      <c r="G607" t="inlineStr">
        <is>
          <t>HÄRNÖSAND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46304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25541-2025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46304</v>
      </c>
      <c r="F609" t="inlineStr">
        <is>
          <t>VÄSTERNORRLANDS LÄN</t>
        </is>
      </c>
      <c r="G609" t="inlineStr">
        <is>
          <t>HÄRNÖSAND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18461-2025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45762</v>
      </c>
      <c r="E610" s="1" t="n">
        <v>46304</v>
      </c>
      <c r="F610" t="inlineStr">
        <is>
          <t>VÄSTERNORRLANDS LÄN</t>
        </is>
      </c>
      <c r="G610" t="inlineStr">
        <is>
          <t>HÄRNÖSAND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33659-2026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46248</v>
      </c>
      <c r="E611" s="1" t="n">
        <v>46304</v>
      </c>
      <c r="F611" t="inlineStr">
        <is>
          <t>VÄSTERNORRLANDS LÄN</t>
        </is>
      </c>
      <c r="G611" t="inlineStr">
        <is>
          <t>HÄRNÖSAND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46304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45805</v>
      </c>
      <c r="E613" s="1" t="n">
        <v>46304</v>
      </c>
      <c r="F613" t="inlineStr">
        <is>
          <t>VÄSTERNORRLANDS LÄN</t>
        </is>
      </c>
      <c r="G613" t="inlineStr">
        <is>
          <t>HÄRNÖSAND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45630</v>
      </c>
      <c r="E614" s="1" t="n">
        <v>46304</v>
      </c>
      <c r="F614" t="inlineStr">
        <is>
          <t>VÄSTERNORRLANDS LÄN</t>
        </is>
      </c>
      <c r="G614" t="inlineStr">
        <is>
          <t>HÄRNÖSAND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49531-2023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46304</v>
      </c>
      <c r="F615" t="inlineStr">
        <is>
          <t>VÄSTERNORRLANDS LÄN</t>
        </is>
      </c>
      <c r="G615" t="inlineStr">
        <is>
          <t>HÄRNÖSAND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26918-2025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45811</v>
      </c>
      <c r="E616" s="1" t="n">
        <v>46304</v>
      </c>
      <c r="F616" t="inlineStr">
        <is>
          <t>VÄSTERNORRLANDS LÄN</t>
        </is>
      </c>
      <c r="G616" t="inlineStr">
        <is>
          <t>HÄRNÖSAND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45812</v>
      </c>
      <c r="E617" s="1" t="n">
        <v>46304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46304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34028-2026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46252</v>
      </c>
      <c r="E619" s="1" t="n">
        <v>46304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46304</v>
      </c>
      <c r="F620" t="inlineStr">
        <is>
          <t>VÄSTERNORRLANDS LÄN</t>
        </is>
      </c>
      <c r="G620" t="inlineStr">
        <is>
          <t>HÄRNÖSAND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46304</v>
      </c>
      <c r="F621" t="inlineStr">
        <is>
          <t>VÄSTERNORRLANDS LÄN</t>
        </is>
      </c>
      <c r="G621" t="inlineStr">
        <is>
          <t>HÄRNÖSAND</t>
        </is>
      </c>
      <c r="I621" t="n">
        <v>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29549-2025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46304</v>
      </c>
      <c r="F622" t="inlineStr">
        <is>
          <t>VÄSTERNORRLANDS LÄN</t>
        </is>
      </c>
      <c r="G622" t="inlineStr">
        <is>
          <t>HÄRNÖSAND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46304</v>
      </c>
      <c r="F623" t="inlineStr">
        <is>
          <t>VÄSTERNORRLANDS LÄN</t>
        </is>
      </c>
      <c r="G623" t="inlineStr">
        <is>
          <t>HÄRNÖSAND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29233-2025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45824</v>
      </c>
      <c r="E624" s="1" t="n">
        <v>46304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45826</v>
      </c>
      <c r="E625" s="1" t="n">
        <v>46304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Kyrkan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33747-2026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46304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46304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40833-2026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46296</v>
      </c>
      <c r="E628" s="1" t="n">
        <v>46304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46304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31305-2025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46304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40816-2026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46304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46304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46304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45834</v>
      </c>
      <c r="E634" s="1" t="n">
        <v>46304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26920-2025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46304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46296</v>
      </c>
      <c r="E636" s="1" t="n">
        <v>46304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11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31721-2025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45834</v>
      </c>
      <c r="E637" s="1" t="n">
        <v>46304</v>
      </c>
      <c r="F637" t="inlineStr">
        <is>
          <t>VÄSTERNORRLANDS LÄN</t>
        </is>
      </c>
      <c r="G637" t="inlineStr">
        <is>
          <t>HÄRNÖSAND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46304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41010-2026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46297</v>
      </c>
      <c r="E639" s="1" t="n">
        <v>46304</v>
      </c>
      <c r="F639" t="inlineStr">
        <is>
          <t>VÄSTERNORRLANDS LÄN</t>
        </is>
      </c>
      <c r="G639" t="inlineStr">
        <is>
          <t>HÄRNÖSAND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39369-2026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46288</v>
      </c>
      <c r="E640" s="1" t="n">
        <v>46304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40868-2026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46297</v>
      </c>
      <c r="E641" s="1" t="n">
        <v>46304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Kyrkan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46258</v>
      </c>
      <c r="E642" s="1" t="n">
        <v>46304</v>
      </c>
      <c r="F642" t="inlineStr">
        <is>
          <t>VÄSTERNORRLANDS LÄN</t>
        </is>
      </c>
      <c r="G642" t="inlineStr">
        <is>
          <t>HÄRNÖSAND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41439-2026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46301</v>
      </c>
      <c r="E643" s="1" t="n">
        <v>46304</v>
      </c>
      <c r="F643" t="inlineStr">
        <is>
          <t>VÄSTERNORRLANDS LÄN</t>
        </is>
      </c>
      <c r="G643" t="inlineStr">
        <is>
          <t>HÄRNÖSAND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41997-2026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46303</v>
      </c>
      <c r="E644" s="1" t="n">
        <v>46304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Kyrkan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46304</v>
      </c>
      <c r="F645" t="inlineStr">
        <is>
          <t>VÄSTERNORRLANDS LÄN</t>
        </is>
      </c>
      <c r="G645" t="inlineStr">
        <is>
          <t>HÄRNÖSAND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4299-2021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44393</v>
      </c>
      <c r="E646" s="1" t="n">
        <v>46304</v>
      </c>
      <c r="F646" t="inlineStr">
        <is>
          <t>VÄSTERNORRLANDS LÄN</t>
        </is>
      </c>
      <c r="G646" t="inlineStr">
        <is>
          <t>HÄRNÖSAND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382-2024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45323</v>
      </c>
      <c r="E647" s="1" t="n">
        <v>46304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831-2025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45733</v>
      </c>
      <c r="E648" s="1" t="n">
        <v>46304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113.3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1148-2025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45755</v>
      </c>
      <c r="E649" s="1" t="n">
        <v>46304</v>
      </c>
      <c r="F649" t="inlineStr">
        <is>
          <t>VÄSTERNORRLANDS LÄN</t>
        </is>
      </c>
      <c r="G649" t="inlineStr">
        <is>
          <t>HÄRNÖSAND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1559-2025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45793</v>
      </c>
      <c r="E650" s="1" t="n">
        <v>46304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525-2026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46078</v>
      </c>
      <c r="E651" s="1" t="n">
        <v>46304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484-2026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46073</v>
      </c>
      <c r="E652" s="1" t="n">
        <v>46304</v>
      </c>
      <c r="F652" t="inlineStr">
        <is>
          <t>VÄSTERNORRLANDS LÄN</t>
        </is>
      </c>
      <c r="G652" t="inlineStr">
        <is>
          <t>HÄRNÖSAND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723-2026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46093</v>
      </c>
      <c r="E653" s="1" t="n">
        <v>46304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1428-2026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46156</v>
      </c>
      <c r="E654" s="1" t="n">
        <v>46304</v>
      </c>
      <c r="F654" t="inlineStr">
        <is>
          <t>VÄSTERNORRLANDS LÄN</t>
        </is>
      </c>
      <c r="G654" t="inlineStr">
        <is>
          <t>HÄRNÖSAND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>
      <c r="A655" t="inlineStr">
        <is>
          <t>S 2294-2026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46267</v>
      </c>
      <c r="E655" s="1" t="n">
        <v>46304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2026-10-09T02:06:32Z</dcterms:created>
  <dcterms:modified xmlns:dcterms="http://purl.org/dc/terms/" xmlns:xsi="http://www.w3.org/2001/XMLSchema-instance" xsi:type="dcterms:W3CDTF">2026-10-09T02:06:33Z</dcterms:modified>
</cp:coreProperties>
</file>