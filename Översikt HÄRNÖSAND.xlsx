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s="2" t="inlineStr">
        <is>
          <t>Garnlav
Fjällig taggsvamp s.str.
Rosenticka
Rynkskinn
Tretåig hackspett
Ullticka
Vedticka
Tjäder
Revlummer</t>
        </is>
      </c>
      <c r="V13">
        <f>HYPERLINK("https://klasma.github.io/Logging_2280/artfynd/A 34546-2025 artfynd.xlsx", "A 34546-2025")</f>
        <v/>
      </c>
      <c r="W13">
        <f>HYPERLINK("https://klasma.github.io/Logging_2280/kartor/A 34546-2025 karta.png", "A 34546-2025")</f>
        <v/>
      </c>
      <c r="Y13">
        <f>HYPERLINK("https://klasma.github.io/Logging_2280/klagomål/A 34546-2025 FSC-klagomål.docx", "A 34546-2025")</f>
        <v/>
      </c>
      <c r="Z13">
        <f>HYPERLINK("https://klasma.github.io/Logging_2280/klagomålsmail/A 34546-2025 FSC-klagomål mail.docx", "A 34546-2025")</f>
        <v/>
      </c>
      <c r="AA13">
        <f>HYPERLINK("https://klasma.github.io/Logging_2280/tillsyn/A 34546-2025 tillsynsbegäran.docx", "A 34546-2025")</f>
        <v/>
      </c>
      <c r="AB13">
        <f>HYPERLINK("https://klasma.github.io/Logging_2280/tillsynsmail/A 34546-2025 tillsynsbegäran mail.docx", "A 34546-2025")</f>
        <v/>
      </c>
      <c r="AC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46220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s="2" t="inlineStr">
        <is>
          <t>Garnlav
Gammelgransskål
Lunglav
Rosenticka
Talltita
Ullticka
Stuplav
Vedticka
Spillkråka</t>
        </is>
      </c>
      <c r="V14">
        <f>HYPERLINK("https://klasma.github.io/Logging_2280/artfynd/A 26084-2025 artfynd.xlsx", "A 26084-2025")</f>
        <v/>
      </c>
      <c r="W14">
        <f>HYPERLINK("https://klasma.github.io/Logging_2280/kartor/A 26084-2025 karta.png", "A 26084-2025")</f>
        <v/>
      </c>
      <c r="Y14">
        <f>HYPERLINK("https://klasma.github.io/Logging_2280/klagomål/A 26084-2025 FSC-klagomål.docx", "A 26084-2025")</f>
        <v/>
      </c>
      <c r="Z14">
        <f>HYPERLINK("https://klasma.github.io/Logging_2280/klagomålsmail/A 26084-2025 FSC-klagomål mail.docx", "A 26084-2025")</f>
        <v/>
      </c>
      <c r="AA14">
        <f>HYPERLINK("https://klasma.github.io/Logging_2280/tillsyn/A 26084-2025 tillsynsbegäran.docx", "A 26084-2025")</f>
        <v/>
      </c>
      <c r="AB14">
        <f>HYPERLINK("https://klasma.github.io/Logging_2280/tillsynsmail/A 26084-2025 tillsynsbegäran mail.docx", "A 26084-2025")</f>
        <v/>
      </c>
      <c r="AC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46220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s="2" t="inlineStr">
        <is>
          <t>Garnlav
Doftskinn
Lunglav
Tretåig hackspett
Violettgrå tagellav
Gytterlav
Skinnlav
Stor aspticka
Kungsfågel</t>
        </is>
      </c>
      <c r="V15">
        <f>HYPERLINK("https://klasma.github.io/Logging_2280/artfynd/A 29686-2024 artfynd.xlsx", "A 29686-2024")</f>
        <v/>
      </c>
      <c r="W15">
        <f>HYPERLINK("https://klasma.github.io/Logging_2280/kartor/A 29686-2024 karta.png", "A 29686-2024")</f>
        <v/>
      </c>
      <c r="Y15">
        <f>HYPERLINK("https://klasma.github.io/Logging_2280/klagomål/A 29686-2024 FSC-klagomål.docx", "A 29686-2024")</f>
        <v/>
      </c>
      <c r="Z15">
        <f>HYPERLINK("https://klasma.github.io/Logging_2280/klagomålsmail/A 29686-2024 FSC-klagomål mail.docx", "A 29686-2024")</f>
        <v/>
      </c>
      <c r="AA15">
        <f>HYPERLINK("https://klasma.github.io/Logging_2280/tillsyn/A 29686-2024 tillsynsbegäran.docx", "A 29686-2024")</f>
        <v/>
      </c>
      <c r="AB15">
        <f>HYPERLINK("https://klasma.github.io/Logging_2280/tillsynsmail/A 29686-2024 tillsynsbegäran mail.docx", "A 29686-2024")</f>
        <v/>
      </c>
      <c r="AC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s="2" t="inlineStr">
        <is>
          <t>Aspfjädermossa
Aspgelélav
Doftskinn
Kolflarnlav
Ullticka
Korallblylav
Skinnlav
Stuplav
Vedticka</t>
        </is>
      </c>
      <c r="V16">
        <f>HYPERLINK("https://klasma.github.io/Logging_2280/artfynd/A 34711-2023 artfynd.xlsx", "A 34711-2023")</f>
        <v/>
      </c>
      <c r="W16">
        <f>HYPERLINK("https://klasma.github.io/Logging_2280/kartor/A 34711-2023 karta.png", "A 34711-2023")</f>
        <v/>
      </c>
      <c r="Y16">
        <f>HYPERLINK("https://klasma.github.io/Logging_2280/klagomål/A 34711-2023 FSC-klagomål.docx", "A 34711-2023")</f>
        <v/>
      </c>
      <c r="Z16">
        <f>HYPERLINK("https://klasma.github.io/Logging_2280/klagomålsmail/A 34711-2023 FSC-klagomål mail.docx", "A 34711-2023")</f>
        <v/>
      </c>
      <c r="AA16">
        <f>HYPERLINK("https://klasma.github.io/Logging_2280/tillsyn/A 34711-2023 tillsynsbegäran.docx", "A 34711-2023")</f>
        <v/>
      </c>
      <c r="AB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46220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46220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46220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s="2" t="inlineStr">
        <is>
          <t>Blackticka
Garnlav
Rosenticka
Ullticka
Violettgrå tagellav
Skinnlav
Vedticka</t>
        </is>
      </c>
      <c r="V19">
        <f>HYPERLINK("https://klasma.github.io/Logging_2280/artfynd/A 24540-2023 artfynd.xlsx", "A 24540-2023")</f>
        <v/>
      </c>
      <c r="W19">
        <f>HYPERLINK("https://klasma.github.io/Logging_2280/kartor/A 24540-2023 karta.png", "A 24540-2023")</f>
        <v/>
      </c>
      <c r="Y19">
        <f>HYPERLINK("https://klasma.github.io/Logging_2280/klagomål/A 24540-2023 FSC-klagomål.docx", "A 24540-2023")</f>
        <v/>
      </c>
      <c r="Z19">
        <f>HYPERLINK("https://klasma.github.io/Logging_2280/klagomålsmail/A 24540-2023 FSC-klagomål mail.docx", "A 24540-2023")</f>
        <v/>
      </c>
      <c r="AA19">
        <f>HYPERLINK("https://klasma.github.io/Logging_2280/tillsyn/A 24540-2023 tillsynsbegäran.docx", "A 24540-2023")</f>
        <v/>
      </c>
      <c r="AB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46220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s="2" t="inlineStr">
        <is>
          <t>Garnlav
Doftskinn
Gammelgransskål
Lunglav
Tretåig hackspett
Violettgrå tagellav
Vedticka</t>
        </is>
      </c>
      <c r="V20">
        <f>HYPERLINK("https://klasma.github.io/Logging_2280/artfynd/A 16182-2023 artfynd.xlsx", "A 16182-2023")</f>
        <v/>
      </c>
      <c r="W20">
        <f>HYPERLINK("https://klasma.github.io/Logging_2280/kartor/A 16182-2023 karta.png", "A 16182-2023")</f>
        <v/>
      </c>
      <c r="Y20">
        <f>HYPERLINK("https://klasma.github.io/Logging_2280/klagomål/A 16182-2023 FSC-klagomål.docx", "A 16182-2023")</f>
        <v/>
      </c>
      <c r="Z20">
        <f>HYPERLINK("https://klasma.github.io/Logging_2280/klagomålsmail/A 16182-2023 FSC-klagomål mail.docx", "A 16182-2023")</f>
        <v/>
      </c>
      <c r="AA20">
        <f>HYPERLINK("https://klasma.github.io/Logging_2280/tillsyn/A 16182-2023 tillsynsbegäran.docx", "A 16182-2023")</f>
        <v/>
      </c>
      <c r="AB20">
        <f>HYPERLINK("https://klasma.github.io/Logging_2280/tillsynsmail/A 16182-2023 tillsynsbegäran mail.docx", "A 16182-2023")</f>
        <v/>
      </c>
      <c r="AC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46220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s="2" t="inlineStr">
        <is>
          <t>Aspgelélav
Knärot
Liten aspgelélav
Apelsinticka
Lunglav</t>
        </is>
      </c>
      <c r="V23">
        <f>HYPERLINK("https://klasma.github.io/Logging_2280/artfynd/A 8412-2024 artfynd.xlsx", "A 8412-2024")</f>
        <v/>
      </c>
      <c r="W23">
        <f>HYPERLINK("https://klasma.github.io/Logging_2280/kartor/A 8412-2024 karta.png", "A 8412-2024")</f>
        <v/>
      </c>
      <c r="X23">
        <f>HYPERLINK("https://klasma.github.io/Logging_2280/knärot/A 8412-2024 karta knärot.png", "A 8412-2024")</f>
        <v/>
      </c>
      <c r="Y23">
        <f>HYPERLINK("https://klasma.github.io/Logging_2280/klagomål/A 8412-2024 FSC-klagomål.docx", "A 8412-2024")</f>
        <v/>
      </c>
      <c r="Z23">
        <f>HYPERLINK("https://klasma.github.io/Logging_2280/klagomålsmail/A 8412-2024 FSC-klagomål mail.docx", "A 8412-2024")</f>
        <v/>
      </c>
      <c r="AA23">
        <f>HYPERLINK("https://klasma.github.io/Logging_2280/tillsyn/A 8412-2024 tillsynsbegäran.docx", "A 8412-2024")</f>
        <v/>
      </c>
      <c r="AB23">
        <f>HYPERLINK("https://klasma.github.io/Logging_2280/tillsynsmail/A 8412-2024 tillsynsbegäran mail.docx", "A 8412-2024")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46220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s="2" t="inlineStr">
        <is>
          <t>Garnlav
Sötgräs
Ullticka
Strutbräken
Tibast</t>
        </is>
      </c>
      <c r="V24">
        <f>HYPERLINK("https://klasma.github.io/Logging_2280/artfynd/A 42961-2024 artfynd.xlsx", "A 42961-2024")</f>
        <v/>
      </c>
      <c r="W24">
        <f>HYPERLINK("https://klasma.github.io/Logging_2280/kartor/A 42961-2024 karta.png", "A 42961-2024")</f>
        <v/>
      </c>
      <c r="Y24">
        <f>HYPERLINK("https://klasma.github.io/Logging_2280/klagomål/A 42961-2024 FSC-klagomål.docx", "A 42961-2024")</f>
        <v/>
      </c>
      <c r="Z24">
        <f>HYPERLINK("https://klasma.github.io/Logging_2280/klagomålsmail/A 42961-2024 FSC-klagomål mail.docx", "A 42961-2024")</f>
        <v/>
      </c>
      <c r="AA24">
        <f>HYPERLINK("https://klasma.github.io/Logging_2280/tillsyn/A 42961-2024 tillsynsbegäran.docx", "A 42961-2024")</f>
        <v/>
      </c>
      <c r="AB24">
        <f>HYPERLINK("https://klasma.github.io/Logging_2280/tillsynsmail/A 42961-2024 tillsynsbegäran mail.docx", "A 42961-2024")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s="2" t="inlineStr">
        <is>
          <t>Garnlav
Raggbock
Apelsinticka
Violettgrå tagellav
Nästlav</t>
        </is>
      </c>
      <c r="V25">
        <f>HYPERLINK("https://klasma.github.io/Logging_2280/artfynd/A 52865-2025 artfynd.xlsx", "A 52865-2025")</f>
        <v/>
      </c>
      <c r="W25">
        <f>HYPERLINK("https://klasma.github.io/Logging_2280/kartor/A 52865-2025 karta.png", "A 52865-2025")</f>
        <v/>
      </c>
      <c r="Y25">
        <f>HYPERLINK("https://klasma.github.io/Logging_2280/klagomål/A 52865-2025 FSC-klagomål.docx", "A 52865-2025")</f>
        <v/>
      </c>
      <c r="Z25">
        <f>HYPERLINK("https://klasma.github.io/Logging_2280/klagomålsmail/A 52865-2025 FSC-klagomål mail.docx", "A 52865-2025")</f>
        <v/>
      </c>
      <c r="AA25">
        <f>HYPERLINK("https://klasma.github.io/Logging_2280/tillsyn/A 52865-2025 tillsynsbegäran.docx", "A 52865-2025")</f>
        <v/>
      </c>
      <c r="AB25">
        <f>HYPERLINK("https://klasma.github.io/Logging_2280/tillsynsmail/A 52865-2025 tillsynsbegäran mail.docx", "A 52865-2025")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46220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s="2" t="inlineStr">
        <is>
          <t>Dropptaggsvamp
Motaggsvamp
Tallticka
Ullticka
Vedticka</t>
        </is>
      </c>
      <c r="V26">
        <f>HYPERLINK("https://klasma.github.io/Logging_2280/artfynd/A 47711-2024 artfynd.xlsx", "A 47711-2024")</f>
        <v/>
      </c>
      <c r="W26">
        <f>HYPERLINK("https://klasma.github.io/Logging_2280/kartor/A 47711-2024 karta.png", "A 47711-2024")</f>
        <v/>
      </c>
      <c r="Y26">
        <f>HYPERLINK("https://klasma.github.io/Logging_2280/klagomål/A 47711-2024 FSC-klagomål.docx", "A 47711-2024")</f>
        <v/>
      </c>
      <c r="Z26">
        <f>HYPERLINK("https://klasma.github.io/Logging_2280/klagomålsmail/A 47711-2024 FSC-klagomål mail.docx", "A 47711-2024")</f>
        <v/>
      </c>
      <c r="AA26">
        <f>HYPERLINK("https://klasma.github.io/Logging_2280/tillsyn/A 47711-2024 tillsynsbegäran.docx", "A 47711-2024")</f>
        <v/>
      </c>
      <c r="AB26">
        <f>HYPERLINK("https://klasma.github.io/Logging_2280/tillsynsmail/A 47711-2024 tillsynsbegäran mail.docx", "A 47711-2024")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46220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Gammelgransskål
Rynkskinn
Tretåig hackspett
Ullticka
Spillkråka</t>
        </is>
      </c>
      <c r="V27">
        <f>HYPERLINK("https://klasma.github.io/Logging_2280/artfynd/A 44401-2023 artfynd.xlsx", "A 44401-2023")</f>
        <v/>
      </c>
      <c r="W27">
        <f>HYPERLINK("https://klasma.github.io/Logging_2280/kartor/A 44401-2023 karta.png", "A 44401-2023")</f>
        <v/>
      </c>
      <c r="Y27">
        <f>HYPERLINK("https://klasma.github.io/Logging_2280/klagomål/A 44401-2023 FSC-klagomål.docx", "A 44401-2023")</f>
        <v/>
      </c>
      <c r="Z27">
        <f>HYPERLINK("https://klasma.github.io/Logging_2280/klagomålsmail/A 44401-2023 FSC-klagomål mail.docx", "A 44401-2023")</f>
        <v/>
      </c>
      <c r="AA27">
        <f>HYPERLINK("https://klasma.github.io/Logging_2280/tillsyn/A 44401-2023 tillsynsbegäran.docx", "A 44401-2023")</f>
        <v/>
      </c>
      <c r="AB27">
        <f>HYPERLINK("https://klasma.github.io/Logging_2280/tillsynsmail/A 44401-2023 tillsynsbegäran mail.docx", "A 44401-2023")</f>
        <v/>
      </c>
      <c r="AC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s="2" t="inlineStr">
        <is>
          <t>Garnlav
Lunglav
Ullticka
Tvåblad
Blåsippa</t>
        </is>
      </c>
      <c r="V28">
        <f>HYPERLINK("https://klasma.github.io/Logging_2280/artfynd/A 48831-2024 artfynd.xlsx", "A 48831-2024")</f>
        <v/>
      </c>
      <c r="W28">
        <f>HYPERLINK("https://klasma.github.io/Logging_2280/kartor/A 48831-2024 karta.png", "A 48831-2024")</f>
        <v/>
      </c>
      <c r="Y28">
        <f>HYPERLINK("https://klasma.github.io/Logging_2280/klagomål/A 48831-2024 FSC-klagomål.docx", "A 48831-2024")</f>
        <v/>
      </c>
      <c r="Z28">
        <f>HYPERLINK("https://klasma.github.io/Logging_2280/klagomålsmail/A 48831-2024 FSC-klagomål mail.docx", "A 48831-2024")</f>
        <v/>
      </c>
      <c r="AA28">
        <f>HYPERLINK("https://klasma.github.io/Logging_2280/tillsyn/A 48831-2024 tillsynsbegäran.docx", "A 48831-2024")</f>
        <v/>
      </c>
      <c r="AB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46220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s="2" t="inlineStr">
        <is>
          <t>Gränsticka
Kattfotslav
Bårdlav
Skinnlav
Vedticka</t>
        </is>
      </c>
      <c r="V29">
        <f>HYPERLINK("https://klasma.github.io/Logging_2280/artfynd/A 48667-2024 artfynd.xlsx", "A 48667-2024")</f>
        <v/>
      </c>
      <c r="W29">
        <f>HYPERLINK("https://klasma.github.io/Logging_2280/kartor/A 48667-2024 karta.png", "A 48667-2024")</f>
        <v/>
      </c>
      <c r="Y29">
        <f>HYPERLINK("https://klasma.github.io/Logging_2280/klagomål/A 48667-2024 FSC-klagomål.docx", "A 48667-2024")</f>
        <v/>
      </c>
      <c r="Z29">
        <f>HYPERLINK("https://klasma.github.io/Logging_2280/klagomålsmail/A 48667-2024 FSC-klagomål mail.docx", "A 48667-2024")</f>
        <v/>
      </c>
      <c r="AA29">
        <f>HYPERLINK("https://klasma.github.io/Logging_2280/tillsyn/A 48667-2024 tillsynsbegäran.docx", "A 48667-2024")</f>
        <v/>
      </c>
      <c r="AB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46220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s="2" t="inlineStr">
        <is>
          <t>Garnlav
Gränsticka
Kötticka
Ullticka
Vedticka</t>
        </is>
      </c>
      <c r="V30">
        <f>HYPERLINK("https://klasma.github.io/Logging_2280/artfynd/A 39049-2024 artfynd.xlsx", "A 39049-2024")</f>
        <v/>
      </c>
      <c r="W30">
        <f>HYPERLINK("https://klasma.github.io/Logging_2280/kartor/A 39049-2024 karta.png", "A 39049-2024")</f>
        <v/>
      </c>
      <c r="Y30">
        <f>HYPERLINK("https://klasma.github.io/Logging_2280/klagomål/A 39049-2024 FSC-klagomål.docx", "A 39049-2024")</f>
        <v/>
      </c>
      <c r="Z30">
        <f>HYPERLINK("https://klasma.github.io/Logging_2280/klagomålsmail/A 39049-2024 FSC-klagomål mail.docx", "A 39049-2024")</f>
        <v/>
      </c>
      <c r="AA30">
        <f>HYPERLINK("https://klasma.github.io/Logging_2280/tillsyn/A 39049-2024 tillsynsbegäran.docx", "A 39049-2024")</f>
        <v/>
      </c>
      <c r="AB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46220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s="2" t="inlineStr">
        <is>
          <t>Garnlav
Kolflarnlav
Lunglav
Korallblylav</t>
        </is>
      </c>
      <c r="V32">
        <f>HYPERLINK("https://klasma.github.io/Logging_2280/artfynd/A 34647-2025 artfynd.xlsx", "A 34647-2025")</f>
        <v/>
      </c>
      <c r="W32">
        <f>HYPERLINK("https://klasma.github.io/Logging_2280/kartor/A 34647-2025 karta.png", "A 34647-2025")</f>
        <v/>
      </c>
      <c r="Y32">
        <f>HYPERLINK("https://klasma.github.io/Logging_2280/klagomål/A 34647-2025 FSC-klagomål.docx", "A 34647-2025")</f>
        <v/>
      </c>
      <c r="Z32">
        <f>HYPERLINK("https://klasma.github.io/Logging_2280/klagomålsmail/A 34647-2025 FSC-klagomål mail.docx", "A 34647-2025")</f>
        <v/>
      </c>
      <c r="AA32">
        <f>HYPERLINK("https://klasma.github.io/Logging_2280/tillsyn/A 34647-2025 tillsynsbegäran.docx", "A 34647-2025")</f>
        <v/>
      </c>
      <c r="AB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46220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s="2" t="inlineStr">
        <is>
          <t>Scharlakansvårskål agg.
Skinnlav
Svart trolldruva
Blåsippa</t>
        </is>
      </c>
      <c r="V33">
        <f>HYPERLINK("https://klasma.github.io/Logging_2280/artfynd/A 28512-2024 artfynd.xlsx", "A 28512-2024")</f>
        <v/>
      </c>
      <c r="W33">
        <f>HYPERLINK("https://klasma.github.io/Logging_2280/kartor/A 28512-2024 karta.png", "A 28512-2024")</f>
        <v/>
      </c>
      <c r="Y33">
        <f>HYPERLINK("https://klasma.github.io/Logging_2280/klagomål/A 28512-2024 FSC-klagomål.docx", "A 28512-2024")</f>
        <v/>
      </c>
      <c r="Z33">
        <f>HYPERLINK("https://klasma.github.io/Logging_2280/klagomålsmail/A 28512-2024 FSC-klagomål mail.docx", "A 28512-2024")</f>
        <v/>
      </c>
      <c r="AA33">
        <f>HYPERLINK("https://klasma.github.io/Logging_2280/tillsyn/A 28512-2024 tillsynsbegäran.docx", "A 28512-2024")</f>
        <v/>
      </c>
      <c r="AB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s="2" t="inlineStr">
        <is>
          <t>Garnlav
Lunglav
Korallblylav
Skinnlav</t>
        </is>
      </c>
      <c r="V34">
        <f>HYPERLINK("https://klasma.github.io/Logging_2280/artfynd/A 55337-2025 artfynd.xlsx", "A 55337-2025")</f>
        <v/>
      </c>
      <c r="W34">
        <f>HYPERLINK("https://klasma.github.io/Logging_2280/kartor/A 55337-2025 karta.png", "A 55337-2025")</f>
        <v/>
      </c>
      <c r="Y34">
        <f>HYPERLINK("https://klasma.github.io/Logging_2280/klagomål/A 55337-2025 FSC-klagomål.docx", "A 55337-2025")</f>
        <v/>
      </c>
      <c r="Z34">
        <f>HYPERLINK("https://klasma.github.io/Logging_2280/klagomålsmail/A 55337-2025 FSC-klagomål mail.docx", "A 55337-2025")</f>
        <v/>
      </c>
      <c r="AA34">
        <f>HYPERLINK("https://klasma.github.io/Logging_2280/tillsyn/A 55337-2025 tillsynsbegäran.docx", "A 55337-2025")</f>
        <v/>
      </c>
      <c r="AB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46220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s="2" t="inlineStr">
        <is>
          <t>Rosenticka
Rynkskinn
Ullticka
Trådticka</t>
        </is>
      </c>
      <c r="V35">
        <f>HYPERLINK("https://klasma.github.io/Logging_2280/artfynd/A 2795-2024 artfynd.xlsx", "A 2795-2024")</f>
        <v/>
      </c>
      <c r="W35">
        <f>HYPERLINK("https://klasma.github.io/Logging_2280/kartor/A 2795-2024 karta.png", "A 2795-2024")</f>
        <v/>
      </c>
      <c r="Y35">
        <f>HYPERLINK("https://klasma.github.io/Logging_2280/klagomål/A 2795-2024 FSC-klagomål.docx", "A 2795-2024")</f>
        <v/>
      </c>
      <c r="Z35">
        <f>HYPERLINK("https://klasma.github.io/Logging_2280/klagomålsmail/A 2795-2024 FSC-klagomål mail.docx", "A 2795-2024")</f>
        <v/>
      </c>
      <c r="AA35">
        <f>HYPERLINK("https://klasma.github.io/Logging_2280/tillsyn/A 2795-2024 tillsynsbegäran.docx", "A 2795-2024")</f>
        <v/>
      </c>
      <c r="AB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46220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s="2" t="inlineStr">
        <is>
          <t>Garnlav
Ullticka
Vitgrynig nållav
Skinnlav</t>
        </is>
      </c>
      <c r="V36">
        <f>HYPERLINK("https://klasma.github.io/Logging_2280/artfynd/A 32639-2024 artfynd.xlsx", "A 32639-2024")</f>
        <v/>
      </c>
      <c r="W36">
        <f>HYPERLINK("https://klasma.github.io/Logging_2280/kartor/A 32639-2024 karta.png", "A 32639-2024")</f>
        <v/>
      </c>
      <c r="Y36">
        <f>HYPERLINK("https://klasma.github.io/Logging_2280/klagomål/A 32639-2024 FSC-klagomål.docx", "A 32639-2024")</f>
        <v/>
      </c>
      <c r="Z36">
        <f>HYPERLINK("https://klasma.github.io/Logging_2280/klagomålsmail/A 32639-2024 FSC-klagomål mail.docx", "A 32639-2024")</f>
        <v/>
      </c>
      <c r="AA36">
        <f>HYPERLINK("https://klasma.github.io/Logging_2280/tillsyn/A 32639-2024 tillsynsbegäran.docx", "A 32639-2024")</f>
        <v/>
      </c>
      <c r="AB36">
        <f>HYPERLINK("https://klasma.github.io/Logging_2280/tillsynsmail/A 32639-2024 tillsynsbegäran mail.docx", "A 32639-2024")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s="2" t="inlineStr">
        <is>
          <t>Garnlav
Ullticka
Vedflamlav
Stuplav</t>
        </is>
      </c>
      <c r="V37">
        <f>HYPERLINK("https://klasma.github.io/Logging_2280/artfynd/A 41592-2024 artfynd.xlsx", "A 41592-2024")</f>
        <v/>
      </c>
      <c r="W37">
        <f>HYPERLINK("https://klasma.github.io/Logging_2280/kartor/A 41592-2024 karta.png", "A 41592-2024")</f>
        <v/>
      </c>
      <c r="Y37">
        <f>HYPERLINK("https://klasma.github.io/Logging_2280/klagomål/A 41592-2024 FSC-klagomål.docx", "A 41592-2024")</f>
        <v/>
      </c>
      <c r="Z37">
        <f>HYPERLINK("https://klasma.github.io/Logging_2280/klagomålsmail/A 41592-2024 FSC-klagomål mail.docx", "A 41592-2024")</f>
        <v/>
      </c>
      <c r="AA37">
        <f>HYPERLINK("https://klasma.github.io/Logging_2280/tillsyn/A 41592-2024 tillsynsbegäran.docx", "A 41592-2024")</f>
        <v/>
      </c>
      <c r="AB37">
        <f>HYPERLINK("https://klasma.github.io/Logging_2280/tillsynsmail/A 41592-2024 tillsynsbegäran mail.docx", "A 41592-2024")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46220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s="2" t="inlineStr">
        <is>
          <t>Garnlav
Gammelgransskål
Ullticka
Vedticka</t>
        </is>
      </c>
      <c r="V38">
        <f>HYPERLINK("https://klasma.github.io/Logging_2280/artfynd/A 25339-2026 artfynd.xlsx", "A 25339-2026")</f>
        <v/>
      </c>
      <c r="W38">
        <f>HYPERLINK("https://klasma.github.io/Logging_2280/kartor/A 25339-2026 karta.png", "A 25339-2026")</f>
        <v/>
      </c>
      <c r="Y38">
        <f>HYPERLINK("https://klasma.github.io/Logging_2280/klagomål/A 25339-2026 FSC-klagomål.docx", "A 25339-2026")</f>
        <v/>
      </c>
      <c r="Z38">
        <f>HYPERLINK("https://klasma.github.io/Logging_2280/klagomålsmail/A 25339-2026 FSC-klagomål mail.docx", "A 25339-2026")</f>
        <v/>
      </c>
      <c r="AA38">
        <f>HYPERLINK("https://klasma.github.io/Logging_2280/tillsyn/A 25339-2026 tillsynsbegäran.docx", "A 25339-2026")</f>
        <v/>
      </c>
      <c r="AB38">
        <f>HYPERLINK("https://klasma.github.io/Logging_2280/tillsynsmail/A 25339-2026 tillsynsbegäran mail.docx", "A 25339-2026")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46220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Sotvaxskivling
Sotriska
Svavelriska</t>
        </is>
      </c>
      <c r="V42">
        <f>HYPERLINK("https://klasma.github.io/Logging_2280/artfynd/A 29814-2022 artfynd.xlsx", "A 29814-2022")</f>
        <v/>
      </c>
      <c r="W42">
        <f>HYPERLINK("https://klasma.github.io/Logging_2280/kartor/A 29814-2022 karta.png", "A 29814-2022")</f>
        <v/>
      </c>
      <c r="Y42">
        <f>HYPERLINK("https://klasma.github.io/Logging_2280/klagomål/A 29814-2022 FSC-klagomål.docx", "A 29814-2022")</f>
        <v/>
      </c>
      <c r="Z42">
        <f>HYPERLINK("https://klasma.github.io/Logging_2280/klagomålsmail/A 29814-2022 FSC-klagomål mail.docx", "A 29814-2022")</f>
        <v/>
      </c>
      <c r="AA42">
        <f>HYPERLINK("https://klasma.github.io/Logging_2280/tillsyn/A 29814-2022 tillsynsbegäran.docx", "A 29814-2022")</f>
        <v/>
      </c>
      <c r="AB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Y43">
        <f>HYPERLINK("https://klasma.github.io/Logging_2280/klagomål/A 54552-2024 FSC-klagomål.docx", "A 54552-2024")</f>
        <v/>
      </c>
      <c r="Z43">
        <f>HYPERLINK("https://klasma.github.io/Logging_2280/klagomålsmail/A 54552-2024 FSC-klagomål mail.docx", "A 54552-2024")</f>
        <v/>
      </c>
      <c r="AA43">
        <f>HYPERLINK("https://klasma.github.io/Logging_2280/tillsyn/A 54552-2024 tillsynsbegäran.docx", "A 54552-2024")</f>
        <v/>
      </c>
      <c r="AB43">
        <f>HYPERLINK("https://klasma.github.io/Logging_2280/tillsynsmail/A 54552-2024 tillsynsbegäran mail.docx", "A 54552-2024")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46220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47484-2025 artfynd.xlsx", "A 47484-2025")</f>
        <v/>
      </c>
      <c r="W44">
        <f>HYPERLINK("https://klasma.github.io/Logging_2280/kartor/A 47484-2025 karta.png", "A 47484-2025")</f>
        <v/>
      </c>
      <c r="Y44">
        <f>HYPERLINK("https://klasma.github.io/Logging_2280/klagomål/A 47484-2025 FSC-klagomål.docx", "A 47484-2025")</f>
        <v/>
      </c>
      <c r="Z44">
        <f>HYPERLINK("https://klasma.github.io/Logging_2280/klagomålsmail/A 47484-2025 FSC-klagomål mail.docx", "A 47484-2025")</f>
        <v/>
      </c>
      <c r="AA44">
        <f>HYPERLINK("https://klasma.github.io/Logging_2280/tillsyn/A 47484-2025 tillsynsbegäran.docx", "A 47484-2025")</f>
        <v/>
      </c>
      <c r="AB44">
        <f>HYPERLINK("https://klasma.github.io/Logging_2280/tillsynsmail/A 47484-2025 tillsynsbegäran mail.docx", "A 47484-2025")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46220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s="2" t="inlineStr">
        <is>
          <t>Rynkskinn
Ullticka
Blåsippa</t>
        </is>
      </c>
      <c r="V45">
        <f>HYPERLINK("https://klasma.github.io/Logging_2280/artfynd/A 34689-2024 artfynd.xlsx", "A 34689-2024")</f>
        <v/>
      </c>
      <c r="W45">
        <f>HYPERLINK("https://klasma.github.io/Logging_2280/kartor/A 34689-2024 karta.png", "A 34689-2024")</f>
        <v/>
      </c>
      <c r="Y45">
        <f>HYPERLINK("https://klasma.github.io/Logging_2280/klagomål/A 34689-2024 FSC-klagomål.docx", "A 34689-2024")</f>
        <v/>
      </c>
      <c r="Z45">
        <f>HYPERLINK("https://klasma.github.io/Logging_2280/klagomålsmail/A 34689-2024 FSC-klagomål mail.docx", "A 34689-2024")</f>
        <v/>
      </c>
      <c r="AA45">
        <f>HYPERLINK("https://klasma.github.io/Logging_2280/tillsyn/A 34689-2024 tillsynsbegäran.docx", "A 34689-2024")</f>
        <v/>
      </c>
      <c r="AB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46220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Slåtterfibbla
Strutbräken
Svart trolldruva</t>
        </is>
      </c>
      <c r="V46">
        <f>HYPERLINK("https://klasma.github.io/Logging_2280/artfynd/A 3953-2024 artfynd.xlsx", "A 3953-2024")</f>
        <v/>
      </c>
      <c r="W46">
        <f>HYPERLINK("https://klasma.github.io/Logging_2280/kartor/A 3953-2024 karta.png", "A 3953-2024")</f>
        <v/>
      </c>
      <c r="Y46">
        <f>HYPERLINK("https://klasma.github.io/Logging_2280/klagomål/A 3953-2024 FSC-klagomål.docx", "A 3953-2024")</f>
        <v/>
      </c>
      <c r="Z46">
        <f>HYPERLINK("https://klasma.github.io/Logging_2280/klagomålsmail/A 3953-2024 FSC-klagomål mail.docx", "A 3953-2024")</f>
        <v/>
      </c>
      <c r="AA46">
        <f>HYPERLINK("https://klasma.github.io/Logging_2280/tillsyn/A 3953-2024 tillsynsbegäran.docx", "A 3953-2024")</f>
        <v/>
      </c>
      <c r="AB46">
        <f>HYPERLINK("https://klasma.github.io/Logging_2280/tillsynsmail/A 3953-2024 tillsynsbegäran mail.docx", "A 3953-2024")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46220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s="2" t="inlineStr">
        <is>
          <t>Gammelgransskål
Rynkskinn
Tretåig hackspett</t>
        </is>
      </c>
      <c r="V47">
        <f>HYPERLINK("https://klasma.github.io/Logging_2280/artfynd/A 61936-2025 artfynd.xlsx", "A 61936-2025")</f>
        <v/>
      </c>
      <c r="W47">
        <f>HYPERLINK("https://klasma.github.io/Logging_2280/kartor/A 61936-2025 karta.png", "A 61936-2025")</f>
        <v/>
      </c>
      <c r="Y47">
        <f>HYPERLINK("https://klasma.github.io/Logging_2280/klagomål/A 61936-2025 FSC-klagomål.docx", "A 61936-2025")</f>
        <v/>
      </c>
      <c r="Z47">
        <f>HYPERLINK("https://klasma.github.io/Logging_2280/klagomålsmail/A 61936-2025 FSC-klagomål mail.docx", "A 61936-2025")</f>
        <v/>
      </c>
      <c r="AA47">
        <f>HYPERLINK("https://klasma.github.io/Logging_2280/tillsyn/A 61936-2025 tillsynsbegäran.docx", "A 61936-2025")</f>
        <v/>
      </c>
      <c r="AB47">
        <f>HYPERLINK("https://klasma.github.io/Logging_2280/tillsynsmail/A 61936-2025 tillsynsbegäran mail.docx", "A 61936-2025")</f>
        <v/>
      </c>
      <c r="AC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46220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Ullticka
Vedflamlav
Fläcknycklar</t>
        </is>
      </c>
      <c r="V48">
        <f>HYPERLINK("https://klasma.github.io/Logging_2280/artfynd/A 43101-2023 artfynd.xlsx", "A 43101-2023")</f>
        <v/>
      </c>
      <c r="W48">
        <f>HYPERLINK("https://klasma.github.io/Logging_2280/kartor/A 43101-2023 karta.png", "A 43101-2023")</f>
        <v/>
      </c>
      <c r="Y48">
        <f>HYPERLINK("https://klasma.github.io/Logging_2280/klagomål/A 43101-2023 FSC-klagomål.docx", "A 43101-2023")</f>
        <v/>
      </c>
      <c r="Z48">
        <f>HYPERLINK("https://klasma.github.io/Logging_2280/klagomålsmail/A 43101-2023 FSC-klagomål mail.docx", "A 43101-2023")</f>
        <v/>
      </c>
      <c r="AA48">
        <f>HYPERLINK("https://klasma.github.io/Logging_2280/tillsyn/A 43101-2023 tillsynsbegäran.docx", "A 43101-2023")</f>
        <v/>
      </c>
      <c r="AB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s="2" t="inlineStr">
        <is>
          <t>Garnlav
Lappticka
Rosenticka</t>
        </is>
      </c>
      <c r="V49">
        <f>HYPERLINK("https://klasma.github.io/Logging_2280/artfynd/A 49675-2024 artfynd.xlsx", "A 49675-2024")</f>
        <v/>
      </c>
      <c r="W49">
        <f>HYPERLINK("https://klasma.github.io/Logging_2280/kartor/A 49675-2024 karta.png", "A 49675-2024")</f>
        <v/>
      </c>
      <c r="Y49">
        <f>HYPERLINK("https://klasma.github.io/Logging_2280/klagomål/A 49675-2024 FSC-klagomål.docx", "A 49675-2024")</f>
        <v/>
      </c>
      <c r="Z49">
        <f>HYPERLINK("https://klasma.github.io/Logging_2280/klagomålsmail/A 49675-2024 FSC-klagomål mail.docx", "A 49675-2024")</f>
        <v/>
      </c>
      <c r="AA49">
        <f>HYPERLINK("https://klasma.github.io/Logging_2280/tillsyn/A 49675-2024 tillsynsbegäran.docx", "A 49675-2024")</f>
        <v/>
      </c>
      <c r="AB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46220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46220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Lunglav</t>
        </is>
      </c>
      <c r="V51">
        <f>HYPERLINK("https://klasma.github.io/Logging_2280/artfynd/A 54894-2024 artfynd.xlsx", "A 54894-2024")</f>
        <v/>
      </c>
      <c r="W51">
        <f>HYPERLINK("https://klasma.github.io/Logging_2280/kartor/A 54894-2024 karta.png", "A 54894-2024")</f>
        <v/>
      </c>
      <c r="Y51">
        <f>HYPERLINK("https://klasma.github.io/Logging_2280/klagomål/A 54894-2024 FSC-klagomål.docx", "A 54894-2024")</f>
        <v/>
      </c>
      <c r="Z51">
        <f>HYPERLINK("https://klasma.github.io/Logging_2280/klagomålsmail/A 54894-2024 FSC-klagomål mail.docx", "A 54894-2024")</f>
        <v/>
      </c>
      <c r="AA51">
        <f>HYPERLINK("https://klasma.github.io/Logging_2280/tillsyn/A 54894-2024 tillsynsbegäran.docx", "A 54894-2024")</f>
        <v/>
      </c>
      <c r="AB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46220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Violettgrå tagellav</t>
        </is>
      </c>
      <c r="V52">
        <f>HYPERLINK("https://klasma.github.io/Logging_2280/artfynd/A 11973-2024 artfynd.xlsx", "A 11973-2024")</f>
        <v/>
      </c>
      <c r="W52">
        <f>HYPERLINK("https://klasma.github.io/Logging_2280/kartor/A 11973-2024 karta.png", "A 11973-2024")</f>
        <v/>
      </c>
      <c r="Y52">
        <f>HYPERLINK("https://klasma.github.io/Logging_2280/klagomål/A 11973-2024 FSC-klagomål.docx", "A 11973-2024")</f>
        <v/>
      </c>
      <c r="Z52">
        <f>HYPERLINK("https://klasma.github.io/Logging_2280/klagomålsmail/A 11973-2024 FSC-klagomål mail.docx", "A 11973-2024")</f>
        <v/>
      </c>
      <c r="AA52">
        <f>HYPERLINK("https://klasma.github.io/Logging_2280/tillsyn/A 11973-2024 tillsynsbegäran.docx", "A 11973-2024")</f>
        <v/>
      </c>
      <c r="AB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46220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Kolflarnlav
Skinnlav</t>
        </is>
      </c>
      <c r="V53">
        <f>HYPERLINK("https://klasma.github.io/Logging_2280/artfynd/A 41484-2021 artfynd.xlsx", "A 41484-2021")</f>
        <v/>
      </c>
      <c r="W53">
        <f>HYPERLINK("https://klasma.github.io/Logging_2280/kartor/A 41484-2021 karta.png", "A 41484-2021")</f>
        <v/>
      </c>
      <c r="Y53">
        <f>HYPERLINK("https://klasma.github.io/Logging_2280/klagomål/A 41484-2021 FSC-klagomål.docx", "A 41484-2021")</f>
        <v/>
      </c>
      <c r="Z53">
        <f>HYPERLINK("https://klasma.github.io/Logging_2280/klagomålsmail/A 41484-2021 FSC-klagomål mail.docx", "A 41484-2021")</f>
        <v/>
      </c>
      <c r="AA53">
        <f>HYPERLINK("https://klasma.github.io/Logging_2280/tillsyn/A 41484-2021 tillsynsbegäran.docx", "A 41484-2021")</f>
        <v/>
      </c>
      <c r="AB53">
        <f>HYPERLINK("https://klasma.github.io/Logging_2280/tillsynsmail/A 41484-2021 tillsynsbegäran mail.docx", "A 41484-2021")</f>
        <v/>
      </c>
    </row>
    <row r="54" ht="15" customHeight="1">
      <c r="A54" t="inlineStr">
        <is>
          <t>A 34545-2025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46220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Kyrkan</t>
        </is>
      </c>
      <c r="I54" t="n">
        <v>9.699999999999999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s="2" t="inlineStr">
        <is>
          <t>Tretåig hackspett
Korallblylav</t>
        </is>
      </c>
      <c r="V54">
        <f>HYPERLINK("https://klasma.github.io/Logging_2280/artfynd/A 34545-2025 artfynd.xlsx", "A 34545-2025")</f>
        <v/>
      </c>
      <c r="W54">
        <f>HYPERLINK("https://klasma.github.io/Logging_2280/kartor/A 34545-2025 karta.png", "A 34545-2025")</f>
        <v/>
      </c>
      <c r="Y54">
        <f>HYPERLINK("https://klasma.github.io/Logging_2280/klagomål/A 34545-2025 FSC-klagomål.docx", "A 34545-2025")</f>
        <v/>
      </c>
      <c r="Z54">
        <f>HYPERLINK("https://klasma.github.io/Logging_2280/klagomålsmail/A 34545-2025 FSC-klagomål mail.docx", "A 34545-2025")</f>
        <v/>
      </c>
      <c r="AA54">
        <f>HYPERLINK("https://klasma.github.io/Logging_2280/tillsyn/A 34545-2025 tillsynsbegäran.docx", "A 34545-2025")</f>
        <v/>
      </c>
      <c r="AB54">
        <f>HYPERLINK("https://klasma.github.io/Logging_2280/tillsynsmail/A 34545-2025 tillsynsbegäran mail.docx", "A 34545-2025")</f>
        <v/>
      </c>
      <c r="AC54">
        <f>HYPERLINK("https://klasma.github.io/Logging_2280/fåglar/A 34545-2025 prioriterade fågelarter.docx", "A 34545-2025")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46220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Lunglav
Tjäder</t>
        </is>
      </c>
      <c r="V55">
        <f>HYPERLINK("https://klasma.github.io/Logging_2280/artfynd/A 47487-2025 artfynd.xlsx", "A 47487-2025")</f>
        <v/>
      </c>
      <c r="W55">
        <f>HYPERLINK("https://klasma.github.io/Logging_2280/kartor/A 47487-2025 karta.png", "A 47487-2025")</f>
        <v/>
      </c>
      <c r="Y55">
        <f>HYPERLINK("https://klasma.github.io/Logging_2280/klagomål/A 47487-2025 FSC-klagomål.docx", "A 47487-2025")</f>
        <v/>
      </c>
      <c r="Z55">
        <f>HYPERLINK("https://klasma.github.io/Logging_2280/klagomålsmail/A 47487-2025 FSC-klagomål mail.docx", "A 47487-2025")</f>
        <v/>
      </c>
      <c r="AA55">
        <f>HYPERLINK("https://klasma.github.io/Logging_2280/tillsyn/A 47487-2025 tillsynsbegäran.docx", "A 47487-2025")</f>
        <v/>
      </c>
      <c r="AB55">
        <f>HYPERLINK("https://klasma.github.io/Logging_2280/tillsynsmail/A 47487-2025 tillsynsbegäran mail.docx", "A 47487-2025")</f>
        <v/>
      </c>
      <c r="AC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46220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Garnlav
Gammelgransskål</t>
        </is>
      </c>
      <c r="V56">
        <f>HYPERLINK("https://klasma.github.io/Logging_2280/artfynd/A 43251-2025 artfynd.xlsx", "A 43251-2025")</f>
        <v/>
      </c>
      <c r="W56">
        <f>HYPERLINK("https://klasma.github.io/Logging_2280/kartor/A 43251-2025 karta.png", "A 43251-2025")</f>
        <v/>
      </c>
      <c r="Y56">
        <f>HYPERLINK("https://klasma.github.io/Logging_2280/klagomål/A 43251-2025 FSC-klagomål.docx", "A 43251-2025")</f>
        <v/>
      </c>
      <c r="Z56">
        <f>HYPERLINK("https://klasma.github.io/Logging_2280/klagomålsmail/A 43251-2025 FSC-klagomål mail.docx", "A 43251-2025")</f>
        <v/>
      </c>
      <c r="AA56">
        <f>HYPERLINK("https://klasma.github.io/Logging_2280/tillsyn/A 43251-2025 tillsynsbegäran.docx", "A 43251-2025")</f>
        <v/>
      </c>
      <c r="AB56">
        <f>HYPERLINK("https://klasma.github.io/Logging_2280/tillsynsmail/A 43251-2025 tillsynsbegäran mail.docx", "A 43251-2025")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54964-2025 artfynd.xlsx", "A 54964-2025")</f>
        <v/>
      </c>
      <c r="W57">
        <f>HYPERLINK("https://klasma.github.io/Logging_2280/kartor/A 54964-2025 karta.png", "A 54964-2025")</f>
        <v/>
      </c>
      <c r="Y57">
        <f>HYPERLINK("https://klasma.github.io/Logging_2280/klagomål/A 54964-2025 FSC-klagomål.docx", "A 54964-2025")</f>
        <v/>
      </c>
      <c r="Z57">
        <f>HYPERLINK("https://klasma.github.io/Logging_2280/klagomålsmail/A 54964-2025 FSC-klagomål mail.docx", "A 54964-2025")</f>
        <v/>
      </c>
      <c r="AA57">
        <f>HYPERLINK("https://klasma.github.io/Logging_2280/tillsyn/A 54964-2025 tillsynsbegäran.docx", "A 54964-2025")</f>
        <v/>
      </c>
      <c r="AB57">
        <f>HYPERLINK("https://klasma.github.io/Logging_2280/tillsynsmail/A 54964-2025 tillsynsbegäran mail.docx", "A 54964-2025")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46220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Korallblylav
Skinnlav</t>
        </is>
      </c>
      <c r="V58">
        <f>HYPERLINK("https://klasma.github.io/Logging_2280/artfynd/A 52727-2022 artfynd.xlsx", "A 52727-2022")</f>
        <v/>
      </c>
      <c r="W58">
        <f>HYPERLINK("https://klasma.github.io/Logging_2280/kartor/A 52727-2022 karta.png", "A 52727-2022")</f>
        <v/>
      </c>
      <c r="Y58">
        <f>HYPERLINK("https://klasma.github.io/Logging_2280/klagomål/A 52727-2022 FSC-klagomål.docx", "A 52727-2022")</f>
        <v/>
      </c>
      <c r="Z58">
        <f>HYPERLINK("https://klasma.github.io/Logging_2280/klagomålsmail/A 52727-2022 FSC-klagomål mail.docx", "A 52727-2022")</f>
        <v/>
      </c>
      <c r="AA58">
        <f>HYPERLINK("https://klasma.github.io/Logging_2280/tillsyn/A 52727-2022 tillsynsbegäran.docx", "A 52727-2022")</f>
        <v/>
      </c>
      <c r="AB58">
        <f>HYPERLINK("https://klasma.github.io/Logging_2280/tillsynsmail/A 52727-2022 tillsynsbegäran mail.docx", "A 52727-2022")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46220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Ullticka
Skinnlav</t>
        </is>
      </c>
      <c r="V59">
        <f>HYPERLINK("https://klasma.github.io/Logging_2280/artfynd/A 32644-2024 artfynd.xlsx", "A 32644-2024")</f>
        <v/>
      </c>
      <c r="W59">
        <f>HYPERLINK("https://klasma.github.io/Logging_2280/kartor/A 32644-2024 karta.png", "A 32644-2024")</f>
        <v/>
      </c>
      <c r="Y59">
        <f>HYPERLINK("https://klasma.github.io/Logging_2280/klagomål/A 32644-2024 FSC-klagomål.docx", "A 32644-2024")</f>
        <v/>
      </c>
      <c r="Z59">
        <f>HYPERLINK("https://klasma.github.io/Logging_2280/klagomålsmail/A 32644-2024 FSC-klagomål mail.docx", "A 32644-2024")</f>
        <v/>
      </c>
      <c r="AA59">
        <f>HYPERLINK("https://klasma.github.io/Logging_2280/tillsyn/A 32644-2024 tillsynsbegäran.docx", "A 32644-2024")</f>
        <v/>
      </c>
      <c r="AB59">
        <f>HYPERLINK("https://klasma.github.io/Logging_2280/tillsynsmail/A 32644-2024 tillsynsbegäran mail.docx", "A 32644-2024")</f>
        <v/>
      </c>
    </row>
    <row r="60" ht="15" customHeight="1">
      <c r="A60" t="inlineStr">
        <is>
          <t>A 62351-2023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45267</v>
      </c>
      <c r="E60" s="1" t="n">
        <v>46220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s="2" t="inlineStr">
        <is>
          <t>Garnlav
Lunglav</t>
        </is>
      </c>
      <c r="V60">
        <f>HYPERLINK("https://klasma.github.io/Logging_2280/artfynd/A 62351-2023 artfynd.xlsx", "A 62351-2023")</f>
        <v/>
      </c>
      <c r="W60">
        <f>HYPERLINK("https://klasma.github.io/Logging_2280/kartor/A 62351-2023 karta.png", "A 62351-2023")</f>
        <v/>
      </c>
      <c r="Y60">
        <f>HYPERLINK("https://klasma.github.io/Logging_2280/klagomål/A 62351-2023 FSC-klagomål.docx", "A 62351-2023")</f>
        <v/>
      </c>
      <c r="Z60">
        <f>HYPERLINK("https://klasma.github.io/Logging_2280/klagomålsmail/A 62351-2023 FSC-klagomål mail.docx", "A 62351-2023")</f>
        <v/>
      </c>
      <c r="AA60">
        <f>HYPERLINK("https://klasma.github.io/Logging_2280/tillsyn/A 62351-2023 tillsynsbegäran.docx", "A 62351-2023")</f>
        <v/>
      </c>
      <c r="AB60">
        <f>HYPERLINK("https://klasma.github.io/Logging_2280/tillsynsmail/A 62351-2023 tillsynsbegäran mail.docx", "A 62351-2023")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46220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s="2" t="inlineStr">
        <is>
          <t>Garnlav
Vedticka</t>
        </is>
      </c>
      <c r="V61">
        <f>HYPERLINK("https://klasma.github.io/Logging_2280/artfynd/A 44901-2024 artfynd.xlsx", "A 44901-2024")</f>
        <v/>
      </c>
      <c r="W61">
        <f>HYPERLINK("https://klasma.github.io/Logging_2280/kartor/A 44901-2024 karta.png", "A 44901-2024")</f>
        <v/>
      </c>
      <c r="Y61">
        <f>HYPERLINK("https://klasma.github.io/Logging_2280/klagomål/A 44901-2024 FSC-klagomål.docx", "A 44901-2024")</f>
        <v/>
      </c>
      <c r="Z61">
        <f>HYPERLINK("https://klasma.github.io/Logging_2280/klagomålsmail/A 44901-2024 FSC-klagomål mail.docx", "A 44901-2024")</f>
        <v/>
      </c>
      <c r="AA61">
        <f>HYPERLINK("https://klasma.github.io/Logging_2280/tillsyn/A 44901-2024 tillsynsbegäran.docx", "A 44901-2024")</f>
        <v/>
      </c>
      <c r="AB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46220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Nordfladdermus
Tajgafladdermus</t>
        </is>
      </c>
      <c r="V62">
        <f>HYPERLINK("https://klasma.github.io/Logging_2280/artfynd/A 20771-2026 artfynd.xlsx", "A 20771-2026")</f>
        <v/>
      </c>
      <c r="W62">
        <f>HYPERLINK("https://klasma.github.io/Logging_2280/kartor/A 20771-2026 karta.png", "A 20771-2026")</f>
        <v/>
      </c>
      <c r="Y62">
        <f>HYPERLINK("https://klasma.github.io/Logging_2280/klagomål/A 20771-2026 FSC-klagomål.docx", "A 20771-2026")</f>
        <v/>
      </c>
      <c r="Z62">
        <f>HYPERLINK("https://klasma.github.io/Logging_2280/klagomålsmail/A 20771-2026 FSC-klagomål mail.docx", "A 20771-2026")</f>
        <v/>
      </c>
      <c r="AA62">
        <f>HYPERLINK("https://klasma.github.io/Logging_2280/tillsyn/A 20771-2026 tillsynsbegäran.docx", "A 20771-2026")</f>
        <v/>
      </c>
      <c r="AB62">
        <f>HYPERLINK("https://klasma.github.io/Logging_2280/tillsynsmail/A 20771-2026 tillsynsbegäran mail.docx", "A 20771-2026")</f>
        <v/>
      </c>
    </row>
    <row r="63" ht="15" customHeight="1">
      <c r="A63" t="inlineStr">
        <is>
          <t>A 18694-2025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46220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10.5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s="2" t="inlineStr">
        <is>
          <t>Lavskrika
Tretåig hackspett</t>
        </is>
      </c>
      <c r="V63">
        <f>HYPERLINK("https://klasma.github.io/Logging_2280/artfynd/A 18694-2025 artfynd.xlsx", "A 18694-2025")</f>
        <v/>
      </c>
      <c r="W63">
        <f>HYPERLINK("https://klasma.github.io/Logging_2280/kartor/A 18694-2025 karta.png", "A 18694-2025")</f>
        <v/>
      </c>
      <c r="Y63">
        <f>HYPERLINK("https://klasma.github.io/Logging_2280/klagomål/A 18694-2025 FSC-klagomål.docx", "A 18694-2025")</f>
        <v/>
      </c>
      <c r="Z63">
        <f>HYPERLINK("https://klasma.github.io/Logging_2280/klagomålsmail/A 18694-2025 FSC-klagomål mail.docx", "A 18694-2025")</f>
        <v/>
      </c>
      <c r="AA63">
        <f>HYPERLINK("https://klasma.github.io/Logging_2280/tillsyn/A 18694-2025 tillsynsbegäran.docx", "A 18694-2025")</f>
        <v/>
      </c>
      <c r="AB63">
        <f>HYPERLINK("https://klasma.github.io/Logging_2280/tillsynsmail/A 18694-2025 tillsynsbegäran mail.docx", "A 18694-2025")</f>
        <v/>
      </c>
      <c r="AC63">
        <f>HYPERLINK("https://klasma.github.io/Logging_2280/fåglar/A 18694-2025 prioriterade fågelarter.docx", "A 18694-2025")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46220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Ullticka</t>
        </is>
      </c>
      <c r="V65">
        <f>HYPERLINK("https://klasma.github.io/Logging_2280/artfynd/A 16974-2022 artfynd.xlsx", "A 16974-2022")</f>
        <v/>
      </c>
      <c r="W65">
        <f>HYPERLINK("https://klasma.github.io/Logging_2280/kartor/A 16974-2022 karta.png", "A 16974-2022")</f>
        <v/>
      </c>
      <c r="Y65">
        <f>HYPERLINK("https://klasma.github.io/Logging_2280/klagomål/A 16974-2022 FSC-klagomål.docx", "A 16974-2022")</f>
        <v/>
      </c>
      <c r="Z65">
        <f>HYPERLINK("https://klasma.github.io/Logging_2280/klagomålsmail/A 16974-2022 FSC-klagomål mail.docx", "A 16974-2022")</f>
        <v/>
      </c>
      <c r="AA65">
        <f>HYPERLINK("https://klasma.github.io/Logging_2280/tillsyn/A 16974-2022 tillsynsbegäran.docx", "A 16974-2022")</f>
        <v/>
      </c>
      <c r="AB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46220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Mörk husmossa</t>
        </is>
      </c>
      <c r="V66">
        <f>HYPERLINK("https://klasma.github.io/Logging_2280/artfynd/A 3531-2022 artfynd.xlsx", "A 3531-2022")</f>
        <v/>
      </c>
      <c r="W66">
        <f>HYPERLINK("https://klasma.github.io/Logging_2280/kartor/A 3531-2022 karta.png", "A 3531-2022")</f>
        <v/>
      </c>
      <c r="Y66">
        <f>HYPERLINK("https://klasma.github.io/Logging_2280/klagomål/A 3531-2022 FSC-klagomål.docx", "A 3531-2022")</f>
        <v/>
      </c>
      <c r="Z66">
        <f>HYPERLINK("https://klasma.github.io/Logging_2280/klagomålsmail/A 3531-2022 FSC-klagomål mail.docx", "A 3531-2022")</f>
        <v/>
      </c>
      <c r="AA66">
        <f>HYPERLINK("https://klasma.github.io/Logging_2280/tillsyn/A 3531-2022 tillsynsbegäran.docx", "A 3531-2022")</f>
        <v/>
      </c>
      <c r="AB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46220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Utter</t>
        </is>
      </c>
      <c r="V67">
        <f>HYPERLINK("https://klasma.github.io/Logging_2280/artfynd/A 14597-2022 artfynd.xlsx", "A 14597-2022")</f>
        <v/>
      </c>
      <c r="W67">
        <f>HYPERLINK("https://klasma.github.io/Logging_2280/kartor/A 14597-2022 karta.png", "A 14597-2022")</f>
        <v/>
      </c>
      <c r="Y67">
        <f>HYPERLINK("https://klasma.github.io/Logging_2280/klagomål/A 14597-2022 FSC-klagomål.docx", "A 14597-2022")</f>
        <v/>
      </c>
      <c r="Z67">
        <f>HYPERLINK("https://klasma.github.io/Logging_2280/klagomålsmail/A 14597-2022 FSC-klagomål mail.docx", "A 14597-2022")</f>
        <v/>
      </c>
      <c r="AA67">
        <f>HYPERLINK("https://klasma.github.io/Logging_2280/tillsyn/A 14597-2022 tillsynsbegäran.docx", "A 14597-2022")</f>
        <v/>
      </c>
      <c r="AB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46220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Stor aspticka</t>
        </is>
      </c>
      <c r="V68">
        <f>HYPERLINK("https://klasma.github.io/Logging_2280/artfynd/A 40265-2024 artfynd.xlsx", "A 40265-2024")</f>
        <v/>
      </c>
      <c r="W68">
        <f>HYPERLINK("https://klasma.github.io/Logging_2280/kartor/A 40265-2024 karta.png", "A 40265-2024")</f>
        <v/>
      </c>
      <c r="Y68">
        <f>HYPERLINK("https://klasma.github.io/Logging_2280/klagomål/A 40265-2024 FSC-klagomål.docx", "A 40265-2024")</f>
        <v/>
      </c>
      <c r="Z68">
        <f>HYPERLINK("https://klasma.github.io/Logging_2280/klagomålsmail/A 40265-2024 FSC-klagomål mail.docx", "A 40265-2024")</f>
        <v/>
      </c>
      <c r="AA68">
        <f>HYPERLINK("https://klasma.github.io/Logging_2280/tillsyn/A 40265-2024 tillsynsbegäran.docx", "A 40265-2024")</f>
        <v/>
      </c>
      <c r="AB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46220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s="2" t="inlineStr">
        <is>
          <t>Garnlav</t>
        </is>
      </c>
      <c r="V69">
        <f>HYPERLINK("https://klasma.github.io/Logging_2280/artfynd/A 24202-2024 artfynd.xlsx", "A 24202-2024")</f>
        <v/>
      </c>
      <c r="W69">
        <f>HYPERLINK("https://klasma.github.io/Logging_2280/kartor/A 24202-2024 karta.png", "A 24202-2024")</f>
        <v/>
      </c>
      <c r="Y69">
        <f>HYPERLINK("https://klasma.github.io/Logging_2280/klagomål/A 24202-2024 FSC-klagomål.docx", "A 24202-2024")</f>
        <v/>
      </c>
      <c r="Z69">
        <f>HYPERLINK("https://klasma.github.io/Logging_2280/klagomålsmail/A 24202-2024 FSC-klagomål mail.docx", "A 24202-2024")</f>
        <v/>
      </c>
      <c r="AA69">
        <f>HYPERLINK("https://klasma.github.io/Logging_2280/tillsyn/A 24202-2024 tillsynsbegäran.docx", "A 24202-2024")</f>
        <v/>
      </c>
      <c r="AB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46220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Fläcknycklar</t>
        </is>
      </c>
      <c r="V70">
        <f>HYPERLINK("https://klasma.github.io/Logging_2280/artfynd/A 13984-2023 artfynd.xlsx", "A 13984-2023")</f>
        <v/>
      </c>
      <c r="W70">
        <f>HYPERLINK("https://klasma.github.io/Logging_2280/kartor/A 13984-2023 karta.png", "A 13984-2023")</f>
        <v/>
      </c>
      <c r="Y70">
        <f>HYPERLINK("https://klasma.github.io/Logging_2280/klagomål/A 13984-2023 FSC-klagomål.docx", "A 13984-2023")</f>
        <v/>
      </c>
      <c r="Z70">
        <f>HYPERLINK("https://klasma.github.io/Logging_2280/klagomålsmail/A 13984-2023 FSC-klagomål mail.docx", "A 13984-2023")</f>
        <v/>
      </c>
      <c r="AA70">
        <f>HYPERLINK("https://klasma.github.io/Logging_2280/tillsyn/A 13984-2023 tillsynsbegäran.docx", "A 13984-2023")</f>
        <v/>
      </c>
      <c r="AB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46220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Tretåig hackspett</t>
        </is>
      </c>
      <c r="V71">
        <f>HYPERLINK("https://klasma.github.io/Logging_2280/artfynd/A 46707-2024 artfynd.xlsx", "A 46707-2024")</f>
        <v/>
      </c>
      <c r="W71">
        <f>HYPERLINK("https://klasma.github.io/Logging_2280/kartor/A 46707-2024 karta.png", "A 46707-2024")</f>
        <v/>
      </c>
      <c r="Y71">
        <f>HYPERLINK("https://klasma.github.io/Logging_2280/klagomål/A 46707-2024 FSC-klagomål.docx", "A 46707-2024")</f>
        <v/>
      </c>
      <c r="Z71">
        <f>HYPERLINK("https://klasma.github.io/Logging_2280/klagomålsmail/A 46707-2024 FSC-klagomål mail.docx", "A 46707-2024")</f>
        <v/>
      </c>
      <c r="AA71">
        <f>HYPERLINK("https://klasma.github.io/Logging_2280/tillsyn/A 46707-2024 tillsynsbegäran.docx", "A 46707-2024")</f>
        <v/>
      </c>
      <c r="AB71">
        <f>HYPERLINK("https://klasma.github.io/Logging_2280/tillsynsmail/A 46707-2024 tillsynsbegäran mail.docx", "A 46707-2024")</f>
        <v/>
      </c>
      <c r="AC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46220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Apelsinticka</t>
        </is>
      </c>
      <c r="V72">
        <f>HYPERLINK("https://klasma.github.io/Logging_2280/artfynd/A 8921-2024 artfynd.xlsx", "A 8921-2024")</f>
        <v/>
      </c>
      <c r="W72">
        <f>HYPERLINK("https://klasma.github.io/Logging_2280/kartor/A 8921-2024 karta.png", "A 8921-2024")</f>
        <v/>
      </c>
      <c r="Y72">
        <f>HYPERLINK("https://klasma.github.io/Logging_2280/klagomål/A 8921-2024 FSC-klagomål.docx", "A 8921-2024")</f>
        <v/>
      </c>
      <c r="Z72">
        <f>HYPERLINK("https://klasma.github.io/Logging_2280/klagomålsmail/A 8921-2024 FSC-klagomål mail.docx", "A 8921-2024")</f>
        <v/>
      </c>
      <c r="AA72">
        <f>HYPERLINK("https://klasma.github.io/Logging_2280/tillsyn/A 8921-2024 tillsynsbegäran.docx", "A 8921-2024")</f>
        <v/>
      </c>
      <c r="AB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46220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HYPERLINK("https://klasma.github.io/Logging_2280/artfynd/A 7853-2024 artfynd.xlsx", "A 7853-2024")</f>
        <v/>
      </c>
      <c r="W73">
        <f>HYPERLINK("https://klasma.github.io/Logging_2280/kartor/A 7853-2024 karta.png", "A 7853-2024")</f>
        <v/>
      </c>
      <c r="Y73">
        <f>HYPERLINK("https://klasma.github.io/Logging_2280/klagomål/A 7853-2024 FSC-klagomål.docx", "A 7853-2024")</f>
        <v/>
      </c>
      <c r="Z73">
        <f>HYPERLINK("https://klasma.github.io/Logging_2280/klagomålsmail/A 7853-2024 FSC-klagomål mail.docx", "A 7853-2024")</f>
        <v/>
      </c>
      <c r="AA73">
        <f>HYPERLINK("https://klasma.github.io/Logging_2280/tillsyn/A 7853-2024 tillsynsbegäran.docx", "A 7853-2024")</f>
        <v/>
      </c>
      <c r="AB73">
        <f>HYPERLINK("https://klasma.github.io/Logging_2280/tillsynsmail/A 7853-2024 tillsynsbegäran mail.docx", "A 7853-2024")</f>
        <v/>
      </c>
    </row>
    <row r="74" ht="15" customHeight="1">
      <c r="A74" t="inlineStr">
        <is>
          <t>A 1190-2026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46220</v>
      </c>
      <c r="F74" t="inlineStr">
        <is>
          <t>VÄSTERNORRLANDS LÄN</t>
        </is>
      </c>
      <c r="G74" t="inlineStr">
        <is>
          <t>HÄRNÖSAND</t>
        </is>
      </c>
      <c r="I74" t="n">
        <v>3.5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Tretåig hackspett</t>
        </is>
      </c>
      <c r="V74">
        <f>HYPERLINK("https://klasma.github.io/Logging_2280/artfynd/A 1190-2026 artfynd.xlsx", "A 1190-2026")</f>
        <v/>
      </c>
      <c r="W74">
        <f>HYPERLINK("https://klasma.github.io/Logging_2280/kartor/A 1190-2026 karta.png", "A 1190-2026")</f>
        <v/>
      </c>
      <c r="Y74">
        <f>HYPERLINK("https://klasma.github.io/Logging_2280/klagomål/A 1190-2026 FSC-klagomål.docx", "A 1190-2026")</f>
        <v/>
      </c>
      <c r="Z74">
        <f>HYPERLINK("https://klasma.github.io/Logging_2280/klagomålsmail/A 1190-2026 FSC-klagomål mail.docx", "A 1190-2026")</f>
        <v/>
      </c>
      <c r="AA74">
        <f>HYPERLINK("https://klasma.github.io/Logging_2280/tillsyn/A 1190-2026 tillsynsbegäran.docx", "A 1190-2026")</f>
        <v/>
      </c>
      <c r="AB74">
        <f>HYPERLINK("https://klasma.github.io/Logging_2280/tillsynsmail/A 1190-2026 tillsynsbegäran mail.docx", "A 1190-2026")</f>
        <v/>
      </c>
      <c r="AC74">
        <f>HYPERLINK("https://klasma.github.io/Logging_2280/fåglar/A 1190-2026 prioriterade fågelarter.docx", "A 1190-2026")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46220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HYPERLINK("https://klasma.github.io/Logging_2280/artfynd/A 26086-2025 artfynd.xlsx", "A 26086-2025")</f>
        <v/>
      </c>
      <c r="W75">
        <f>HYPERLINK("https://klasma.github.io/Logging_2280/kartor/A 26086-2025 karta.png", "A 26086-2025")</f>
        <v/>
      </c>
      <c r="Y75">
        <f>HYPERLINK("https://klasma.github.io/Logging_2280/klagomål/A 26086-2025 FSC-klagomål.docx", "A 26086-2025")</f>
        <v/>
      </c>
      <c r="Z75">
        <f>HYPERLINK("https://klasma.github.io/Logging_2280/klagomålsmail/A 26086-2025 FSC-klagomål mail.docx", "A 26086-2025")</f>
        <v/>
      </c>
      <c r="AA75">
        <f>HYPERLINK("https://klasma.github.io/Logging_2280/tillsyn/A 26086-2025 tillsynsbegäran.docx", "A 26086-2025")</f>
        <v/>
      </c>
      <c r="AB75">
        <f>HYPERLINK("https://klasma.github.io/Logging_2280/tillsynsmail/A 26086-2025 tillsynsbegäran mail.docx", "A 26086-2025")</f>
        <v/>
      </c>
      <c r="AC75">
        <f>HYPERLINK("https://klasma.github.io/Logging_2280/fåglar/A 26086-2025 prioriterade fågelarter.docx", "A 26086-2025")</f>
        <v/>
      </c>
    </row>
    <row r="76" ht="15" customHeight="1">
      <c r="A76" t="inlineStr">
        <is>
          <t>A 26174-2025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46220</v>
      </c>
      <c r="F76" t="inlineStr">
        <is>
          <t>VÄSTERNORRLANDS LÄN</t>
        </is>
      </c>
      <c r="G76" t="inlineStr">
        <is>
          <t>HÄRNÖSAND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Lunglav</t>
        </is>
      </c>
      <c r="V76">
        <f>HYPERLINK("https://klasma.github.io/Logging_2280/artfynd/A 26174-2025 artfynd.xlsx", "A 26174-2025")</f>
        <v/>
      </c>
      <c r="W76">
        <f>HYPERLINK("https://klasma.github.io/Logging_2280/kartor/A 26174-2025 karta.png", "A 26174-2025")</f>
        <v/>
      </c>
      <c r="Y76">
        <f>HYPERLINK("https://klasma.github.io/Logging_2280/klagomål/A 26174-2025 FSC-klagomål.docx", "A 26174-2025")</f>
        <v/>
      </c>
      <c r="Z76">
        <f>HYPERLINK("https://klasma.github.io/Logging_2280/klagomålsmail/A 26174-2025 FSC-klagomål mail.docx", "A 26174-2025")</f>
        <v/>
      </c>
      <c r="AA76">
        <f>HYPERLINK("https://klasma.github.io/Logging_2280/tillsyn/A 26174-2025 tillsynsbegäran.docx", "A 26174-2025")</f>
        <v/>
      </c>
      <c r="AB76">
        <f>HYPERLINK("https://klasma.github.io/Logging_2280/tillsynsmail/A 26174-2025 tillsynsbegäran mail.docx", "A 26174-2025")</f>
        <v/>
      </c>
    </row>
    <row r="77" ht="15" customHeight="1">
      <c r="A77" t="inlineStr">
        <is>
          <t>A 26922-2025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46220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Barkticka</t>
        </is>
      </c>
      <c r="V77">
        <f>HYPERLINK("https://klasma.github.io/Logging_2280/artfynd/A 26922-2025 artfynd.xlsx", "A 26922-2025")</f>
        <v/>
      </c>
      <c r="W77">
        <f>HYPERLINK("https://klasma.github.io/Logging_2280/kartor/A 26922-2025 karta.png", "A 26922-2025")</f>
        <v/>
      </c>
      <c r="Y77">
        <f>HYPERLINK("https://klasma.github.io/Logging_2280/klagomål/A 26922-2025 FSC-klagomål.docx", "A 26922-2025")</f>
        <v/>
      </c>
      <c r="Z77">
        <f>HYPERLINK("https://klasma.github.io/Logging_2280/klagomålsmail/A 26922-2025 FSC-klagomål mail.docx", "A 26922-2025")</f>
        <v/>
      </c>
      <c r="AA77">
        <f>HYPERLINK("https://klasma.github.io/Logging_2280/tillsyn/A 26922-2025 tillsynsbegäran.docx", "A 26922-2025")</f>
        <v/>
      </c>
      <c r="AB77">
        <f>HYPERLINK("https://klasma.github.io/Logging_2280/tillsynsmail/A 26922-2025 tillsynsbegäran mail.docx", "A 26922-2025")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46220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Luddfingersvamp</t>
        </is>
      </c>
      <c r="V78">
        <f>HYPERLINK("https://klasma.github.io/Logging_2280/artfynd/A 61828-2024 artfynd.xlsx", "A 61828-2024")</f>
        <v/>
      </c>
      <c r="W78">
        <f>HYPERLINK("https://klasma.github.io/Logging_2280/kartor/A 61828-2024 karta.png", "A 61828-2024")</f>
        <v/>
      </c>
      <c r="Y78">
        <f>HYPERLINK("https://klasma.github.io/Logging_2280/klagomål/A 61828-2024 FSC-klagomål.docx", "A 61828-2024")</f>
        <v/>
      </c>
      <c r="Z78">
        <f>HYPERLINK("https://klasma.github.io/Logging_2280/klagomålsmail/A 61828-2024 FSC-klagomål mail.docx", "A 61828-2024")</f>
        <v/>
      </c>
      <c r="AA78">
        <f>HYPERLINK("https://klasma.github.io/Logging_2280/tillsyn/A 61828-2024 tillsynsbegäran.docx", "A 61828-2024")</f>
        <v/>
      </c>
      <c r="AB78">
        <f>HYPERLINK("https://klasma.github.io/Logging_2280/tillsynsmail/A 61828-2024 tillsynsbegäran mail.docx", "A 61828-2024")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46220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Gammelgransskål</t>
        </is>
      </c>
      <c r="V79">
        <f>HYPERLINK("https://klasma.github.io/Logging_2280/artfynd/A 45060-2025 artfynd.xlsx", "A 45060-2025")</f>
        <v/>
      </c>
      <c r="W79">
        <f>HYPERLINK("https://klasma.github.io/Logging_2280/kartor/A 45060-2025 karta.png", "A 45060-2025")</f>
        <v/>
      </c>
      <c r="Y79">
        <f>HYPERLINK("https://klasma.github.io/Logging_2280/klagomål/A 45060-2025 FSC-klagomål.docx", "A 45060-2025")</f>
        <v/>
      </c>
      <c r="Z79">
        <f>HYPERLINK("https://klasma.github.io/Logging_2280/klagomålsmail/A 45060-2025 FSC-klagomål mail.docx", "A 45060-2025")</f>
        <v/>
      </c>
      <c r="AA79">
        <f>HYPERLINK("https://klasma.github.io/Logging_2280/tillsyn/A 45060-2025 tillsynsbegäran.docx", "A 45060-2025")</f>
        <v/>
      </c>
      <c r="AB79">
        <f>HYPERLINK("https://klasma.github.io/Logging_2280/tillsynsmail/A 45060-2025 tillsynsbegäran mail.docx", "A 45060-2025")</f>
        <v/>
      </c>
    </row>
    <row r="80" ht="15" customHeight="1">
      <c r="A80" t="inlineStr">
        <is>
          <t>A 8407-2024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46220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Lunglav</t>
        </is>
      </c>
      <c r="V80">
        <f>HYPERLINK("https://klasma.github.io/Logging_2280/artfynd/A 8407-2024 artfynd.xlsx", "A 8407-2024")</f>
        <v/>
      </c>
      <c r="W80">
        <f>HYPERLINK("https://klasma.github.io/Logging_2280/kartor/A 8407-2024 karta.png", "A 8407-2024")</f>
        <v/>
      </c>
      <c r="Y80">
        <f>HYPERLINK("https://klasma.github.io/Logging_2280/klagomål/A 8407-2024 FSC-klagomål.docx", "A 8407-2024")</f>
        <v/>
      </c>
      <c r="Z80">
        <f>HYPERLINK("https://klasma.github.io/Logging_2280/klagomålsmail/A 8407-2024 FSC-klagomål mail.docx", "A 8407-2024")</f>
        <v/>
      </c>
      <c r="AA80">
        <f>HYPERLINK("https://klasma.github.io/Logging_2280/tillsyn/A 8407-2024 tillsynsbegäran.docx", "A 8407-2024")</f>
        <v/>
      </c>
      <c r="AB80">
        <f>HYPERLINK("https://klasma.github.io/Logging_2280/tillsynsmail/A 8407-2024 tillsynsbegäran mail.docx", "A 8407-2024")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46220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Violettgrå tagellav</t>
        </is>
      </c>
      <c r="V81">
        <f>HYPERLINK("https://klasma.github.io/Logging_2280/artfynd/A 18583-2026 artfynd.xlsx", "A 18583-2026")</f>
        <v/>
      </c>
      <c r="W81">
        <f>HYPERLINK("https://klasma.github.io/Logging_2280/kartor/A 18583-2026 karta.png", "A 18583-2026")</f>
        <v/>
      </c>
      <c r="Y81">
        <f>HYPERLINK("https://klasma.github.io/Logging_2280/klagomål/A 18583-2026 FSC-klagomål.docx", "A 18583-2026")</f>
        <v/>
      </c>
      <c r="Z81">
        <f>HYPERLINK("https://klasma.github.io/Logging_2280/klagomålsmail/A 18583-2026 FSC-klagomål mail.docx", "A 18583-2026")</f>
        <v/>
      </c>
      <c r="AA81">
        <f>HYPERLINK("https://klasma.github.io/Logging_2280/tillsyn/A 18583-2026 tillsynsbegäran.docx", "A 18583-2026")</f>
        <v/>
      </c>
      <c r="AB81">
        <f>HYPERLINK("https://klasma.github.io/Logging_2280/tillsynsmail/A 18583-2026 tillsynsbegäran mail.docx", "A 18583-2026")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46220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Duvhök</t>
        </is>
      </c>
      <c r="V82">
        <f>HYPERLINK("https://klasma.github.io/Logging_2280/artfynd/A 26664-2026 artfynd.xlsx", "A 26664-2026")</f>
        <v/>
      </c>
      <c r="W82">
        <f>HYPERLINK("https://klasma.github.io/Logging_2280/kartor/A 26664-2026 karta.png", "A 26664-2026")</f>
        <v/>
      </c>
      <c r="Y82">
        <f>HYPERLINK("https://klasma.github.io/Logging_2280/klagomål/A 26664-2026 FSC-klagomål.docx", "A 26664-2026")</f>
        <v/>
      </c>
      <c r="Z82">
        <f>HYPERLINK("https://klasma.github.io/Logging_2280/klagomålsmail/A 26664-2026 FSC-klagomål mail.docx", "A 26664-2026")</f>
        <v/>
      </c>
      <c r="AA82">
        <f>HYPERLINK("https://klasma.github.io/Logging_2280/tillsyn/A 26664-2026 tillsynsbegäran.docx", "A 26664-2026")</f>
        <v/>
      </c>
      <c r="AB82">
        <f>HYPERLINK("https://klasma.github.io/Logging_2280/tillsynsmail/A 26664-2026 tillsynsbegäran mail.docx", "A 26664-2026")</f>
        <v/>
      </c>
      <c r="AC82">
        <f>HYPERLINK("https://klasma.github.io/Logging_2280/fåglar/A 26664-2026 prioriterade fågelarter.docx", "A 26664-2026")</f>
        <v/>
      </c>
    </row>
    <row r="83" ht="15" customHeight="1">
      <c r="A83" t="inlineStr">
        <is>
          <t>A 27457-2026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46220</v>
      </c>
      <c r="F83" t="inlineStr">
        <is>
          <t>VÄSTERNORRLANDS LÄN</t>
        </is>
      </c>
      <c r="G83" t="inlineStr">
        <is>
          <t>HÄRNÖSAND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Ullticka</t>
        </is>
      </c>
      <c r="V83">
        <f>HYPERLINK("https://klasma.github.io/Logging_2280/artfynd/A 27457-2026 artfynd.xlsx", "A 27457-2026")</f>
        <v/>
      </c>
      <c r="W83">
        <f>HYPERLINK("https://klasma.github.io/Logging_2280/kartor/A 27457-2026 karta.png", "A 27457-2026")</f>
        <v/>
      </c>
      <c r="Y83">
        <f>HYPERLINK("https://klasma.github.io/Logging_2280/klagomål/A 27457-2026 FSC-klagomål.docx", "A 27457-2026")</f>
        <v/>
      </c>
      <c r="Z83">
        <f>HYPERLINK("https://klasma.github.io/Logging_2280/klagomålsmail/A 27457-2026 FSC-klagomål mail.docx", "A 27457-2026")</f>
        <v/>
      </c>
      <c r="AA83">
        <f>HYPERLINK("https://klasma.github.io/Logging_2280/tillsyn/A 27457-2026 tillsynsbegäran.docx", "A 27457-2026")</f>
        <v/>
      </c>
      <c r="AB83">
        <f>HYPERLINK("https://klasma.github.io/Logging_2280/tillsynsmail/A 27457-2026 tillsynsbegäran mail.docx", "A 27457-2026")</f>
        <v/>
      </c>
    </row>
    <row r="84" ht="15" customHeight="1">
      <c r="A84" t="inlineStr">
        <is>
          <t>A 27923-2026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46220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9.300000000000001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Veckticka</t>
        </is>
      </c>
      <c r="V84">
        <f>HYPERLINK("https://klasma.github.io/Logging_2280/artfynd/A 27923-2026 artfynd.xlsx", "A 27923-2026")</f>
        <v/>
      </c>
      <c r="W84">
        <f>HYPERLINK("https://klasma.github.io/Logging_2280/kartor/A 27923-2026 karta.png", "A 27923-2026")</f>
        <v/>
      </c>
      <c r="Y84">
        <f>HYPERLINK("https://klasma.github.io/Logging_2280/klagomål/A 27923-2026 FSC-klagomål.docx", "A 27923-2026")</f>
        <v/>
      </c>
      <c r="Z84">
        <f>HYPERLINK("https://klasma.github.io/Logging_2280/klagomålsmail/A 27923-2026 FSC-klagomål mail.docx", "A 27923-2026")</f>
        <v/>
      </c>
      <c r="AA84">
        <f>HYPERLINK("https://klasma.github.io/Logging_2280/tillsyn/A 27923-2026 tillsynsbegäran.docx", "A 27923-2026")</f>
        <v/>
      </c>
      <c r="AB84">
        <f>HYPERLINK("https://klasma.github.io/Logging_2280/tillsynsmail/A 27923-2026 tillsynsbegäran mail.docx", "A 27923-2026")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46220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Skogshare</t>
        </is>
      </c>
      <c r="V85">
        <f>HYPERLINK("https://klasma.github.io/Logging_2280/artfynd/A 74325-2021 artfynd.xlsx", "A 74325-2021")</f>
        <v/>
      </c>
      <c r="W85">
        <f>HYPERLINK("https://klasma.github.io/Logging_2280/kartor/A 74325-2021 karta.png", "A 74325-2021")</f>
        <v/>
      </c>
      <c r="Y85">
        <f>HYPERLINK("https://klasma.github.io/Logging_2280/klagomål/A 74325-2021 FSC-klagomål.docx", "A 74325-2021")</f>
        <v/>
      </c>
      <c r="Z85">
        <f>HYPERLINK("https://klasma.github.io/Logging_2280/klagomålsmail/A 74325-2021 FSC-klagomål mail.docx", "A 74325-2021")</f>
        <v/>
      </c>
      <c r="AA85">
        <f>HYPERLINK("https://klasma.github.io/Logging_2280/tillsyn/A 74325-2021 tillsynsbegäran.docx", "A 74325-2021")</f>
        <v/>
      </c>
      <c r="AB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46220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Garnlav</t>
        </is>
      </c>
      <c r="V86">
        <f>HYPERLINK("https://klasma.github.io/Logging_2280/artfynd/A 11546-2024 artfynd.xlsx", "A 11546-2024")</f>
        <v/>
      </c>
      <c r="W86">
        <f>HYPERLINK("https://klasma.github.io/Logging_2280/kartor/A 11546-2024 karta.png", "A 11546-2024")</f>
        <v/>
      </c>
      <c r="Y86">
        <f>HYPERLINK("https://klasma.github.io/Logging_2280/klagomål/A 11546-2024 FSC-klagomål.docx", "A 11546-2024")</f>
        <v/>
      </c>
      <c r="Z86">
        <f>HYPERLINK("https://klasma.github.io/Logging_2280/klagomålsmail/A 11546-2024 FSC-klagomål mail.docx", "A 11546-2024")</f>
        <v/>
      </c>
      <c r="AA86">
        <f>HYPERLINK("https://klasma.github.io/Logging_2280/tillsyn/A 11546-2024 tillsynsbegäran.docx", "A 11546-2024")</f>
        <v/>
      </c>
      <c r="AB86">
        <f>HYPERLINK("https://klasma.github.io/Logging_2280/tillsynsmail/A 11546-2024 tillsynsbegäran mail.docx", "A 11546-2024")</f>
        <v/>
      </c>
    </row>
    <row r="87" ht="15" customHeight="1">
      <c r="A87" t="inlineStr">
        <is>
          <t>A 43541-2022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44837</v>
      </c>
      <c r="E87" s="1" t="n">
        <v>46220</v>
      </c>
      <c r="F87" t="inlineStr">
        <is>
          <t>VÄSTERNORRLANDS LÄN</t>
        </is>
      </c>
      <c r="G87" t="inlineStr">
        <is>
          <t>HÄRNÖSAND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s="2" t="inlineStr">
        <is>
          <t>Sötgräs</t>
        </is>
      </c>
      <c r="V87">
        <f>HYPERLINK("https://klasma.github.io/Logging_2280/artfynd/A 43541-2022 artfynd.xlsx", "A 43541-2022")</f>
        <v/>
      </c>
      <c r="W87">
        <f>HYPERLINK("https://klasma.github.io/Logging_2280/kartor/A 43541-2022 karta.png", "A 43541-2022")</f>
        <v/>
      </c>
      <c r="Y87">
        <f>HYPERLINK("https://klasma.github.io/Logging_2280/klagomål/A 43541-2022 FSC-klagomål.docx", "A 43541-2022")</f>
        <v/>
      </c>
      <c r="Z87">
        <f>HYPERLINK("https://klasma.github.io/Logging_2280/klagomålsmail/A 43541-2022 FSC-klagomål mail.docx", "A 43541-2022")</f>
        <v/>
      </c>
      <c r="AA87">
        <f>HYPERLINK("https://klasma.github.io/Logging_2280/tillsyn/A 43541-2022 tillsynsbegäran.docx", "A 43541-2022")</f>
        <v/>
      </c>
      <c r="AB87">
        <f>HYPERLINK("https://klasma.github.io/Logging_2280/tillsynsmail/A 43541-2022 tillsynsbegäran mail.docx", "A 43541-2022")</f>
        <v/>
      </c>
    </row>
    <row r="88" ht="15" customHeight="1">
      <c r="A88" t="inlineStr">
        <is>
          <t>A 25340-2026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46176</v>
      </c>
      <c r="E88" s="1" t="n">
        <v>46220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s="2" t="inlineStr">
        <is>
          <t>Garnlav</t>
        </is>
      </c>
      <c r="V88">
        <f>HYPERLINK("https://klasma.github.io/Logging_2280/artfynd/A 25340-2026 artfynd.xlsx", "A 25340-2026")</f>
        <v/>
      </c>
      <c r="W88">
        <f>HYPERLINK("https://klasma.github.io/Logging_2280/kartor/A 25340-2026 karta.png", "A 25340-2026")</f>
        <v/>
      </c>
      <c r="Y88">
        <f>HYPERLINK("https://klasma.github.io/Logging_2280/klagomål/A 25340-2026 FSC-klagomål.docx", "A 25340-2026")</f>
        <v/>
      </c>
      <c r="Z88">
        <f>HYPERLINK("https://klasma.github.io/Logging_2280/klagomålsmail/A 25340-2026 FSC-klagomål mail.docx", "A 25340-2026")</f>
        <v/>
      </c>
      <c r="AA88">
        <f>HYPERLINK("https://klasma.github.io/Logging_2280/tillsyn/A 25340-2026 tillsynsbegäran.docx", "A 25340-2026")</f>
        <v/>
      </c>
      <c r="AB88">
        <f>HYPERLINK("https://klasma.github.io/Logging_2280/tillsynsmail/A 25340-2026 tillsynsbegäran mail.docx", "A 25340-2026")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46220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Garnlav</t>
        </is>
      </c>
      <c r="V89">
        <f>HYPERLINK("https://klasma.github.io/Logging_2280/artfynd/A 19077-2024 artfynd.xlsx", "A 19077-2024")</f>
        <v/>
      </c>
      <c r="W89">
        <f>HYPERLINK("https://klasma.github.io/Logging_2280/kartor/A 19077-2024 karta.png", "A 19077-2024")</f>
        <v/>
      </c>
      <c r="Y89">
        <f>HYPERLINK("https://klasma.github.io/Logging_2280/klagomål/A 19077-2024 FSC-klagomål.docx", "A 19077-2024")</f>
        <v/>
      </c>
      <c r="Z89">
        <f>HYPERLINK("https://klasma.github.io/Logging_2280/klagomålsmail/A 19077-2024 FSC-klagomål mail.docx", "A 19077-2024")</f>
        <v/>
      </c>
      <c r="AA89">
        <f>HYPERLINK("https://klasma.github.io/Logging_2280/tillsyn/A 19077-2024 tillsynsbegäran.docx", "A 19077-2024")</f>
        <v/>
      </c>
      <c r="AB89">
        <f>HYPERLINK("https://klasma.github.io/Logging_2280/tillsynsmail/A 19077-2024 tillsynsbegäran mail.docx", "A 19077-2024")</f>
        <v/>
      </c>
    </row>
    <row r="90" ht="15" customHeight="1">
      <c r="A90" t="inlineStr">
        <is>
          <t>A 63724-2023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45276</v>
      </c>
      <c r="E90" s="1" t="n">
        <v>46220</v>
      </c>
      <c r="F90" t="inlineStr">
        <is>
          <t>VÄSTERNORRLANDS LÄN</t>
        </is>
      </c>
      <c r="G90" t="inlineStr">
        <is>
          <t>HÄRNÖSAND</t>
        </is>
      </c>
      <c r="I90" t="n">
        <v>10.1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s="2" t="inlineStr">
        <is>
          <t>Älg</t>
        </is>
      </c>
      <c r="V90">
        <f>HYPERLINK("https://klasma.github.io/Logging_2280/artfynd/A 63724-2023 artfynd.xlsx", "A 63724-2023")</f>
        <v/>
      </c>
      <c r="W90">
        <f>HYPERLINK("https://klasma.github.io/Logging_2280/kartor/A 63724-2023 karta.png", "A 63724-2023")</f>
        <v/>
      </c>
      <c r="Y90">
        <f>HYPERLINK("https://klasma.github.io/Logging_2280/klagomål/A 63724-2023 FSC-klagomål.docx", "A 63724-2023")</f>
        <v/>
      </c>
      <c r="Z90">
        <f>HYPERLINK("https://klasma.github.io/Logging_2280/klagomålsmail/A 63724-2023 FSC-klagomål mail.docx", "A 63724-2023")</f>
        <v/>
      </c>
      <c r="AA90">
        <f>HYPERLINK("https://klasma.github.io/Logging_2280/tillsyn/A 63724-2023 tillsynsbegäran.docx", "A 63724-2023")</f>
        <v/>
      </c>
      <c r="AB90">
        <f>HYPERLINK("https://klasma.github.io/Logging_2280/tillsynsmail/A 63724-2023 tillsynsbegäran mail.docx", "A 63724-2023")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Rynkskinn</t>
        </is>
      </c>
      <c r="V91">
        <f>HYPERLINK("https://klasma.github.io/Logging_2280/artfynd/S 3210-2025 artfynd.xlsx", "S 3210-2025")</f>
        <v/>
      </c>
      <c r="W91">
        <f>HYPERLINK("https://klasma.github.io/Logging_2280/kartor/S 3210-2025 karta.png", "S 3210-2025")</f>
        <v/>
      </c>
      <c r="Y91">
        <f>HYPERLINK("https://klasma.github.io/Logging_2280/klagomål/S 3210-2025 FSC-klagomål.docx", "S 3210-2025")</f>
        <v/>
      </c>
      <c r="Z91">
        <f>HYPERLINK("https://klasma.github.io/Logging_2280/klagomålsmail/S 3210-2025 FSC-klagomål mail.docx", "S 3210-2025")</f>
        <v/>
      </c>
      <c r="AA91">
        <f>HYPERLINK("https://klasma.github.io/Logging_2280/tillsyn/S 3210-2025 tillsynsbegäran.docx", "S 3210-2025")</f>
        <v/>
      </c>
      <c r="AB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46220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46220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46220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46220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46220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46220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46220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46220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46220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46220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46220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46220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46220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46220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46220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46220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46220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46220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46220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46220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46220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46220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46220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46220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46220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46220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46220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46220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46220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46220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46220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46220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46220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46220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46220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46220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46220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46220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46220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46220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46220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46220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46220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46220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46220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46220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46220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46220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46220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46220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46220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46220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46220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46220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46220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46220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46220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46220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45762</v>
      </c>
      <c r="E150" s="1" t="n">
        <v>46220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46220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46220</v>
      </c>
      <c r="F152" t="inlineStr">
        <is>
          <t>VÄSTERNORRLANDS LÄN</t>
        </is>
      </c>
      <c r="G152" t="inlineStr">
        <is>
          <t>HÄRNÖSAND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30762-2024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45496</v>
      </c>
      <c r="E153" s="1" t="n">
        <v>46220</v>
      </c>
      <c r="F153" t="inlineStr">
        <is>
          <t>VÄSTERNORRLANDS LÄN</t>
        </is>
      </c>
      <c r="G153" t="inlineStr">
        <is>
          <t>HÄRNÖSAND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55276-2023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46220</v>
      </c>
      <c r="F154" t="inlineStr">
        <is>
          <t>VÄSTERNORRLANDS LÄN</t>
        </is>
      </c>
      <c r="G154" t="inlineStr">
        <is>
          <t>HÄRNÖSAND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8408-2024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46220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37586-2022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46220</v>
      </c>
      <c r="F156" t="inlineStr">
        <is>
          <t>VÄSTERNORRLANDS LÄN</t>
        </is>
      </c>
      <c r="G156" t="inlineStr">
        <is>
          <t>HÄRNÖSAND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17516-2025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45757</v>
      </c>
      <c r="E157" s="1" t="n">
        <v>46220</v>
      </c>
      <c r="F157" t="inlineStr">
        <is>
          <t>VÄSTERNORRLANDS LÄN</t>
        </is>
      </c>
      <c r="G157" t="inlineStr">
        <is>
          <t>HÄRNÖSAND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46220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47939-2022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46220</v>
      </c>
      <c r="F159" t="inlineStr">
        <is>
          <t>VÄSTERNORRLANDS LÄN</t>
        </is>
      </c>
      <c r="G159" t="inlineStr">
        <is>
          <t>HÄRNÖSAND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46220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28325-2022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46220</v>
      </c>
      <c r="F161" t="inlineStr">
        <is>
          <t>VÄSTERNORRLANDS LÄN</t>
        </is>
      </c>
      <c r="G161" t="inlineStr">
        <is>
          <t>HÄRNÖSAND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49261-2022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46220</v>
      </c>
      <c r="F162" t="inlineStr">
        <is>
          <t>VÄSTERNORRLANDS LÄN</t>
        </is>
      </c>
      <c r="G162" t="inlineStr">
        <is>
          <t>HÄRNÖSAND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45585-2024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46220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44571</v>
      </c>
      <c r="E164" s="1" t="n">
        <v>46220</v>
      </c>
      <c r="F164" t="inlineStr">
        <is>
          <t>VÄSTERNORRLANDS LÄN</t>
        </is>
      </c>
      <c r="G164" t="inlineStr">
        <is>
          <t>HÄRNÖSAND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61944-2023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46220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46220</v>
      </c>
      <c r="F166" t="inlineStr">
        <is>
          <t>VÄSTERNORRLANDS LÄN</t>
        </is>
      </c>
      <c r="G166" t="inlineStr">
        <is>
          <t>HÄRNÖSAND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45228</v>
      </c>
      <c r="E167" s="1" t="n">
        <v>46220</v>
      </c>
      <c r="F167" t="inlineStr">
        <is>
          <t>VÄSTERNORRLANDS LÄN</t>
        </is>
      </c>
      <c r="G167" t="inlineStr">
        <is>
          <t>HÄRNÖSAND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7852-2024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45350</v>
      </c>
      <c r="E168" s="1" t="n">
        <v>46220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57236-2024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46220</v>
      </c>
      <c r="F169" t="inlineStr">
        <is>
          <t>VÄSTERNORRLANDS LÄN</t>
        </is>
      </c>
      <c r="G169" t="inlineStr">
        <is>
          <t>HÄRNÖSAND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32790-2024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45516</v>
      </c>
      <c r="E170" s="1" t="n">
        <v>46220</v>
      </c>
      <c r="F170" t="inlineStr">
        <is>
          <t>VÄSTERNORRLANDS LÄN</t>
        </is>
      </c>
      <c r="G170" t="inlineStr">
        <is>
          <t>HÄRNÖSAND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46023</v>
      </c>
      <c r="E171" s="1" t="n">
        <v>46220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46023</v>
      </c>
      <c r="E172" s="1" t="n">
        <v>46220</v>
      </c>
      <c r="F172" t="inlineStr">
        <is>
          <t>VÄSTERNORRLANDS LÄN</t>
        </is>
      </c>
      <c r="G172" t="inlineStr">
        <is>
          <t>HÄRNÖSAND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24955-2025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46220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46220</v>
      </c>
      <c r="F174" t="inlineStr">
        <is>
          <t>VÄSTERNORRLANDS LÄN</t>
        </is>
      </c>
      <c r="G174" t="inlineStr">
        <is>
          <t>HÄRNÖSAND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46220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46024</v>
      </c>
      <c r="E176" s="1" t="n">
        <v>46220</v>
      </c>
      <c r="F176" t="inlineStr">
        <is>
          <t>VÄSTERNORRLANDS LÄN</t>
        </is>
      </c>
      <c r="G176" t="inlineStr">
        <is>
          <t>HÄRNÖSAND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46220</v>
      </c>
      <c r="F177" t="inlineStr">
        <is>
          <t>VÄSTERNORRLANDS LÄN</t>
        </is>
      </c>
      <c r="G177" t="inlineStr">
        <is>
          <t>HÄRNÖSAND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45139</v>
      </c>
      <c r="E178" s="1" t="n">
        <v>46220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18103-2025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46220</v>
      </c>
      <c r="F179" t="inlineStr">
        <is>
          <t>VÄSTERNORRLANDS LÄN</t>
        </is>
      </c>
      <c r="G179" t="inlineStr">
        <is>
          <t>HÄRNÖSAND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46024</v>
      </c>
      <c r="E180" s="1" t="n">
        <v>46220</v>
      </c>
      <c r="F180" t="inlineStr">
        <is>
          <t>VÄSTERNORRLANDS LÄN</t>
        </is>
      </c>
      <c r="G180" t="inlineStr">
        <is>
          <t>HÄRNÖSAND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46026</v>
      </c>
      <c r="E181" s="1" t="n">
        <v>46220</v>
      </c>
      <c r="F181" t="inlineStr">
        <is>
          <t>VÄSTERNORRLANDS LÄN</t>
        </is>
      </c>
      <c r="G181" t="inlineStr">
        <is>
          <t>HÄRNÖSAND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46024</v>
      </c>
      <c r="E182" s="1" t="n">
        <v>46220</v>
      </c>
      <c r="F182" t="inlineStr">
        <is>
          <t>VÄSTERNORRLANDS LÄN</t>
        </is>
      </c>
      <c r="G182" t="inlineStr">
        <is>
          <t>HÄRNÖSAND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55583-2021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44475</v>
      </c>
      <c r="E183" s="1" t="n">
        <v>46220</v>
      </c>
      <c r="F183" t="inlineStr">
        <is>
          <t>VÄSTERNORRLANDS LÄN</t>
        </is>
      </c>
      <c r="G183" t="inlineStr">
        <is>
          <t>HÄRNÖSAND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46220</v>
      </c>
      <c r="F184" t="inlineStr">
        <is>
          <t>VÄSTERNORRLANDS LÄN</t>
        </is>
      </c>
      <c r="G184" t="inlineStr">
        <is>
          <t>HÄRNÖSAND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46220</v>
      </c>
      <c r="F185" t="inlineStr">
        <is>
          <t>VÄSTERNORRLANDS LÄN</t>
        </is>
      </c>
      <c r="G185" t="inlineStr">
        <is>
          <t>HÄRNÖSAND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46220</v>
      </c>
      <c r="F186" t="inlineStr">
        <is>
          <t>VÄSTERNORRLANDS LÄN</t>
        </is>
      </c>
      <c r="G186" t="inlineStr">
        <is>
          <t>HÄRNÖSAND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780-2026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46029</v>
      </c>
      <c r="E187" s="1" t="n">
        <v>46220</v>
      </c>
      <c r="F187" t="inlineStr">
        <is>
          <t>VÄSTERNORRLANDS LÄN</t>
        </is>
      </c>
      <c r="G187" t="inlineStr">
        <is>
          <t>HÄRNÖSAND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46220</v>
      </c>
      <c r="F188" t="inlineStr">
        <is>
          <t>VÄSTERNORRLANDS LÄN</t>
        </is>
      </c>
      <c r="G188" t="inlineStr">
        <is>
          <t>HÄRNÖSAND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46220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46220</v>
      </c>
      <c r="F190" t="inlineStr">
        <is>
          <t>VÄSTERNORRLANDS LÄN</t>
        </is>
      </c>
      <c r="G190" t="inlineStr">
        <is>
          <t>HÄRNÖSAND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46220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46220</v>
      </c>
      <c r="F192" t="inlineStr">
        <is>
          <t>VÄSTERNORRLANDS LÄN</t>
        </is>
      </c>
      <c r="G192" t="inlineStr">
        <is>
          <t>HÄRNÖSAND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46220</v>
      </c>
      <c r="F193" t="inlineStr">
        <is>
          <t>VÄSTERNORRLANDS LÄN</t>
        </is>
      </c>
      <c r="G193" t="inlineStr">
        <is>
          <t>HÄRNÖSAND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25355-2025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46220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46220</v>
      </c>
      <c r="F195" t="inlineStr">
        <is>
          <t>VÄSTERNORRLANDS LÄN</t>
        </is>
      </c>
      <c r="G195" t="inlineStr">
        <is>
          <t>HÄRNÖSAND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46220</v>
      </c>
      <c r="F196" t="inlineStr">
        <is>
          <t>VÄSTERNORRLANDS LÄN</t>
        </is>
      </c>
      <c r="G196" t="inlineStr">
        <is>
          <t>HÄRNÖSAND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44441</v>
      </c>
      <c r="E197" s="1" t="n">
        <v>46220</v>
      </c>
      <c r="F197" t="inlineStr">
        <is>
          <t>VÄSTERNORRLANDS LÄN</t>
        </is>
      </c>
      <c r="G197" t="inlineStr">
        <is>
          <t>HÄRNÖSAND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26176-2025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46220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57685-2024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46220</v>
      </c>
      <c r="F199" t="inlineStr">
        <is>
          <t>VÄSTERNORRLANDS LÄN</t>
        </is>
      </c>
      <c r="G199" t="inlineStr">
        <is>
          <t>HÄRNÖSAND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46220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39070-2025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46220</v>
      </c>
      <c r="F201" t="inlineStr">
        <is>
          <t>VÄSTERNORRLANDS LÄN</t>
        </is>
      </c>
      <c r="G201" t="inlineStr">
        <is>
          <t>HÄRNÖSAND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35447-2024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46220</v>
      </c>
      <c r="F202" t="inlineStr">
        <is>
          <t>VÄSTERNORRLANDS LÄN</t>
        </is>
      </c>
      <c r="G202" t="inlineStr">
        <is>
          <t>HÄRNÖSAND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46220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49531-2023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46220</v>
      </c>
      <c r="F204" t="inlineStr">
        <is>
          <t>VÄSTERNORRLANDS LÄN</t>
        </is>
      </c>
      <c r="G204" t="inlineStr">
        <is>
          <t>HÄRNÖSAND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39667-2025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46220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46220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46220</v>
      </c>
      <c r="F207" t="inlineStr">
        <is>
          <t>VÄSTERNORRLANDS LÄN</t>
        </is>
      </c>
      <c r="G207" t="inlineStr">
        <is>
          <t>HÄRNÖSAND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46220</v>
      </c>
      <c r="F208" t="inlineStr">
        <is>
          <t>VÄSTERNORRLANDS LÄN</t>
        </is>
      </c>
      <c r="G208" t="inlineStr">
        <is>
          <t>HÄRNÖSAND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27272-2025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46220</v>
      </c>
      <c r="F209" t="inlineStr">
        <is>
          <t>VÄSTERNORRLANDS LÄN</t>
        </is>
      </c>
      <c r="G209" t="inlineStr">
        <is>
          <t>HÄRNÖSAND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27273-2025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46220</v>
      </c>
      <c r="F210" t="inlineStr">
        <is>
          <t>VÄSTERNORRLANDS LÄN</t>
        </is>
      </c>
      <c r="G210" t="inlineStr">
        <is>
          <t>HÄRNÖSAND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47550-2022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44853</v>
      </c>
      <c r="E211" s="1" t="n">
        <v>46220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65222-2023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45289</v>
      </c>
      <c r="E212" s="1" t="n">
        <v>46220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46220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28389-2025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46220</v>
      </c>
      <c r="F214" t="inlineStr">
        <is>
          <t>VÄSTERNORRLANDS LÄN</t>
        </is>
      </c>
      <c r="G214" t="inlineStr">
        <is>
          <t>HÄRNÖSAND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46220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64746-2023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46220</v>
      </c>
      <c r="F216" t="inlineStr">
        <is>
          <t>VÄSTERNORRLANDS LÄN</t>
        </is>
      </c>
      <c r="G216" t="inlineStr">
        <is>
          <t>HÄRNÖSAND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65224-2023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45289</v>
      </c>
      <c r="E217" s="1" t="n">
        <v>46220</v>
      </c>
      <c r="F217" t="inlineStr">
        <is>
          <t>VÄSTERNORRLANDS LÄN</t>
        </is>
      </c>
      <c r="G217" t="inlineStr">
        <is>
          <t>HÄRNÖSAND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29542-2025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46220</v>
      </c>
      <c r="F218" t="inlineStr">
        <is>
          <t>VÄSTERNORRLANDS LÄN</t>
        </is>
      </c>
      <c r="G218" t="inlineStr">
        <is>
          <t>HÄRNÖSAND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29548-2025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46220</v>
      </c>
      <c r="F219" t="inlineStr">
        <is>
          <t>VÄSTERNORRLANDS LÄN</t>
        </is>
      </c>
      <c r="G219" t="inlineStr">
        <is>
          <t>HÄRNÖSAND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29549-2025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46220</v>
      </c>
      <c r="F220" t="inlineStr">
        <is>
          <t>VÄSTERNORRLANDS LÄN</t>
        </is>
      </c>
      <c r="G220" t="inlineStr">
        <is>
          <t>HÄRNÖSAND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29550-2025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46220</v>
      </c>
      <c r="F221" t="inlineStr">
        <is>
          <t>VÄSTERNORRLANDS LÄN</t>
        </is>
      </c>
      <c r="G221" t="inlineStr">
        <is>
          <t>HÄRNÖSAND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29233-2025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46220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64023-2023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45278</v>
      </c>
      <c r="E223" s="1" t="n">
        <v>46220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30084-2025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46220</v>
      </c>
      <c r="F224" t="inlineStr">
        <is>
          <t>VÄSTERNORRLANDS LÄN</t>
        </is>
      </c>
      <c r="G224" t="inlineStr">
        <is>
          <t>HÄRNÖSAND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30039-2025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46220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Kyrkan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42646-2023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46220</v>
      </c>
      <c r="F226" t="inlineStr">
        <is>
          <t>VÄSTERNORRLANDS LÄN</t>
        </is>
      </c>
      <c r="G226" t="inlineStr">
        <is>
          <t>HÄRNÖSAND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44032-2025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46220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44039-2025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46220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46220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46220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46220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46220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31483-2025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46220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45500-2024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45578</v>
      </c>
      <c r="E234" s="1" t="n">
        <v>46220</v>
      </c>
      <c r="F234" t="inlineStr">
        <is>
          <t>VÄSTERNORRLANDS LÄN</t>
        </is>
      </c>
      <c r="G234" t="inlineStr">
        <is>
          <t>HÄRNÖSAND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45504-2024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45578</v>
      </c>
      <c r="E235" s="1" t="n">
        <v>46220</v>
      </c>
      <c r="F235" t="inlineStr">
        <is>
          <t>VÄSTERNORRLANDS LÄN</t>
        </is>
      </c>
      <c r="G235" t="inlineStr">
        <is>
          <t>HÄRNÖSAND</t>
        </is>
      </c>
      <c r="I235" t="n">
        <v>10.3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31303-2025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46220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31890-2025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46220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44765-2025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46220</v>
      </c>
      <c r="F238" t="inlineStr">
        <is>
          <t>VÄSTERNORRLANDS LÄN</t>
        </is>
      </c>
      <c r="G238" t="inlineStr">
        <is>
          <t>HÄRNÖSAND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26920-2025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46220</v>
      </c>
      <c r="F239" t="inlineStr">
        <is>
          <t>VÄSTERNORRLANDS LÄN</t>
        </is>
      </c>
      <c r="G239" t="inlineStr">
        <is>
          <t>HÄRNÖSAND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46220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16009-2025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46220</v>
      </c>
      <c r="F241" t="inlineStr">
        <is>
          <t>VÄSTERNORRLANDS LÄN</t>
        </is>
      </c>
      <c r="G241" t="inlineStr">
        <is>
          <t>HÄRNÖSAND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45063-2025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46220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32365-2025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46220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32374-2025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45837</v>
      </c>
      <c r="E244" s="1" t="n">
        <v>46220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24813-2022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46220</v>
      </c>
      <c r="F245" t="inlineStr">
        <is>
          <t>VÄSTERNORRLANDS LÄN</t>
        </is>
      </c>
      <c r="G245" t="inlineStr">
        <is>
          <t>HÄRNÖSAND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17524-2025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46220</v>
      </c>
      <c r="F246" t="inlineStr">
        <is>
          <t>VÄSTERNORRLANDS LÄN</t>
        </is>
      </c>
      <c r="G246" t="inlineStr">
        <is>
          <t>HÄRNÖSAND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46220</v>
      </c>
      <c r="F247" t="inlineStr">
        <is>
          <t>VÄSTERNORRLANDS LÄN</t>
        </is>
      </c>
      <c r="G247" t="inlineStr">
        <is>
          <t>HÄRNÖSAND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46220</v>
      </c>
      <c r="F248" t="inlineStr">
        <is>
          <t>VÄSTERNORRLANDS LÄN</t>
        </is>
      </c>
      <c r="G248" t="inlineStr">
        <is>
          <t>HÄRNÖSAND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45739-2025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46220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46220</v>
      </c>
      <c r="F250" t="inlineStr">
        <is>
          <t>VÄSTERNORRLANDS LÄN</t>
        </is>
      </c>
      <c r="G250" t="inlineStr">
        <is>
          <t>HÄRNÖSAND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46220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45997-2025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46220</v>
      </c>
      <c r="F252" t="inlineStr">
        <is>
          <t>VÄSTERNORRLANDS LÄN</t>
        </is>
      </c>
      <c r="G252" t="inlineStr">
        <is>
          <t>HÄRNÖSAND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45981-2025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45924</v>
      </c>
      <c r="E253" s="1" t="n">
        <v>46220</v>
      </c>
      <c r="F253" t="inlineStr">
        <is>
          <t>VÄSTERNORRLANDS LÄN</t>
        </is>
      </c>
      <c r="G253" t="inlineStr">
        <is>
          <t>HÄRNÖSAND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46021-2025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46220</v>
      </c>
      <c r="F254" t="inlineStr">
        <is>
          <t>VÄSTERNORRLANDS LÄN</t>
        </is>
      </c>
      <c r="G254" t="inlineStr">
        <is>
          <t>HÄRNÖSAND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45990-2025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46220</v>
      </c>
      <c r="F255" t="inlineStr">
        <is>
          <t>VÄSTERNORRLANDS LÄN</t>
        </is>
      </c>
      <c r="G255" t="inlineStr">
        <is>
          <t>HÄRNÖSAND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46101-2025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46220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46220</v>
      </c>
      <c r="F257" t="inlineStr">
        <is>
          <t>VÄSTERNORRLANDS LÄN</t>
        </is>
      </c>
      <c r="G257" t="inlineStr">
        <is>
          <t>HÄRNÖSAND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34736-2025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46220</v>
      </c>
      <c r="F258" t="inlineStr">
        <is>
          <t>VÄSTERNORRLANDS LÄN</t>
        </is>
      </c>
      <c r="G258" t="inlineStr">
        <is>
          <t>HÄRNÖSAND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34751-2025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45848</v>
      </c>
      <c r="E259" s="1" t="n">
        <v>46220</v>
      </c>
      <c r="F259" t="inlineStr">
        <is>
          <t>VÄSTERNORRLANDS LÄN</t>
        </is>
      </c>
      <c r="G259" t="inlineStr">
        <is>
          <t>HÄRNÖSAND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30710-2024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45496</v>
      </c>
      <c r="E260" s="1" t="n">
        <v>46220</v>
      </c>
      <c r="F260" t="inlineStr">
        <is>
          <t>VÄSTERNORRLANDS LÄN</t>
        </is>
      </c>
      <c r="G260" t="inlineStr">
        <is>
          <t>HÄRNÖSAND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45853</v>
      </c>
      <c r="E261" s="1" t="n">
        <v>46220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8023-2023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44973</v>
      </c>
      <c r="E262" s="1" t="n">
        <v>46220</v>
      </c>
      <c r="F262" t="inlineStr">
        <is>
          <t>VÄSTERNORRLANDS LÄN</t>
        </is>
      </c>
      <c r="G262" t="inlineStr">
        <is>
          <t>HÄRNÖSAND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18812-2025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46220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46220</v>
      </c>
      <c r="F264" t="inlineStr">
        <is>
          <t>VÄSTERNORRLANDS LÄN</t>
        </is>
      </c>
      <c r="G264" t="inlineStr">
        <is>
          <t>HÄRNÖSAND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14494-2025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45741</v>
      </c>
      <c r="E265" s="1" t="n">
        <v>46220</v>
      </c>
      <c r="F265" t="inlineStr">
        <is>
          <t>VÄSTERNORRLANDS LÄN</t>
        </is>
      </c>
      <c r="G265" t="inlineStr">
        <is>
          <t>HÄRNÖSAND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23805-2025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46220</v>
      </c>
      <c r="F266" t="inlineStr">
        <is>
          <t>VÄSTERNORRLANDS LÄN</t>
        </is>
      </c>
      <c r="G266" t="inlineStr">
        <is>
          <t>HÄRNÖSAND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46220</v>
      </c>
      <c r="F267" t="inlineStr">
        <is>
          <t>VÄSTERNORRLANDS LÄN</t>
        </is>
      </c>
      <c r="G267" t="inlineStr">
        <is>
          <t>HÄRNÖSAND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46220</v>
      </c>
      <c r="F268" t="inlineStr">
        <is>
          <t>VÄSTERNORRLANDS LÄN</t>
        </is>
      </c>
      <c r="G268" t="inlineStr">
        <is>
          <t>HÄRNÖSAND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29429-2024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45483</v>
      </c>
      <c r="E269" s="1" t="n">
        <v>46220</v>
      </c>
      <c r="F269" t="inlineStr">
        <is>
          <t>VÄSTERNORRLANDS LÄN</t>
        </is>
      </c>
      <c r="G269" t="inlineStr">
        <is>
          <t>HÄRNÖSAND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46220</v>
      </c>
      <c r="F270" t="inlineStr">
        <is>
          <t>VÄSTERNORRLANDS LÄN</t>
        </is>
      </c>
      <c r="G270" t="inlineStr">
        <is>
          <t>HÄRNÖSAND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14495-2025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46220</v>
      </c>
      <c r="F271" t="inlineStr">
        <is>
          <t>VÄSTERNORRLANDS LÄN</t>
        </is>
      </c>
      <c r="G271" t="inlineStr">
        <is>
          <t>HÄRNÖSAND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46220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48721-2025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46220</v>
      </c>
      <c r="F273" t="inlineStr">
        <is>
          <t>VÄSTERNORRLANDS LÄN</t>
        </is>
      </c>
      <c r="G273" t="inlineStr">
        <is>
          <t>HÄRNÖSAND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48630-2025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46220</v>
      </c>
      <c r="F274" t="inlineStr">
        <is>
          <t>VÄSTERNORRLANDS LÄN</t>
        </is>
      </c>
      <c r="G274" t="inlineStr">
        <is>
          <t>HÄRNÖSAND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7061-2022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44603</v>
      </c>
      <c r="E275" s="1" t="n">
        <v>46220</v>
      </c>
      <c r="F275" t="inlineStr">
        <is>
          <t>VÄSTERNORRLANDS LÄN</t>
        </is>
      </c>
      <c r="G275" t="inlineStr">
        <is>
          <t>HÄRNÖSAND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48633-2025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46220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41147-2023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46220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46220</v>
      </c>
      <c r="F278" t="inlineStr">
        <is>
          <t>VÄSTERNORRLANDS LÄN</t>
        </is>
      </c>
      <c r="G278" t="inlineStr">
        <is>
          <t>HÄRNÖSAND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48800-2025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46220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19167-2025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46220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40452-2023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45168</v>
      </c>
      <c r="E281" s="1" t="n">
        <v>46220</v>
      </c>
      <c r="F281" t="inlineStr">
        <is>
          <t>VÄSTERNORRLANDS LÄN</t>
        </is>
      </c>
      <c r="G281" t="inlineStr">
        <is>
          <t>HÄRNÖSAND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49625-2025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46220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36958-2025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46220</v>
      </c>
      <c r="F283" t="inlineStr">
        <is>
          <t>VÄSTERNORRLANDS LÄN</t>
        </is>
      </c>
      <c r="G283" t="inlineStr">
        <is>
          <t>HÄRNÖSAND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36959-2025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46220</v>
      </c>
      <c r="F284" t="inlineStr">
        <is>
          <t>VÄSTERNORRLANDS LÄN</t>
        </is>
      </c>
      <c r="G284" t="inlineStr">
        <is>
          <t>HÄRNÖSAND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46220</v>
      </c>
      <c r="F285" t="inlineStr">
        <is>
          <t>VÄSTERNORRLANDS LÄN</t>
        </is>
      </c>
      <c r="G285" t="inlineStr">
        <is>
          <t>HÄRNÖSAND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36960-2025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45874</v>
      </c>
      <c r="E286" s="1" t="n">
        <v>46220</v>
      </c>
      <c r="F286" t="inlineStr">
        <is>
          <t>VÄSTERNORRLANDS LÄN</t>
        </is>
      </c>
      <c r="G286" t="inlineStr">
        <is>
          <t>HÄRNÖSAND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36993-2025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46220</v>
      </c>
      <c r="F287" t="inlineStr">
        <is>
          <t>VÄSTERNORRLANDS LÄN</t>
        </is>
      </c>
      <c r="G287" t="inlineStr">
        <is>
          <t>HÄRNÖSAND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37562-2025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46220</v>
      </c>
      <c r="F288" t="inlineStr">
        <is>
          <t>VÄSTERNORRLANDS LÄN</t>
        </is>
      </c>
      <c r="G288" t="inlineStr">
        <is>
          <t>HÄRNÖSAND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10128-2023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46220</v>
      </c>
      <c r="F289" t="inlineStr">
        <is>
          <t>VÄSTERNORRLANDS LÄN</t>
        </is>
      </c>
      <c r="G289" t="inlineStr">
        <is>
          <t>HÄRNÖSAND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29104-2023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45097</v>
      </c>
      <c r="E290" s="1" t="n">
        <v>46220</v>
      </c>
      <c r="F290" t="inlineStr">
        <is>
          <t>VÄSTERNORRLANDS LÄN</t>
        </is>
      </c>
      <c r="G290" t="inlineStr">
        <is>
          <t>HÄRNÖSAND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6886-2025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45701</v>
      </c>
      <c r="E291" s="1" t="n">
        <v>46220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46220</v>
      </c>
      <c r="F292" t="inlineStr">
        <is>
          <t>VÄSTERNORRLANDS LÄN</t>
        </is>
      </c>
      <c r="G292" t="inlineStr">
        <is>
          <t>HÄRNÖSAND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42214-2024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46220</v>
      </c>
      <c r="F293" t="inlineStr">
        <is>
          <t>VÄSTERNORRLANDS LÄN</t>
        </is>
      </c>
      <c r="G293" t="inlineStr">
        <is>
          <t>HÄRNÖSAND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46220</v>
      </c>
      <c r="F294" t="inlineStr">
        <is>
          <t>VÄSTERNORRLANDS LÄN</t>
        </is>
      </c>
      <c r="G294" t="inlineStr">
        <is>
          <t>HÄRNÖSAND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38926-2025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46220</v>
      </c>
      <c r="F295" t="inlineStr">
        <is>
          <t>VÄSTERNORRLANDS LÄN</t>
        </is>
      </c>
      <c r="G295" t="inlineStr">
        <is>
          <t>HÄRNÖSAND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54560-2024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46220</v>
      </c>
      <c r="F296" t="inlineStr">
        <is>
          <t>VÄSTERNORRLANDS LÄN</t>
        </is>
      </c>
      <c r="G296" t="inlineStr">
        <is>
          <t>HÄRNÖSAND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38567-2025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46220</v>
      </c>
      <c r="F297" t="inlineStr">
        <is>
          <t>VÄSTERNORRLANDS LÄN</t>
        </is>
      </c>
      <c r="G297" t="inlineStr">
        <is>
          <t>HÄRNÖSAND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8411-2024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45352</v>
      </c>
      <c r="E298" s="1" t="n">
        <v>46220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19166-2025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46220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46220</v>
      </c>
      <c r="F300" t="inlineStr">
        <is>
          <t>VÄSTERNORRLANDS LÄN</t>
        </is>
      </c>
      <c r="G300" t="inlineStr">
        <is>
          <t>HÄRNÖSAND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46220</v>
      </c>
      <c r="F301" t="inlineStr">
        <is>
          <t>VÄSTERNORRLANDS LÄN</t>
        </is>
      </c>
      <c r="G301" t="inlineStr">
        <is>
          <t>HÄRNÖSAND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53327-2025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46220</v>
      </c>
      <c r="F302" t="inlineStr">
        <is>
          <t>VÄSTERNORRLANDS LÄN</t>
        </is>
      </c>
      <c r="G302" t="inlineStr">
        <is>
          <t>HÄRNÖSAND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53328-2025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46220</v>
      </c>
      <c r="F303" t="inlineStr">
        <is>
          <t>VÄSTERNORRLANDS LÄN</t>
        </is>
      </c>
      <c r="G303" t="inlineStr">
        <is>
          <t>HÄRNÖSAND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6833-2024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45342</v>
      </c>
      <c r="E304" s="1" t="n">
        <v>46220</v>
      </c>
      <c r="F304" t="inlineStr">
        <is>
          <t>VÄSTERNORRLANDS LÄN</t>
        </is>
      </c>
      <c r="G304" t="inlineStr">
        <is>
          <t>HÄRNÖSAND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6418-2026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46220</v>
      </c>
      <c r="F305" t="inlineStr">
        <is>
          <t>VÄSTERNORRLANDS LÄN</t>
        </is>
      </c>
      <c r="G305" t="inlineStr">
        <is>
          <t>HÄRNÖSAND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46054</v>
      </c>
      <c r="E306" s="1" t="n">
        <v>46220</v>
      </c>
      <c r="F306" t="inlineStr">
        <is>
          <t>VÄSTERNORRLANDS LÄN</t>
        </is>
      </c>
      <c r="G306" t="inlineStr">
        <is>
          <t>HÄRNÖSAND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46220</v>
      </c>
      <c r="F307" t="inlineStr">
        <is>
          <t>VÄSTERNORRLANDS LÄN</t>
        </is>
      </c>
      <c r="G307" t="inlineStr">
        <is>
          <t>HÄRNÖSAND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46052</v>
      </c>
      <c r="E308" s="1" t="n">
        <v>46220</v>
      </c>
      <c r="F308" t="inlineStr">
        <is>
          <t>VÄSTERNORRLANDS LÄN</t>
        </is>
      </c>
      <c r="G308" t="inlineStr">
        <is>
          <t>HÄRNÖSAND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46220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35387-2024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45531</v>
      </c>
      <c r="E310" s="1" t="n">
        <v>46220</v>
      </c>
      <c r="F310" t="inlineStr">
        <is>
          <t>VÄSTERNORRLANDS LÄN</t>
        </is>
      </c>
      <c r="G310" t="inlineStr">
        <is>
          <t>HÄRNÖSAND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6646-2026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46220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59408-2024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45638</v>
      </c>
      <c r="E312" s="1" t="n">
        <v>46220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45793</v>
      </c>
      <c r="E313" s="1" t="n">
        <v>46220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46220</v>
      </c>
      <c r="F314" t="inlineStr">
        <is>
          <t>VÄSTERNORRLANDS LÄN</t>
        </is>
      </c>
      <c r="G314" t="inlineStr">
        <is>
          <t>HÄRNÖSAND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43248-2023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45180</v>
      </c>
      <c r="E315" s="1" t="n">
        <v>46220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47944-2022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46220</v>
      </c>
      <c r="F316" t="inlineStr">
        <is>
          <t>VÄSTERNORRLANDS LÄN</t>
        </is>
      </c>
      <c r="G316" t="inlineStr">
        <is>
          <t>HÄRNÖSAND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35808-2023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46220</v>
      </c>
      <c r="F317" t="inlineStr">
        <is>
          <t>VÄSTERNORRLANDS LÄN</t>
        </is>
      </c>
      <c r="G317" t="inlineStr">
        <is>
          <t>HÄRNÖSAND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55773-2025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46220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46220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3476-2024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46220</v>
      </c>
      <c r="F320" t="inlineStr">
        <is>
          <t>VÄSTERNORRLANDS LÄN</t>
        </is>
      </c>
      <c r="G320" t="inlineStr">
        <is>
          <t>HÄRNÖSAND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46220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40237-2023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46220</v>
      </c>
      <c r="F322" t="inlineStr">
        <is>
          <t>VÄSTERNORRLANDS LÄN</t>
        </is>
      </c>
      <c r="G322" t="inlineStr">
        <is>
          <t>HÄRNÖSAND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56422-2025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46220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45293</v>
      </c>
      <c r="E324" s="1" t="n">
        <v>46220</v>
      </c>
      <c r="F324" t="inlineStr">
        <is>
          <t>VÄSTERNORRLANDS LÄN</t>
        </is>
      </c>
      <c r="G324" t="inlineStr">
        <is>
          <t>HÄRNÖSAND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56736-2025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46220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57041-2025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46220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57089-2025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46220</v>
      </c>
      <c r="F327" t="inlineStr">
        <is>
          <t>VÄSTERNORRLANDS LÄN</t>
        </is>
      </c>
      <c r="G327" t="inlineStr">
        <is>
          <t>HÄRNÖSAND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45979</v>
      </c>
      <c r="E328" s="1" t="n">
        <v>46220</v>
      </c>
      <c r="F328" t="inlineStr">
        <is>
          <t>VÄSTERNORRLANDS LÄN</t>
        </is>
      </c>
      <c r="G328" t="inlineStr">
        <is>
          <t>HÄRNÖSAND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46220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46220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46220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46220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57618-2025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46220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57877-2025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46220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7897-2026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46220</v>
      </c>
      <c r="F335" t="inlineStr">
        <is>
          <t>VÄSTERNORRLANDS LÄN</t>
        </is>
      </c>
      <c r="G335" t="inlineStr">
        <is>
          <t>HÄRNÖSAND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46060</v>
      </c>
      <c r="E336" s="1" t="n">
        <v>46220</v>
      </c>
      <c r="F336" t="inlineStr">
        <is>
          <t>VÄSTERNORRLANDS LÄN</t>
        </is>
      </c>
      <c r="G336" t="inlineStr">
        <is>
          <t>HÄRNÖSAND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7793-2024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46220</v>
      </c>
      <c r="F337" t="inlineStr">
        <is>
          <t>VÄSTERNORRLANDS LÄN</t>
        </is>
      </c>
      <c r="G337" t="inlineStr">
        <is>
          <t>HÄRNÖSAND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7896-2026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46220</v>
      </c>
      <c r="F338" t="inlineStr">
        <is>
          <t>VÄSTERNORRLANDS LÄN</t>
        </is>
      </c>
      <c r="G338" t="inlineStr">
        <is>
          <t>HÄRNÖSAND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40232-2023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46220</v>
      </c>
      <c r="F339" t="inlineStr">
        <is>
          <t>VÄSTERNORRLANDS LÄN</t>
        </is>
      </c>
      <c r="G339" t="inlineStr">
        <is>
          <t>HÄRNÖSAND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23547-2023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45072</v>
      </c>
      <c r="E340" s="1" t="n">
        <v>46220</v>
      </c>
      <c r="F340" t="inlineStr">
        <is>
          <t>VÄSTERNORRLANDS LÄN</t>
        </is>
      </c>
      <c r="G340" t="inlineStr">
        <is>
          <t>HÄRNÖSAND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58995-2025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45987</v>
      </c>
      <c r="E341" s="1" t="n">
        <v>46220</v>
      </c>
      <c r="F341" t="inlineStr">
        <is>
          <t>VÄSTERNORRLANDS LÄN</t>
        </is>
      </c>
      <c r="G341" t="inlineStr">
        <is>
          <t>HÄRNÖSAND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46220</v>
      </c>
      <c r="F342" t="inlineStr">
        <is>
          <t>VÄSTERNORRLANDS LÄN</t>
        </is>
      </c>
      <c r="G342" t="inlineStr">
        <is>
          <t>HÄRNÖSAND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32180-2024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45511</v>
      </c>
      <c r="E343" s="1" t="n">
        <v>46220</v>
      </c>
      <c r="F343" t="inlineStr">
        <is>
          <t>VÄSTERNORRLANDS LÄN</t>
        </is>
      </c>
      <c r="G343" t="inlineStr">
        <is>
          <t>HÄRNÖSAND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46220</v>
      </c>
      <c r="F344" t="inlineStr">
        <is>
          <t>VÄSTERNORRLANDS LÄN</t>
        </is>
      </c>
      <c r="G344" t="inlineStr">
        <is>
          <t>HÄRNÖSAND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8421-2026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46065</v>
      </c>
      <c r="E345" s="1" t="n">
        <v>46220</v>
      </c>
      <c r="F345" t="inlineStr">
        <is>
          <t>VÄSTERNORRLANDS LÄN</t>
        </is>
      </c>
      <c r="G345" t="inlineStr">
        <is>
          <t>HÄRNÖSAND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8413-2026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46220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Kyrkan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8414-2026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46220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Kyrkan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25007-2022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44728</v>
      </c>
      <c r="E348" s="1" t="n">
        <v>46220</v>
      </c>
      <c r="F348" t="inlineStr">
        <is>
          <t>VÄSTERNORRLANDS LÄN</t>
        </is>
      </c>
      <c r="G348" t="inlineStr">
        <is>
          <t>HÄRNÖSAND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46220</v>
      </c>
      <c r="F349" t="inlineStr">
        <is>
          <t>VÄSTERNORRLANDS LÄN</t>
        </is>
      </c>
      <c r="G349" t="inlineStr">
        <is>
          <t>HÄRNÖSAND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8415-2026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46065</v>
      </c>
      <c r="E350" s="1" t="n">
        <v>46220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8495-2026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46220</v>
      </c>
      <c r="F351" t="inlineStr">
        <is>
          <t>VÄSTERNORRLANDS LÄN</t>
        </is>
      </c>
      <c r="G351" t="inlineStr">
        <is>
          <t>HÄRNÖSAND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7536-2023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44971</v>
      </c>
      <c r="E352" s="1" t="n">
        <v>46220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34224-2023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46220</v>
      </c>
      <c r="F353" t="inlineStr">
        <is>
          <t>VÄSTERNORRLANDS LÄN</t>
        </is>
      </c>
      <c r="G353" t="inlineStr">
        <is>
          <t>HÄRNÖSAND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30184-2024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45489</v>
      </c>
      <c r="E354" s="1" t="n">
        <v>46220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60768-2025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46220</v>
      </c>
      <c r="F355" t="inlineStr">
        <is>
          <t>VÄSTERNORRLANDS LÄN</t>
        </is>
      </c>
      <c r="G355" t="inlineStr">
        <is>
          <t>HÄRNÖSAND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60771-2025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46220</v>
      </c>
      <c r="F356" t="inlineStr">
        <is>
          <t>VÄSTERNORRLANDS LÄN</t>
        </is>
      </c>
      <c r="G356" t="inlineStr">
        <is>
          <t>HÄRNÖSAND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60772-2025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46220</v>
      </c>
      <c r="F357" t="inlineStr">
        <is>
          <t>VÄSTERNORRLANDS LÄN</t>
        </is>
      </c>
      <c r="G357" t="inlineStr">
        <is>
          <t>HÄRNÖSAND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34161-2022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44791</v>
      </c>
      <c r="E358" s="1" t="n">
        <v>46220</v>
      </c>
      <c r="F358" t="inlineStr">
        <is>
          <t>VÄSTERNORRLANDS LÄN</t>
        </is>
      </c>
      <c r="G358" t="inlineStr">
        <is>
          <t>HÄRNÖSAND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63375-2023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46220</v>
      </c>
      <c r="F359" t="inlineStr">
        <is>
          <t>VÄSTERNORRLANDS LÄN</t>
        </is>
      </c>
      <c r="G359" t="inlineStr">
        <is>
          <t>HÄRNÖSAND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34226-2023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46220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61189-2025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46220</v>
      </c>
      <c r="F361" t="inlineStr">
        <is>
          <t>VÄSTERNORRLANDS LÄN</t>
        </is>
      </c>
      <c r="G361" t="inlineStr">
        <is>
          <t>HÄRNÖSAND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61181-2025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46220</v>
      </c>
      <c r="F362" t="inlineStr">
        <is>
          <t>VÄSTERNORRLANDS LÄN</t>
        </is>
      </c>
      <c r="G362" t="inlineStr">
        <is>
          <t>HÄRNÖSAND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45685</v>
      </c>
      <c r="E363" s="1" t="n">
        <v>46220</v>
      </c>
      <c r="F363" t="inlineStr">
        <is>
          <t>VÄSTERNORRLANDS LÄN</t>
        </is>
      </c>
      <c r="G363" t="inlineStr">
        <is>
          <t>HÄRNÖSAND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9053-2026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46220</v>
      </c>
      <c r="F364" t="inlineStr">
        <is>
          <t>VÄSTERNORRLANDS LÄN</t>
        </is>
      </c>
      <c r="G364" t="inlineStr">
        <is>
          <t>HÄRNÖSAND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10544-2023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44987</v>
      </c>
      <c r="E365" s="1" t="n">
        <v>46220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45189</v>
      </c>
      <c r="E366" s="1" t="n">
        <v>46220</v>
      </c>
      <c r="F366" t="inlineStr">
        <is>
          <t>VÄSTERNORRLANDS LÄN</t>
        </is>
      </c>
      <c r="G366" t="inlineStr">
        <is>
          <t>HÄRNÖSAND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11903-2024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46220</v>
      </c>
      <c r="F367" t="inlineStr">
        <is>
          <t>VÄSTERNORRLANDS LÄN</t>
        </is>
      </c>
      <c r="G367" t="inlineStr">
        <is>
          <t>HÄRNÖSAND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9160-2026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46220</v>
      </c>
      <c r="F368" t="inlineStr">
        <is>
          <t>VÄSTERNORRLANDS LÄN</t>
        </is>
      </c>
      <c r="G368" t="inlineStr">
        <is>
          <t>HÄRNÖSAND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52237-2022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44869</v>
      </c>
      <c r="E369" s="1" t="n">
        <v>46220</v>
      </c>
      <c r="F369" t="inlineStr">
        <is>
          <t>VÄSTERNORRLANDS LÄN</t>
        </is>
      </c>
      <c r="G369" t="inlineStr">
        <is>
          <t>HÄRNÖSAND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13611-2023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45006</v>
      </c>
      <c r="E370" s="1" t="n">
        <v>46220</v>
      </c>
      <c r="F370" t="inlineStr">
        <is>
          <t>VÄSTERNORRLANDS LÄN</t>
        </is>
      </c>
      <c r="G370" t="inlineStr">
        <is>
          <t>HÄRNÖSAND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9161-2026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46220</v>
      </c>
      <c r="F371" t="inlineStr">
        <is>
          <t>VÄSTERNORRLANDS LÄN</t>
        </is>
      </c>
      <c r="G371" t="inlineStr">
        <is>
          <t>HÄRNÖSAND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46070</v>
      </c>
      <c r="E372" s="1" t="n">
        <v>46220</v>
      </c>
      <c r="F372" t="inlineStr">
        <is>
          <t>VÄSTERNORRLANDS LÄN</t>
        </is>
      </c>
      <c r="G372" t="inlineStr">
        <is>
          <t>HÄRNÖSAND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9804-2026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46220</v>
      </c>
      <c r="F373" t="inlineStr">
        <is>
          <t>VÄSTERNORRLANDS LÄN</t>
        </is>
      </c>
      <c r="G373" t="inlineStr">
        <is>
          <t>HÄRNÖSAND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9805-2026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46220</v>
      </c>
      <c r="F374" t="inlineStr">
        <is>
          <t>VÄSTERNORRLANDS LÄN</t>
        </is>
      </c>
      <c r="G374" t="inlineStr">
        <is>
          <t>HÄRNÖSAND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19122-2024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45428</v>
      </c>
      <c r="E375" s="1" t="n">
        <v>46220</v>
      </c>
      <c r="F375" t="inlineStr">
        <is>
          <t>VÄSTERNORRLANDS LÄN</t>
        </is>
      </c>
      <c r="G375" t="inlineStr">
        <is>
          <t>HÄRNÖSAND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42197-2024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45562</v>
      </c>
      <c r="E376" s="1" t="n">
        <v>46220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64107-2025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46220</v>
      </c>
      <c r="F377" t="inlineStr">
        <is>
          <t>VÄSTERNORRLANDS LÄN</t>
        </is>
      </c>
      <c r="G377" t="inlineStr">
        <is>
          <t>HÄRNÖSAND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9642-2026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46220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9656-2026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46220</v>
      </c>
      <c r="F379" t="inlineStr">
        <is>
          <t>VÄSTERNORRLANDS LÄN</t>
        </is>
      </c>
      <c r="G379" t="inlineStr">
        <is>
          <t>HÄRNÖSAND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16866-2024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45409</v>
      </c>
      <c r="E380" s="1" t="n">
        <v>46220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61245-2024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45645</v>
      </c>
      <c r="E381" s="1" t="n">
        <v>46220</v>
      </c>
      <c r="F381" t="inlineStr">
        <is>
          <t>VÄSTERNORRLANDS LÄN</t>
        </is>
      </c>
      <c r="G381" t="inlineStr">
        <is>
          <t>HÄRNÖSAND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10571-2026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46220</v>
      </c>
      <c r="F382" t="inlineStr">
        <is>
          <t>VÄSTERNORRLANDS LÄN</t>
        </is>
      </c>
      <c r="G382" t="inlineStr">
        <is>
          <t>HÄRNÖSAND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45409</v>
      </c>
      <c r="E383" s="1" t="n">
        <v>46220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11202-2026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46080</v>
      </c>
      <c r="E384" s="1" t="n">
        <v>46220</v>
      </c>
      <c r="F384" t="inlineStr">
        <is>
          <t>VÄSTERNORRLANDS LÄN</t>
        </is>
      </c>
      <c r="G384" t="inlineStr">
        <is>
          <t>HÄRNÖSAND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11917-2026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46220</v>
      </c>
      <c r="F385" t="inlineStr">
        <is>
          <t>VÄSTERNORRLANDS LÄN</t>
        </is>
      </c>
      <c r="G385" t="inlineStr">
        <is>
          <t>HÄRNÖSAND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12084-2026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46086</v>
      </c>
      <c r="E386" s="1" t="n">
        <v>46220</v>
      </c>
      <c r="F386" t="inlineStr">
        <is>
          <t>VÄSTERNORRLANDS LÄN</t>
        </is>
      </c>
      <c r="G386" t="inlineStr">
        <is>
          <t>HÄRNÖSAND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8375-2026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46220</v>
      </c>
      <c r="F387" t="inlineStr">
        <is>
          <t>VÄSTERNORRLANDS LÄN</t>
        </is>
      </c>
      <c r="G387" t="inlineStr">
        <is>
          <t>HÄRNÖSAND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12340-2026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46220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Övriga statliga verk och myndigheter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12613-2026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46220</v>
      </c>
      <c r="F389" t="inlineStr">
        <is>
          <t>VÄSTERNORRLANDS LÄN</t>
        </is>
      </c>
      <c r="G389" t="inlineStr">
        <is>
          <t>HÄRNÖSAND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35785-2023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46220</v>
      </c>
      <c r="F390" t="inlineStr">
        <is>
          <t>VÄSTERNORRLANDS LÄN</t>
        </is>
      </c>
      <c r="G390" t="inlineStr">
        <is>
          <t>HÄRNÖSAND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12630-2026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46220</v>
      </c>
      <c r="F391" t="inlineStr">
        <is>
          <t>VÄSTERNORRLANDS LÄN</t>
        </is>
      </c>
      <c r="G391" t="inlineStr">
        <is>
          <t>HÄRNÖSAND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25116-2024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46220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12637-2026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46091</v>
      </c>
      <c r="E393" s="1" t="n">
        <v>46220</v>
      </c>
      <c r="F393" t="inlineStr">
        <is>
          <t>VÄSTERNORRLANDS LÄN</t>
        </is>
      </c>
      <c r="G393" t="inlineStr">
        <is>
          <t>HÄRNÖSAND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12650-2026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46091</v>
      </c>
      <c r="E394" s="1" t="n">
        <v>46220</v>
      </c>
      <c r="F394" t="inlineStr">
        <is>
          <t>VÄSTERNORRLANDS LÄN</t>
        </is>
      </c>
      <c r="G394" t="inlineStr">
        <is>
          <t>HÄRNÖSAND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12623-2026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46220</v>
      </c>
      <c r="F395" t="inlineStr">
        <is>
          <t>VÄSTERNORRLANDS LÄN</t>
        </is>
      </c>
      <c r="G395" t="inlineStr">
        <is>
          <t>HÄRNÖSAND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38379-2023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46220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17800-2024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45418</v>
      </c>
      <c r="E397" s="1" t="n">
        <v>46220</v>
      </c>
      <c r="F397" t="inlineStr">
        <is>
          <t>VÄSTERNORRLANDS LÄN</t>
        </is>
      </c>
      <c r="G397" t="inlineStr">
        <is>
          <t>HÄRNÖSAND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26976-2023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46220</v>
      </c>
      <c r="F398" t="inlineStr">
        <is>
          <t>VÄSTERNORRLANDS LÄN</t>
        </is>
      </c>
      <c r="G398" t="inlineStr">
        <is>
          <t>HÄRNÖSAND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46220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44937</v>
      </c>
      <c r="E400" s="1" t="n">
        <v>46220</v>
      </c>
      <c r="F400" t="inlineStr">
        <is>
          <t>VÄSTERNORRLANDS LÄN</t>
        </is>
      </c>
      <c r="G400" t="inlineStr">
        <is>
          <t>HÄRNÖSAND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46220</v>
      </c>
      <c r="F401" t="inlineStr">
        <is>
          <t>VÄSTERNORRLANDS LÄN</t>
        </is>
      </c>
      <c r="G401" t="inlineStr">
        <is>
          <t>HÄRNÖSAND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11045-2025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45723</v>
      </c>
      <c r="E402" s="1" t="n">
        <v>46220</v>
      </c>
      <c r="F402" t="inlineStr">
        <is>
          <t>VÄSTERNORRLANDS LÄN</t>
        </is>
      </c>
      <c r="G402" t="inlineStr">
        <is>
          <t>HÄRNÖSAND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12675-2025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46220</v>
      </c>
      <c r="F403" t="inlineStr">
        <is>
          <t>VÄSTERNORRLANDS LÄN</t>
        </is>
      </c>
      <c r="G403" t="inlineStr">
        <is>
          <t>HÄRNÖSAND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14936-2026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46220</v>
      </c>
      <c r="F404" t="inlineStr">
        <is>
          <t>VÄSTERNORRLANDS LÄN</t>
        </is>
      </c>
      <c r="G404" t="inlineStr">
        <is>
          <t>HÄRNÖSAND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45293</v>
      </c>
      <c r="E405" s="1" t="n">
        <v>46220</v>
      </c>
      <c r="F405" t="inlineStr">
        <is>
          <t>VÄSTERNORRLANDS LÄN</t>
        </is>
      </c>
      <c r="G405" t="inlineStr">
        <is>
          <t>HÄRNÖSAND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14665-2026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46220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16.2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15137-2026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46220</v>
      </c>
      <c r="F407" t="inlineStr">
        <is>
          <t>VÄSTERNORRLANDS LÄN</t>
        </is>
      </c>
      <c r="G407" t="inlineStr">
        <is>
          <t>HÄRNÖSAND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15199-2026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46220</v>
      </c>
      <c r="F408" t="inlineStr">
        <is>
          <t>VÄSTERNORRLANDS LÄN</t>
        </is>
      </c>
      <c r="G408" t="inlineStr">
        <is>
          <t>HÄRNÖSAND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14018-2024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46220</v>
      </c>
      <c r="F409" t="inlineStr">
        <is>
          <t>VÄSTERNORRLANDS LÄN</t>
        </is>
      </c>
      <c r="G409" t="inlineStr">
        <is>
          <t>HÄRNÖSAND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15613-2026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46220</v>
      </c>
      <c r="F410" t="inlineStr">
        <is>
          <t>VÄSTERNORRLANDS LÄN</t>
        </is>
      </c>
      <c r="G410" t="inlineStr">
        <is>
          <t>HÄRNÖSAND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15192-2026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46220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15160-2026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46220</v>
      </c>
      <c r="F412" t="inlineStr">
        <is>
          <t>VÄSTERNORRLANDS LÄN</t>
        </is>
      </c>
      <c r="G412" t="inlineStr">
        <is>
          <t>HÄRNÖSAND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18885-2023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45044</v>
      </c>
      <c r="E413" s="1" t="n">
        <v>46220</v>
      </c>
      <c r="F413" t="inlineStr">
        <is>
          <t>VÄSTERNORRLANDS LÄN</t>
        </is>
      </c>
      <c r="G413" t="inlineStr">
        <is>
          <t>HÄRNÖSAND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46220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46220</v>
      </c>
      <c r="F415" t="inlineStr">
        <is>
          <t>VÄSTERNORRLANDS LÄN</t>
        </is>
      </c>
      <c r="G415" t="inlineStr">
        <is>
          <t>HÄRNÖSAND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15921-2026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46220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15694-2026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46220</v>
      </c>
      <c r="F417" t="inlineStr">
        <is>
          <t>VÄSTERNORRLANDS LÄN</t>
        </is>
      </c>
      <c r="G417" t="inlineStr">
        <is>
          <t>HÄRNÖSAND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15930-2026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46220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59073-2022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44897</v>
      </c>
      <c r="E419" s="1" t="n">
        <v>46220</v>
      </c>
      <c r="F419" t="inlineStr">
        <is>
          <t>VÄSTERNORRLANDS LÄN</t>
        </is>
      </c>
      <c r="G419" t="inlineStr">
        <is>
          <t>HÄRNÖSAND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18978-2023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46220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25430-2022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44732</v>
      </c>
      <c r="E421" s="1" t="n">
        <v>46220</v>
      </c>
      <c r="F421" t="inlineStr">
        <is>
          <t>VÄSTERNORRLANDS LÄN</t>
        </is>
      </c>
      <c r="G421" t="inlineStr">
        <is>
          <t>HÄRNÖSAND</t>
        </is>
      </c>
      <c r="I421" t="n">
        <v>18.7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16705-2026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46113</v>
      </c>
      <c r="E422" s="1" t="n">
        <v>46220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44596</v>
      </c>
      <c r="E423" s="1" t="n">
        <v>46220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Övriga statliga verk och myndigheter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16835-2026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46113</v>
      </c>
      <c r="E424" s="1" t="n">
        <v>46220</v>
      </c>
      <c r="F424" t="inlineStr">
        <is>
          <t>VÄSTERNORRLANDS LÄN</t>
        </is>
      </c>
      <c r="G424" t="inlineStr">
        <is>
          <t>HÄRNÖSAND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21471-2022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46220</v>
      </c>
      <c r="F425" t="inlineStr">
        <is>
          <t>VÄSTERNORRLANDS LÄN</t>
        </is>
      </c>
      <c r="G425" t="inlineStr">
        <is>
          <t>HÄRNÖSAND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32421-2024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45512</v>
      </c>
      <c r="E426" s="1" t="n">
        <v>46220</v>
      </c>
      <c r="F426" t="inlineStr">
        <is>
          <t>VÄSTERNORRLANDS LÄN</t>
        </is>
      </c>
      <c r="G426" t="inlineStr">
        <is>
          <t>HÄRNÖSAND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17661-2026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46220</v>
      </c>
      <c r="F427" t="inlineStr">
        <is>
          <t>VÄSTERNORRLANDS LÄN</t>
        </is>
      </c>
      <c r="G427" t="inlineStr">
        <is>
          <t>HÄRNÖSAND</t>
        </is>
      </c>
      <c r="I427" t="n">
        <v>10.8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17874-2026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46220</v>
      </c>
      <c r="F428" t="inlineStr">
        <is>
          <t>VÄSTERNORRLANDS LÄN</t>
        </is>
      </c>
      <c r="G428" t="inlineStr">
        <is>
          <t>HÄRNÖSAND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18393-2026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46220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31.9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18288-2026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46220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61337-2024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46220</v>
      </c>
      <c r="F431" t="inlineStr">
        <is>
          <t>VÄSTERNORRLANDS LÄN</t>
        </is>
      </c>
      <c r="G431" t="inlineStr">
        <is>
          <t>HÄRNÖSAND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45329</v>
      </c>
      <c r="E432" s="1" t="n">
        <v>46220</v>
      </c>
      <c r="F432" t="inlineStr">
        <is>
          <t>VÄSTERNORRLANDS LÄN</t>
        </is>
      </c>
      <c r="G432" t="inlineStr">
        <is>
          <t>HÄRNÖSAND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18575-2026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46220</v>
      </c>
      <c r="F433" t="inlineStr">
        <is>
          <t>VÄSTERNORRLANDS LÄN</t>
        </is>
      </c>
      <c r="G433" t="inlineStr">
        <is>
          <t>HÄRNÖSAND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54091-2024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45616</v>
      </c>
      <c r="E434" s="1" t="n">
        <v>46220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3476-2024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46220</v>
      </c>
      <c r="F435" t="inlineStr">
        <is>
          <t>VÄSTERNORRLANDS LÄN</t>
        </is>
      </c>
      <c r="G435" t="inlineStr">
        <is>
          <t>HÄRNÖSAND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19327-2026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46220</v>
      </c>
      <c r="F436" t="inlineStr">
        <is>
          <t>VÄSTERNORRLANDS LÄN</t>
        </is>
      </c>
      <c r="G436" t="inlineStr">
        <is>
          <t>HÄRNÖSAND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19245-2026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46220</v>
      </c>
      <c r="F437" t="inlineStr">
        <is>
          <t>VÄSTERNORRLANDS LÄN</t>
        </is>
      </c>
      <c r="G437" t="inlineStr">
        <is>
          <t>HÄRNÖSAND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19346-2026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46220</v>
      </c>
      <c r="F438" t="inlineStr">
        <is>
          <t>VÄSTERNORRLANDS LÄN</t>
        </is>
      </c>
      <c r="G438" t="inlineStr">
        <is>
          <t>HÄRNÖSAND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17431-2023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45035</v>
      </c>
      <c r="E439" s="1" t="n">
        <v>46220</v>
      </c>
      <c r="F439" t="inlineStr">
        <is>
          <t>VÄSTERNORRLANDS LÄN</t>
        </is>
      </c>
      <c r="G439" t="inlineStr">
        <is>
          <t>HÄRNÖSAND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39433-2023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46220</v>
      </c>
      <c r="F440" t="inlineStr">
        <is>
          <t>VÄSTERNORRLANDS LÄN</t>
        </is>
      </c>
      <c r="G440" t="inlineStr">
        <is>
          <t>HÄRNÖSAND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47552-2022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46220</v>
      </c>
      <c r="F441" t="inlineStr">
        <is>
          <t>VÄSTERNORRLANDS LÄN</t>
        </is>
      </c>
      <c r="G441" t="inlineStr">
        <is>
          <t>HÄRNÖSAND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34619-2023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45138</v>
      </c>
      <c r="E442" s="1" t="n">
        <v>46220</v>
      </c>
      <c r="F442" t="inlineStr">
        <is>
          <t>VÄSTERNORRLANDS LÄN</t>
        </is>
      </c>
      <c r="G442" t="inlineStr">
        <is>
          <t>HÄRNÖSAND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35595-2024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46220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51001-2022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44867</v>
      </c>
      <c r="E444" s="1" t="n">
        <v>46220</v>
      </c>
      <c r="F444" t="inlineStr">
        <is>
          <t>VÄSTERNORRLANDS LÄN</t>
        </is>
      </c>
      <c r="G444" t="inlineStr">
        <is>
          <t>HÄRNÖSAND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25908-2026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46220</v>
      </c>
      <c r="F445" t="inlineStr">
        <is>
          <t>VÄSTERNORRLANDS LÄN</t>
        </is>
      </c>
      <c r="G445" t="inlineStr">
        <is>
          <t>HÄRNÖSAND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13605-2024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45390</v>
      </c>
      <c r="E446" s="1" t="n">
        <v>46220</v>
      </c>
      <c r="F446" t="inlineStr">
        <is>
          <t>VÄSTERNORRLANDS LÄN</t>
        </is>
      </c>
      <c r="G446" t="inlineStr">
        <is>
          <t>HÄRNÖSAND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45678</v>
      </c>
      <c r="E447" s="1" t="n">
        <v>46220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SCA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22875-2023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45072</v>
      </c>
      <c r="E448" s="1" t="n">
        <v>46220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Kyrkan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16979-2022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44676</v>
      </c>
      <c r="E449" s="1" t="n">
        <v>46220</v>
      </c>
      <c r="F449" t="inlineStr">
        <is>
          <t>VÄSTERNORRLANDS LÄN</t>
        </is>
      </c>
      <c r="G449" t="inlineStr">
        <is>
          <t>HÄRNÖSAND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25981-2026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46220</v>
      </c>
      <c r="F450" t="inlineStr">
        <is>
          <t>VÄSTERNORRLANDS LÄN</t>
        </is>
      </c>
      <c r="G450" t="inlineStr">
        <is>
          <t>HÄRNÖSAND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14874-2023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46220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25974-2026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46220</v>
      </c>
      <c r="F452" t="inlineStr">
        <is>
          <t>VÄSTERNORRLANDS LÄN</t>
        </is>
      </c>
      <c r="G452" t="inlineStr">
        <is>
          <t>HÄRNÖSAND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16237-2025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45749</v>
      </c>
      <c r="E453" s="1" t="n">
        <v>46220</v>
      </c>
      <c r="F453" t="inlineStr">
        <is>
          <t>VÄSTERNORRLANDS LÄN</t>
        </is>
      </c>
      <c r="G453" t="inlineStr">
        <is>
          <t>HÄRNÖSAND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2492-2024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46220</v>
      </c>
      <c r="F454" t="inlineStr">
        <is>
          <t>VÄSTERNORRLANDS LÄN</t>
        </is>
      </c>
      <c r="G454" t="inlineStr">
        <is>
          <t>HÄRNÖSAND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8417-2026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46220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Kyrkan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19900-2025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45771</v>
      </c>
      <c r="E456" s="1" t="n">
        <v>46220</v>
      </c>
      <c r="F456" t="inlineStr">
        <is>
          <t>VÄSTERNORRLANDS LÄN</t>
        </is>
      </c>
      <c r="G456" t="inlineStr">
        <is>
          <t>HÄRNÖSAND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55895-2024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46220</v>
      </c>
      <c r="F457" t="inlineStr">
        <is>
          <t>VÄSTERNORRLANDS LÄN</t>
        </is>
      </c>
      <c r="G457" t="inlineStr">
        <is>
          <t>HÄRNÖSAND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7522-2023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46220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35969-2023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46220</v>
      </c>
      <c r="F459" t="inlineStr">
        <is>
          <t>VÄSTERNORRLANDS LÄN</t>
        </is>
      </c>
      <c r="G459" t="inlineStr">
        <is>
          <t>HÄRNÖSAND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42348-2025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45904</v>
      </c>
      <c r="E460" s="1" t="n">
        <v>46220</v>
      </c>
      <c r="F460" t="inlineStr">
        <is>
          <t>VÄSTERNORRLANDS LÄN</t>
        </is>
      </c>
      <c r="G460" t="inlineStr">
        <is>
          <t>HÄRNÖSAND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56680-2023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45243</v>
      </c>
      <c r="E461" s="1" t="n">
        <v>46220</v>
      </c>
      <c r="F461" t="inlineStr">
        <is>
          <t>VÄSTERNORRLANDS LÄN</t>
        </is>
      </c>
      <c r="G461" t="inlineStr">
        <is>
          <t>HÄRNÖSAND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45687-2022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46220</v>
      </c>
      <c r="F462" t="inlineStr">
        <is>
          <t>VÄSTERNORRLANDS LÄN</t>
        </is>
      </c>
      <c r="G462" t="inlineStr">
        <is>
          <t>HÄRNÖSAND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46024</v>
      </c>
      <c r="E463" s="1" t="n">
        <v>46220</v>
      </c>
      <c r="F463" t="inlineStr">
        <is>
          <t>VÄSTERNORRLANDS LÄN</t>
        </is>
      </c>
      <c r="G463" t="inlineStr">
        <is>
          <t>HÄRNÖSAND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16875-2024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45409</v>
      </c>
      <c r="E464" s="1" t="n">
        <v>46220</v>
      </c>
      <c r="F464" t="inlineStr">
        <is>
          <t>VÄSTERNORRLANDS LÄN</t>
        </is>
      </c>
      <c r="G464" t="inlineStr">
        <is>
          <t>HÄRNÖSAND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44580</v>
      </c>
      <c r="E465" s="1" t="n">
        <v>46220</v>
      </c>
      <c r="F465" t="inlineStr">
        <is>
          <t>VÄSTERNORRLANDS LÄN</t>
        </is>
      </c>
      <c r="G465" t="inlineStr">
        <is>
          <t>HÄRNÖSAND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58588-2022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44894</v>
      </c>
      <c r="E466" s="1" t="n">
        <v>46220</v>
      </c>
      <c r="F466" t="inlineStr">
        <is>
          <t>VÄSTERNORRLANDS LÄN</t>
        </is>
      </c>
      <c r="G466" t="inlineStr">
        <is>
          <t>HÄRNÖSAND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10549-2024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45366</v>
      </c>
      <c r="E467" s="1" t="n">
        <v>46220</v>
      </c>
      <c r="F467" t="inlineStr">
        <is>
          <t>VÄSTERNORRLANDS LÄN</t>
        </is>
      </c>
      <c r="G467" t="inlineStr">
        <is>
          <t>HÄRNÖSAND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29544-2025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45825</v>
      </c>
      <c r="E468" s="1" t="n">
        <v>46220</v>
      </c>
      <c r="F468" t="inlineStr">
        <is>
          <t>VÄSTERNORRLANDS LÄN</t>
        </is>
      </c>
      <c r="G468" t="inlineStr">
        <is>
          <t>HÄRNÖSAND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34612-2024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46220</v>
      </c>
      <c r="F469" t="inlineStr">
        <is>
          <t>VÄSTERNORRLANDS LÄN</t>
        </is>
      </c>
      <c r="G469" t="inlineStr">
        <is>
          <t>HÄRNÖSAND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59121-2023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46220</v>
      </c>
      <c r="F470" t="inlineStr">
        <is>
          <t>VÄSTERNORRLANDS LÄN</t>
        </is>
      </c>
      <c r="G470" t="inlineStr">
        <is>
          <t>HÄRNÖSAND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61102-2021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46220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11881-2024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45376</v>
      </c>
      <c r="E472" s="1" t="n">
        <v>46220</v>
      </c>
      <c r="F472" t="inlineStr">
        <is>
          <t>VÄSTERNORRLANDS LÄN</t>
        </is>
      </c>
      <c r="G472" t="inlineStr">
        <is>
          <t>HÄRNÖSAND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34011-2024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45523</v>
      </c>
      <c r="E473" s="1" t="n">
        <v>46220</v>
      </c>
      <c r="F473" t="inlineStr">
        <is>
          <t>VÄSTERNORRLANDS LÄN</t>
        </is>
      </c>
      <c r="G473" t="inlineStr">
        <is>
          <t>HÄRNÖSAND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50338-2022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44865</v>
      </c>
      <c r="E474" s="1" t="n">
        <v>46220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38920-2025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45887</v>
      </c>
      <c r="E475" s="1" t="n">
        <v>46220</v>
      </c>
      <c r="F475" t="inlineStr">
        <is>
          <t>VÄSTERNORRLANDS LÄN</t>
        </is>
      </c>
      <c r="G475" t="inlineStr">
        <is>
          <t>HÄRNÖSAND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45699</v>
      </c>
      <c r="E476" s="1" t="n">
        <v>46220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33156-2025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45840</v>
      </c>
      <c r="E477" s="1" t="n">
        <v>46220</v>
      </c>
      <c r="F477" t="inlineStr">
        <is>
          <t>VÄSTERNORRLANDS LÄN</t>
        </is>
      </c>
      <c r="G477" t="inlineStr">
        <is>
          <t>HÄRNÖSAND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9658-2026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46220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18979-2023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45044</v>
      </c>
      <c r="E479" s="1" t="n">
        <v>46220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20863-2026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46220</v>
      </c>
      <c r="F480" t="inlineStr">
        <is>
          <t>VÄSTERNORRLANDS LÄN</t>
        </is>
      </c>
      <c r="G480" t="inlineStr">
        <is>
          <t>HÄRNÖSAND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31408-2024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45502</v>
      </c>
      <c r="E481" s="1" t="n">
        <v>46220</v>
      </c>
      <c r="F481" t="inlineStr">
        <is>
          <t>VÄSTERNORRLANDS LÄN</t>
        </is>
      </c>
      <c r="G481" t="inlineStr">
        <is>
          <t>HÄRNÖSAND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24452-2022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44726</v>
      </c>
      <c r="E482" s="1" t="n">
        <v>46220</v>
      </c>
      <c r="F482" t="inlineStr">
        <is>
          <t>VÄSTERNORRLANDS LÄN</t>
        </is>
      </c>
      <c r="G482" t="inlineStr">
        <is>
          <t>HÄRNÖSAND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26667-2026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46220</v>
      </c>
      <c r="F483" t="inlineStr">
        <is>
          <t>VÄSTERNORRLANDS LÄN</t>
        </is>
      </c>
      <c r="G483" t="inlineStr">
        <is>
          <t>HÄRNÖSAND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46220</v>
      </c>
      <c r="F484" t="inlineStr">
        <is>
          <t>VÄSTERNORRLANDS LÄN</t>
        </is>
      </c>
      <c r="G484" t="inlineStr">
        <is>
          <t>HÄRNÖSAND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56165-2022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44889</v>
      </c>
      <c r="E485" s="1" t="n">
        <v>46220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46220</v>
      </c>
      <c r="F486" t="inlineStr">
        <is>
          <t>VÄSTERNORRLANDS LÄN</t>
        </is>
      </c>
      <c r="G486" t="inlineStr">
        <is>
          <t>HÄRNÖSAND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27421-2026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46220</v>
      </c>
      <c r="F487" t="inlineStr">
        <is>
          <t>VÄSTERNORRLANDS LÄN</t>
        </is>
      </c>
      <c r="G487" t="inlineStr">
        <is>
          <t>HÄRNÖSAND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29813-2022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44755</v>
      </c>
      <c r="E488" s="1" t="n">
        <v>46220</v>
      </c>
      <c r="F488" t="inlineStr">
        <is>
          <t>VÄSTERNORRLANDS LÄN</t>
        </is>
      </c>
      <c r="G488" t="inlineStr">
        <is>
          <t>HÄRNÖSAND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54252-2022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46220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46220</v>
      </c>
      <c r="F490" t="inlineStr">
        <is>
          <t>VÄSTERNORRLANDS LÄN</t>
        </is>
      </c>
      <c r="G490" t="inlineStr">
        <is>
          <t>HÄRNÖSAND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27453-2026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46220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46220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27460-2026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46220</v>
      </c>
      <c r="F493" t="inlineStr">
        <is>
          <t>VÄSTERNORRLANDS LÄN</t>
        </is>
      </c>
      <c r="G493" t="inlineStr">
        <is>
          <t>HÄRNÖSAND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31546-2024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45505</v>
      </c>
      <c r="E494" s="1" t="n">
        <v>46220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27162-2026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46220</v>
      </c>
      <c r="F495" t="inlineStr">
        <is>
          <t>VÄSTERNORRLANDS LÄN</t>
        </is>
      </c>
      <c r="G495" t="inlineStr">
        <is>
          <t>HÄRNÖSAND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27458-2026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46220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27461-2026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46220</v>
      </c>
      <c r="F497" t="inlineStr">
        <is>
          <t>VÄSTERNORRLANDS LÄN</t>
        </is>
      </c>
      <c r="G497" t="inlineStr">
        <is>
          <t>HÄRNÖSAND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46320-2022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44847</v>
      </c>
      <c r="E498" s="1" t="n">
        <v>46220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Kyrkan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46319-2022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46220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Kyrkan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27922-2026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46191</v>
      </c>
      <c r="E500" s="1" t="n">
        <v>46220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27544-2026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46220</v>
      </c>
      <c r="F501" t="inlineStr">
        <is>
          <t>VÄSTERNORRLANDS LÄN</t>
        </is>
      </c>
      <c r="G501" t="inlineStr">
        <is>
          <t>HÄRNÖSAND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11078-2025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45723</v>
      </c>
      <c r="E502" s="1" t="n">
        <v>46220</v>
      </c>
      <c r="F502" t="inlineStr">
        <is>
          <t>VÄSTERNORRLANDS LÄN</t>
        </is>
      </c>
      <c r="G502" t="inlineStr">
        <is>
          <t>HÄRNÖSAND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29279-2024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45482</v>
      </c>
      <c r="E503" s="1" t="n">
        <v>46220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4818-2024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46220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46220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13604-2024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46220</v>
      </c>
      <c r="F506" t="inlineStr">
        <is>
          <t>VÄSTERNORRLANDS LÄN</t>
        </is>
      </c>
      <c r="G506" t="inlineStr">
        <is>
          <t>HÄRNÖSAND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25782-2026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46220</v>
      </c>
      <c r="F507" t="inlineStr">
        <is>
          <t>VÄSTERNORRLANDS LÄN</t>
        </is>
      </c>
      <c r="G507" t="inlineStr">
        <is>
          <t>HÄRNÖSAND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60970-2021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46220</v>
      </c>
      <c r="F508" t="inlineStr">
        <is>
          <t>VÄSTERNORRLANDS LÄN</t>
        </is>
      </c>
      <c r="G508" t="inlineStr">
        <is>
          <t>HÄRNÖSAND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52987-2022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44875</v>
      </c>
      <c r="E509" s="1" t="n">
        <v>46220</v>
      </c>
      <c r="F509" t="inlineStr">
        <is>
          <t>VÄSTERNORRLANDS LÄN</t>
        </is>
      </c>
      <c r="G509" t="inlineStr">
        <is>
          <t>HÄRNÖSAND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47702-2021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44448</v>
      </c>
      <c r="E510" s="1" t="n">
        <v>46220</v>
      </c>
      <c r="F510" t="inlineStr">
        <is>
          <t>VÄSTERNORRLANDS LÄN</t>
        </is>
      </c>
      <c r="G510" t="inlineStr">
        <is>
          <t>HÄRNÖSAND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69269-2021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44531</v>
      </c>
      <c r="E511" s="1" t="n">
        <v>46220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12267-2025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45729</v>
      </c>
      <c r="E512" s="1" t="n">
        <v>46220</v>
      </c>
      <c r="F512" t="inlineStr">
        <is>
          <t>VÄSTERNORRLANDS LÄN</t>
        </is>
      </c>
      <c r="G512" t="inlineStr">
        <is>
          <t>HÄRNÖSAND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38146-2024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46220</v>
      </c>
      <c r="F513" t="inlineStr">
        <is>
          <t>VÄSTERNORRLANDS LÄN</t>
        </is>
      </c>
      <c r="G513" t="inlineStr">
        <is>
          <t>HÄRNÖSAND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21928-2026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46220</v>
      </c>
      <c r="F514" t="inlineStr">
        <is>
          <t>VÄSTERNORRLANDS LÄN</t>
        </is>
      </c>
      <c r="G514" t="inlineStr">
        <is>
          <t>HÄRNÖSAND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22142-2026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46220</v>
      </c>
      <c r="F515" t="inlineStr">
        <is>
          <t>VÄSTERNORRLANDS LÄN</t>
        </is>
      </c>
      <c r="G515" t="inlineStr">
        <is>
          <t>HÄRNÖSAND</t>
        </is>
      </c>
      <c r="I515" t="n">
        <v>16.7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28006-2026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46220</v>
      </c>
      <c r="F516" t="inlineStr">
        <is>
          <t>VÄSTERNORRLANDS LÄN</t>
        </is>
      </c>
      <c r="G516" t="inlineStr">
        <is>
          <t>HÄRNÖSAND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28043-2026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46220</v>
      </c>
      <c r="F517" t="inlineStr">
        <is>
          <t>VÄSTERNORRLANDS LÄN</t>
        </is>
      </c>
      <c r="G517" t="inlineStr">
        <is>
          <t>HÄRNÖSAND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22200-2026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46220</v>
      </c>
      <c r="F518" t="inlineStr">
        <is>
          <t>VÄSTERNORRLANDS LÄN</t>
        </is>
      </c>
      <c r="G518" t="inlineStr">
        <is>
          <t>HÄRNÖSAND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28005-2026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46220</v>
      </c>
      <c r="F519" t="inlineStr">
        <is>
          <t>VÄSTERNORRLANDS LÄN</t>
        </is>
      </c>
      <c r="G519" t="inlineStr">
        <is>
          <t>HÄRNÖSAND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28004-2026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46220</v>
      </c>
      <c r="F520" t="inlineStr">
        <is>
          <t>VÄSTERNORRLANDS LÄN</t>
        </is>
      </c>
      <c r="G520" t="inlineStr">
        <is>
          <t>HÄRNÖSAND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28001-2026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46220</v>
      </c>
      <c r="F521" t="inlineStr">
        <is>
          <t>VÄSTERNORRLANDS LÄN</t>
        </is>
      </c>
      <c r="G521" t="inlineStr">
        <is>
          <t>HÄRNÖSAND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46220</v>
      </c>
      <c r="F522" t="inlineStr">
        <is>
          <t>VÄSTERNORRLANDS LÄN</t>
        </is>
      </c>
      <c r="G522" t="inlineStr">
        <is>
          <t>HÄRNÖSAND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49346-2024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45595</v>
      </c>
      <c r="E523" s="1" t="n">
        <v>46220</v>
      </c>
      <c r="F523" t="inlineStr">
        <is>
          <t>VÄSTERNORRLANDS LÄN</t>
        </is>
      </c>
      <c r="G523" t="inlineStr">
        <is>
          <t>HÄRNÖSAND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49364-2024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45595</v>
      </c>
      <c r="E524" s="1" t="n">
        <v>46220</v>
      </c>
      <c r="F524" t="inlineStr">
        <is>
          <t>VÄSTERNORRLANDS LÄN</t>
        </is>
      </c>
      <c r="G524" t="inlineStr">
        <is>
          <t>HÄRNÖSAND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22548-2026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46220</v>
      </c>
      <c r="F525" t="inlineStr">
        <is>
          <t>VÄSTERNORRLANDS LÄN</t>
        </is>
      </c>
      <c r="G525" t="inlineStr">
        <is>
          <t>HÄRNÖSAND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64377-2023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46220</v>
      </c>
      <c r="F526" t="inlineStr">
        <is>
          <t>VÄSTERNORRLANDS LÄN</t>
        </is>
      </c>
      <c r="G526" t="inlineStr">
        <is>
          <t>HÄRNÖSAND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47224-2025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45930</v>
      </c>
      <c r="E527" s="1" t="n">
        <v>46220</v>
      </c>
      <c r="F527" t="inlineStr">
        <is>
          <t>VÄSTERNORRLANDS LÄN</t>
        </is>
      </c>
      <c r="G527" t="inlineStr">
        <is>
          <t>HÄRNÖSAND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19827-2022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44694</v>
      </c>
      <c r="E528" s="1" t="n">
        <v>46220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27912-2022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44743</v>
      </c>
      <c r="E529" s="1" t="n">
        <v>46220</v>
      </c>
      <c r="F529" t="inlineStr">
        <is>
          <t>VÄSTERNORRLANDS LÄN</t>
        </is>
      </c>
      <c r="G529" t="inlineStr">
        <is>
          <t>HÄRNÖSAND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15821-2026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46220</v>
      </c>
      <c r="F530" t="inlineStr">
        <is>
          <t>VÄSTERNORRLANDS LÄN</t>
        </is>
      </c>
      <c r="G530" t="inlineStr">
        <is>
          <t>HÄRNÖSAND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37172-2022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44806</v>
      </c>
      <c r="E531" s="1" t="n">
        <v>46220</v>
      </c>
      <c r="F531" t="inlineStr">
        <is>
          <t>VÄSTERNORRLANDS LÄN</t>
        </is>
      </c>
      <c r="G531" t="inlineStr">
        <is>
          <t>HÄRNÖSAND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37172-2022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44806</v>
      </c>
      <c r="E532" s="1" t="n">
        <v>46220</v>
      </c>
      <c r="F532" t="inlineStr">
        <is>
          <t>VÄSTERNORRLANDS LÄN</t>
        </is>
      </c>
      <c r="G532" t="inlineStr">
        <is>
          <t>HÄRNÖSAND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9242-2025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45714</v>
      </c>
      <c r="E533" s="1" t="n">
        <v>46220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55058-2023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45229</v>
      </c>
      <c r="E534" s="1" t="n">
        <v>46220</v>
      </c>
      <c r="F534" t="inlineStr">
        <is>
          <t>VÄSTERNORRLANDS LÄN</t>
        </is>
      </c>
      <c r="G534" t="inlineStr">
        <is>
          <t>HÄRNÖSAND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46220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29483-2026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46220</v>
      </c>
      <c r="F536" t="inlineStr">
        <is>
          <t>VÄSTERNORRLANDS LÄN</t>
        </is>
      </c>
      <c r="G536" t="inlineStr">
        <is>
          <t>HÄRNÖSAND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21927-2026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46220</v>
      </c>
      <c r="F537" t="inlineStr">
        <is>
          <t>VÄSTERNORRLANDS LÄN</t>
        </is>
      </c>
      <c r="G537" t="inlineStr">
        <is>
          <t>HÄRNÖSAND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46220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23130-2026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46220</v>
      </c>
      <c r="F539" t="inlineStr">
        <is>
          <t>VÄSTERNORRLANDS LÄN</t>
        </is>
      </c>
      <c r="G539" t="inlineStr">
        <is>
          <t>HÄRNÖSAND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23176-2026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46220</v>
      </c>
      <c r="F540" t="inlineStr">
        <is>
          <t>VÄSTERNORRLANDS LÄN</t>
        </is>
      </c>
      <c r="G540" t="inlineStr">
        <is>
          <t>HÄRNÖSAND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23185-2026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46220</v>
      </c>
      <c r="F541" t="inlineStr">
        <is>
          <t>VÄSTERNORRLANDS LÄN</t>
        </is>
      </c>
      <c r="G541" t="inlineStr">
        <is>
          <t>HÄRNÖSAND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22515-2025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46220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31.8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45921-2024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46220</v>
      </c>
      <c r="F543" t="inlineStr">
        <is>
          <t>VÄSTERNORRLANDS LÄN</t>
        </is>
      </c>
      <c r="G543" t="inlineStr">
        <is>
          <t>HÄRNÖSAND</t>
        </is>
      </c>
      <c r="I543" t="n">
        <v>14.2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22852-2025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46220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31.8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23137-2026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46220</v>
      </c>
      <c r="F545" t="inlineStr">
        <is>
          <t>VÄSTERNORRLANDS LÄN</t>
        </is>
      </c>
      <c r="G545" t="inlineStr">
        <is>
          <t>HÄRNÖSAND</t>
        </is>
      </c>
      <c r="I545" t="n">
        <v>9.199999999999999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22990-2026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46220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64749-2023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46220</v>
      </c>
      <c r="F547" t="inlineStr">
        <is>
          <t>VÄSTERNORRLANDS LÄN</t>
        </is>
      </c>
      <c r="G547" t="inlineStr">
        <is>
          <t>HÄRNÖSAND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27694-2025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45813</v>
      </c>
      <c r="E548" s="1" t="n">
        <v>46220</v>
      </c>
      <c r="F548" t="inlineStr">
        <is>
          <t>VÄSTERNORRLANDS LÄN</t>
        </is>
      </c>
      <c r="G548" t="inlineStr">
        <is>
          <t>HÄRNÖSAND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23140-2026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46161</v>
      </c>
      <c r="E549" s="1" t="n">
        <v>46220</v>
      </c>
      <c r="F549" t="inlineStr">
        <is>
          <t>VÄSTERNORRLANDS LÄN</t>
        </is>
      </c>
      <c r="G549" t="inlineStr">
        <is>
          <t>HÄRNÖSAND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23148-2026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46220</v>
      </c>
      <c r="F550" t="inlineStr">
        <is>
          <t>VÄSTERNORRLANDS LÄN</t>
        </is>
      </c>
      <c r="G550" t="inlineStr">
        <is>
          <t>HÄRNÖSAND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23179-2026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46220</v>
      </c>
      <c r="F551" t="inlineStr">
        <is>
          <t>VÄSTERNORRLANDS LÄN</t>
        </is>
      </c>
      <c r="G551" t="inlineStr">
        <is>
          <t>HÄRNÖSAND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29476-2026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46203</v>
      </c>
      <c r="E552" s="1" t="n">
        <v>46220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29450-2026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46220</v>
      </c>
      <c r="F553" t="inlineStr">
        <is>
          <t>VÄSTERNORRLANDS LÄN</t>
        </is>
      </c>
      <c r="G553" t="inlineStr">
        <is>
          <t>HÄRNÖSAND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23168-2026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46220</v>
      </c>
      <c r="F554" t="inlineStr">
        <is>
          <t>VÄSTERNORRLANDS LÄN</t>
        </is>
      </c>
      <c r="G554" t="inlineStr">
        <is>
          <t>HÄRNÖSAND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46220</v>
      </c>
      <c r="F555" t="inlineStr">
        <is>
          <t>VÄSTERNORRLANDS LÄN</t>
        </is>
      </c>
      <c r="G555" t="inlineStr">
        <is>
          <t>HÄRNÖSAND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23182-2026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46220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23186-2026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46220</v>
      </c>
      <c r="F557" t="inlineStr">
        <is>
          <t>VÄSTERNORRLANDS LÄN</t>
        </is>
      </c>
      <c r="G557" t="inlineStr">
        <is>
          <t>HÄRNÖSAND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61776-2023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45265</v>
      </c>
      <c r="E558" s="1" t="n">
        <v>46220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23233-2026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46220</v>
      </c>
      <c r="F559" t="inlineStr">
        <is>
          <t>VÄSTERNORRLANDS LÄN</t>
        </is>
      </c>
      <c r="G559" t="inlineStr">
        <is>
          <t>HÄRNÖSAND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27977-2024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45476</v>
      </c>
      <c r="E560" s="1" t="n">
        <v>46220</v>
      </c>
      <c r="F560" t="inlineStr">
        <is>
          <t>VÄSTERNORRLANDS LÄN</t>
        </is>
      </c>
      <c r="G560" t="inlineStr">
        <is>
          <t>HÄRNÖSAND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27976-2024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46220</v>
      </c>
      <c r="F561" t="inlineStr">
        <is>
          <t>VÄSTERNORRLANDS LÄN</t>
        </is>
      </c>
      <c r="G561" t="inlineStr">
        <is>
          <t>HÄRNÖSAND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23231-2026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46220</v>
      </c>
      <c r="F562" t="inlineStr">
        <is>
          <t>VÄSTERNORRLANDS LÄN</t>
        </is>
      </c>
      <c r="G562" t="inlineStr">
        <is>
          <t>HÄRNÖSAND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31165-2025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46220</v>
      </c>
      <c r="F563" t="inlineStr">
        <is>
          <t>VÄSTERNORRLANDS LÄN</t>
        </is>
      </c>
      <c r="G563" t="inlineStr">
        <is>
          <t>HÄRNÖSAND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28032-2026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46220</v>
      </c>
      <c r="F564" t="inlineStr">
        <is>
          <t>VÄSTERNORRLANDS LÄN</t>
        </is>
      </c>
      <c r="G564" t="inlineStr">
        <is>
          <t>HÄRNÖSAND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46220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29716-2026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46220</v>
      </c>
      <c r="F566" t="inlineStr">
        <is>
          <t>VÄSTERNORRLANDS LÄN</t>
        </is>
      </c>
      <c r="G566" t="inlineStr">
        <is>
          <t>HÄRNÖSAND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39498-2023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46220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29754-2026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46220</v>
      </c>
      <c r="F568" t="inlineStr">
        <is>
          <t>VÄSTERNORRLANDS LÄN</t>
        </is>
      </c>
      <c r="G568" t="inlineStr">
        <is>
          <t>HÄRNÖSAND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48047-2022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44855</v>
      </c>
      <c r="E569" s="1" t="n">
        <v>46220</v>
      </c>
      <c r="F569" t="inlineStr">
        <is>
          <t>VÄSTERNORRLANDS LÄN</t>
        </is>
      </c>
      <c r="G569" t="inlineStr">
        <is>
          <t>HÄRNÖSAND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56395-2022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44890</v>
      </c>
      <c r="E570" s="1" t="n">
        <v>46220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Kyrkan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29742-2026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46220</v>
      </c>
      <c r="F571" t="inlineStr">
        <is>
          <t>VÄSTERNORRLANDS LÄN</t>
        </is>
      </c>
      <c r="G571" t="inlineStr">
        <is>
          <t>HÄRNÖSAND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29877-2026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46220</v>
      </c>
      <c r="F572" t="inlineStr">
        <is>
          <t>VÄSTERNORRLANDS LÄN</t>
        </is>
      </c>
      <c r="G572" t="inlineStr">
        <is>
          <t>HÄRNÖSAND</t>
        </is>
      </c>
      <c r="I572" t="n">
        <v>14.6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29793-2026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46220</v>
      </c>
      <c r="F573" t="inlineStr">
        <is>
          <t>VÄSTERNORRLANDS LÄN</t>
        </is>
      </c>
      <c r="G573" t="inlineStr">
        <is>
          <t>HÄRNÖSAND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23236-2026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46220</v>
      </c>
      <c r="F574" t="inlineStr">
        <is>
          <t>VÄSTERNORRLANDS LÄN</t>
        </is>
      </c>
      <c r="G574" t="inlineStr">
        <is>
          <t>HÄRNÖSAND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29714-2026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46220</v>
      </c>
      <c r="F575" t="inlineStr">
        <is>
          <t>VÄSTERNORRLANDS LÄN</t>
        </is>
      </c>
      <c r="G575" t="inlineStr">
        <is>
          <t>HÄRNÖSAND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30171-2026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46220</v>
      </c>
      <c r="F576" t="inlineStr">
        <is>
          <t>VÄSTERNORRLANDS LÄN</t>
        </is>
      </c>
      <c r="G576" t="inlineStr">
        <is>
          <t>HÄRNÖSAND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44945</v>
      </c>
      <c r="E577" s="1" t="n">
        <v>46220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30017-2026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46220</v>
      </c>
      <c r="F578" t="inlineStr">
        <is>
          <t>VÄSTERNORRLANDS LÄN</t>
        </is>
      </c>
      <c r="G578" t="inlineStr">
        <is>
          <t>HÄRNÖSAND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23884-2026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46220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23896-2026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46220</v>
      </c>
      <c r="F580" t="inlineStr">
        <is>
          <t>VÄSTERNORRLANDS LÄN</t>
        </is>
      </c>
      <c r="G580" t="inlineStr">
        <is>
          <t>HÄRNÖSAND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46220</v>
      </c>
      <c r="F581" t="inlineStr">
        <is>
          <t>VÄSTERNORRLANDS LÄN</t>
        </is>
      </c>
      <c r="G581" t="inlineStr">
        <is>
          <t>HÄRNÖSAND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30413-2026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46220</v>
      </c>
      <c r="F582" t="inlineStr">
        <is>
          <t>VÄSTERNORRLANDS LÄN</t>
        </is>
      </c>
      <c r="G582" t="inlineStr">
        <is>
          <t>HÄRNÖSAND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59034-2022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44903</v>
      </c>
      <c r="E583" s="1" t="n">
        <v>46220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30216-2026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46220</v>
      </c>
      <c r="F584" t="inlineStr">
        <is>
          <t>VÄSTERNORRLANDS LÄN</t>
        </is>
      </c>
      <c r="G584" t="inlineStr">
        <is>
          <t>HÄRNÖSAND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46220</v>
      </c>
      <c r="F585" t="inlineStr">
        <is>
          <t>VÄSTERNORRLANDS LÄN</t>
        </is>
      </c>
      <c r="G585" t="inlineStr">
        <is>
          <t>HÄRNÖSAND</t>
        </is>
      </c>
      <c r="I585" t="n">
        <v>7.9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59591-2024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46220</v>
      </c>
      <c r="F586" t="inlineStr">
        <is>
          <t>VÄSTERNORRLANDS LÄN</t>
        </is>
      </c>
      <c r="G586" t="inlineStr">
        <is>
          <t>HÄRNÖSAND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59155-2023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45251</v>
      </c>
      <c r="E587" s="1" t="n">
        <v>46220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21585-2026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46220</v>
      </c>
      <c r="F588" t="inlineStr">
        <is>
          <t>VÄSTERNORRLANDS LÄN</t>
        </is>
      </c>
      <c r="G588" t="inlineStr">
        <is>
          <t>HÄRNÖSAND</t>
        </is>
      </c>
      <c r="I588" t="n">
        <v>13.8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30710-2026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46220</v>
      </c>
      <c r="F589" t="inlineStr">
        <is>
          <t>VÄSTERNORRLANDS LÄN</t>
        </is>
      </c>
      <c r="G589" t="inlineStr">
        <is>
          <t>HÄRNÖSAND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32418-2024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46220</v>
      </c>
      <c r="F590" t="inlineStr">
        <is>
          <t>VÄSTERNORRLANDS LÄN</t>
        </is>
      </c>
      <c r="G590" t="inlineStr">
        <is>
          <t>HÄRNÖSAND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45723</v>
      </c>
      <c r="E591" s="1" t="n">
        <v>46220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61574-2021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44497</v>
      </c>
      <c r="E592" s="1" t="n">
        <v>46220</v>
      </c>
      <c r="F592" t="inlineStr">
        <is>
          <t>VÄSTERNORRLANDS LÄN</t>
        </is>
      </c>
      <c r="G592" t="inlineStr">
        <is>
          <t>HÄRNÖSAND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62333-2021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44502</v>
      </c>
      <c r="E593" s="1" t="n">
        <v>46220</v>
      </c>
      <c r="F593" t="inlineStr">
        <is>
          <t>VÄSTERNORRLANDS LÄN</t>
        </is>
      </c>
      <c r="G593" t="inlineStr">
        <is>
          <t>HÄRNÖSAND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24120-2026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46220</v>
      </c>
      <c r="F594" t="inlineStr">
        <is>
          <t>VÄSTERNORRLANDS LÄN</t>
        </is>
      </c>
      <c r="G594" t="inlineStr">
        <is>
          <t>HÄRNÖSAND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30711-2026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46220</v>
      </c>
      <c r="F595" t="inlineStr">
        <is>
          <t>VÄSTERNORRLANDS LÄN</t>
        </is>
      </c>
      <c r="G595" t="inlineStr">
        <is>
          <t>HÄRNÖSAND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45323</v>
      </c>
      <c r="E596" s="1" t="n">
        <v>46220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58467-2025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45985</v>
      </c>
      <c r="E597" s="1" t="n">
        <v>46220</v>
      </c>
      <c r="F597" t="inlineStr">
        <is>
          <t>VÄSTERNORRLANDS LÄN</t>
        </is>
      </c>
      <c r="G597" t="inlineStr">
        <is>
          <t>HÄRNÖSAND</t>
        </is>
      </c>
      <c r="I597" t="n">
        <v>12.3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30971-2026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46220</v>
      </c>
      <c r="F598" t="inlineStr">
        <is>
          <t>VÄSTERNORRLANDS LÄN</t>
        </is>
      </c>
      <c r="G598" t="inlineStr">
        <is>
          <t>HÄRNÖSAND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30976-2026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46220</v>
      </c>
      <c r="F599" t="inlineStr">
        <is>
          <t>VÄSTERNORRLANDS LÄN</t>
        </is>
      </c>
      <c r="G599" t="inlineStr">
        <is>
          <t>HÄRNÖSAND</t>
        </is>
      </c>
      <c r="I599" t="n">
        <v>13.6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24502-2026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46170</v>
      </c>
      <c r="E600" s="1" t="n">
        <v>46220</v>
      </c>
      <c r="F600" t="inlineStr">
        <is>
          <t>VÄSTERNORRLANDS LÄN</t>
        </is>
      </c>
      <c r="G600" t="inlineStr">
        <is>
          <t>HÄRNÖSAND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59715-2024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45639</v>
      </c>
      <c r="E601" s="1" t="n">
        <v>46220</v>
      </c>
      <c r="F601" t="inlineStr">
        <is>
          <t>VÄSTERNORRLANDS LÄN</t>
        </is>
      </c>
      <c r="G601" t="inlineStr">
        <is>
          <t>HÄRNÖSAND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8220-2022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44609</v>
      </c>
      <c r="E602" s="1" t="n">
        <v>46220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Övriga statliga verk och myndigheter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30907-2026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46213</v>
      </c>
      <c r="E603" s="1" t="n">
        <v>46220</v>
      </c>
      <c r="F603" t="inlineStr">
        <is>
          <t>VÄSTERNORRLANDS LÄN</t>
        </is>
      </c>
      <c r="G603" t="inlineStr">
        <is>
          <t>HÄRNÖSAND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29402-2026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46220</v>
      </c>
      <c r="F604" t="inlineStr">
        <is>
          <t>VÄSTERNORRLANDS LÄN</t>
        </is>
      </c>
      <c r="G604" t="inlineStr">
        <is>
          <t>HÄRNÖSAND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4648-2023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46220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30893-2026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46213</v>
      </c>
      <c r="E606" s="1" t="n">
        <v>46220</v>
      </c>
      <c r="F606" t="inlineStr">
        <is>
          <t>VÄSTERNORRLANDS LÄN</t>
        </is>
      </c>
      <c r="G606" t="inlineStr">
        <is>
          <t>HÄRNÖSAND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24503-2026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46220</v>
      </c>
      <c r="F607" t="inlineStr">
        <is>
          <t>VÄSTERNORRLANDS LÄN</t>
        </is>
      </c>
      <c r="G607" t="inlineStr">
        <is>
          <t>HÄRNÖSAND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24943-2026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46174</v>
      </c>
      <c r="E608" s="1" t="n">
        <v>46220</v>
      </c>
      <c r="F608" t="inlineStr">
        <is>
          <t>VÄSTERNORRLANDS LÄN</t>
        </is>
      </c>
      <c r="G608" t="inlineStr">
        <is>
          <t>HÄRNÖSAND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28319-2022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44747</v>
      </c>
      <c r="E609" s="1" t="n">
        <v>46220</v>
      </c>
      <c r="F609" t="inlineStr">
        <is>
          <t>VÄSTERNORRLANDS LÄN</t>
        </is>
      </c>
      <c r="G609" t="inlineStr">
        <is>
          <t>HÄRNÖSAND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36496-2023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45152</v>
      </c>
      <c r="E610" s="1" t="n">
        <v>46220</v>
      </c>
      <c r="F610" t="inlineStr">
        <is>
          <t>VÄSTERNORRLANDS LÄN</t>
        </is>
      </c>
      <c r="G610" t="inlineStr">
        <is>
          <t>HÄRNÖSAND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31050-2026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46215</v>
      </c>
      <c r="E611" s="1" t="n">
        <v>46220</v>
      </c>
      <c r="F611" t="inlineStr">
        <is>
          <t>VÄSTERNORRLANDS LÄN</t>
        </is>
      </c>
      <c r="G611" t="inlineStr">
        <is>
          <t>HÄRNÖSAND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28368-2023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45099</v>
      </c>
      <c r="E612" s="1" t="n">
        <v>46220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43266-2025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45910</v>
      </c>
      <c r="E613" s="1" t="n">
        <v>46220</v>
      </c>
      <c r="F613" t="inlineStr">
        <is>
          <t>VÄSTERNORRLANDS LÄN</t>
        </is>
      </c>
      <c r="G613" t="inlineStr">
        <is>
          <t>HÄRNÖSAND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13417-2026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46220</v>
      </c>
      <c r="F614" t="inlineStr">
        <is>
          <t>VÄSTERNORRLANDS LÄN</t>
        </is>
      </c>
      <c r="G614" t="inlineStr">
        <is>
          <t>HÄRNÖSAND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31049-2026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46215</v>
      </c>
      <c r="E615" s="1" t="n">
        <v>46220</v>
      </c>
      <c r="F615" t="inlineStr">
        <is>
          <t>VÄSTERNORRLANDS LÄN</t>
        </is>
      </c>
      <c r="G615" t="inlineStr">
        <is>
          <t>HÄRNÖSAND</t>
        </is>
      </c>
      <c r="I615" t="n">
        <v>12.7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23818-2026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46165</v>
      </c>
      <c r="E616" s="1" t="n">
        <v>46220</v>
      </c>
      <c r="F616" t="inlineStr">
        <is>
          <t>VÄSTERNORRLANDS LÄN</t>
        </is>
      </c>
      <c r="G616" t="inlineStr">
        <is>
          <t>HÄRNÖSAND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25251-2026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46175</v>
      </c>
      <c r="E617" s="1" t="n">
        <v>46220</v>
      </c>
      <c r="F617" t="inlineStr">
        <is>
          <t>VÄSTERNORRLANDS LÄN</t>
        </is>
      </c>
      <c r="G617" t="inlineStr">
        <is>
          <t>HÄRNÖSAND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57154-2024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46220</v>
      </c>
      <c r="F618" t="inlineStr">
        <is>
          <t>VÄSTERNORRLANDS LÄN</t>
        </is>
      </c>
      <c r="G618" t="inlineStr">
        <is>
          <t>HÄRNÖSAND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25439-2026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46177</v>
      </c>
      <c r="E619" s="1" t="n">
        <v>46220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10.2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25452-2026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46177</v>
      </c>
      <c r="E620" s="1" t="n">
        <v>46220</v>
      </c>
      <c r="F620" t="inlineStr">
        <is>
          <t>VÄSTERNORRLANDS LÄN</t>
        </is>
      </c>
      <c r="G620" t="inlineStr">
        <is>
          <t>HÄRNÖSAND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12533-2023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45000</v>
      </c>
      <c r="E621" s="1" t="n">
        <v>46220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12543-2023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45000</v>
      </c>
      <c r="E622" s="1" t="n">
        <v>46220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25745-2025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45800</v>
      </c>
      <c r="E623" s="1" t="n">
        <v>46220</v>
      </c>
      <c r="F623" t="inlineStr">
        <is>
          <t>VÄSTERNORRLANDS LÄN</t>
        </is>
      </c>
      <c r="G623" t="inlineStr">
        <is>
          <t>HÄRNÖSAND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39954-2022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46220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25444-2026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46220</v>
      </c>
      <c r="F625" t="inlineStr">
        <is>
          <t>VÄSTERNORRLANDS LÄN</t>
        </is>
      </c>
      <c r="G625" t="inlineStr">
        <is>
          <t>HÄRNÖSAND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45762</v>
      </c>
      <c r="E626" s="1" t="n">
        <v>46220</v>
      </c>
      <c r="F626" t="inlineStr">
        <is>
          <t>VÄSTERNORRLANDS LÄN</t>
        </is>
      </c>
      <c r="G626" t="inlineStr">
        <is>
          <t>HÄRNÖSAND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46273-2021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44442</v>
      </c>
      <c r="E627" s="1" t="n">
        <v>46220</v>
      </c>
      <c r="F627" t="inlineStr">
        <is>
          <t>VÄSTERNORRLANDS LÄN</t>
        </is>
      </c>
      <c r="G627" t="inlineStr">
        <is>
          <t>HÄRNÖSAND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25465-2026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46220</v>
      </c>
      <c r="F628" t="inlineStr">
        <is>
          <t>VÄSTERNORRLANDS LÄN</t>
        </is>
      </c>
      <c r="G628" t="inlineStr">
        <is>
          <t>HÄRNÖSAND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25746-2025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45800</v>
      </c>
      <c r="E629" s="1" t="n">
        <v>46220</v>
      </c>
      <c r="F629" t="inlineStr">
        <is>
          <t>VÄSTERNORRLANDS LÄN</t>
        </is>
      </c>
      <c r="G629" t="inlineStr">
        <is>
          <t>HÄRNÖSAND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25466-2026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46220</v>
      </c>
      <c r="F630" t="inlineStr">
        <is>
          <t>VÄSTERNORRLANDS LÄN</t>
        </is>
      </c>
      <c r="G630" t="inlineStr">
        <is>
          <t>HÄRNÖSAND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25248-2026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46220</v>
      </c>
      <c r="F631" t="inlineStr">
        <is>
          <t>VÄSTERNORRLANDS LÄN</t>
        </is>
      </c>
      <c r="G631" t="inlineStr">
        <is>
          <t>HÄRNÖSAND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46175</v>
      </c>
      <c r="E632" s="1" t="n">
        <v>46220</v>
      </c>
      <c r="F632" t="inlineStr">
        <is>
          <t>VÄSTERNORRLANDS LÄN</t>
        </is>
      </c>
      <c r="G632" t="inlineStr">
        <is>
          <t>HÄRNÖSAND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25451-2026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46220</v>
      </c>
      <c r="F633" t="inlineStr">
        <is>
          <t>VÄSTERNORRLANDS LÄN</t>
        </is>
      </c>
      <c r="G633" t="inlineStr">
        <is>
          <t>HÄRNÖSAND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39044-2023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45163</v>
      </c>
      <c r="E634" s="1" t="n">
        <v>46220</v>
      </c>
      <c r="F634" t="inlineStr">
        <is>
          <t>VÄSTERNORRLANDS LÄN</t>
        </is>
      </c>
      <c r="G634" t="inlineStr">
        <is>
          <t>HÄRNÖSAND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32140-2023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46220</v>
      </c>
      <c r="F635" t="inlineStr">
        <is>
          <t>VÄSTERNORRLANDS LÄN</t>
        </is>
      </c>
      <c r="G635" t="inlineStr">
        <is>
          <t>HÄRNÖSAND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4206-2025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45685</v>
      </c>
      <c r="E636" s="1" t="n">
        <v>46220</v>
      </c>
      <c r="F636" t="inlineStr">
        <is>
          <t>VÄSTERNORRLANDS LÄN</t>
        </is>
      </c>
      <c r="G636" t="inlineStr">
        <is>
          <t>HÄRNÖSAND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20822-2025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45776</v>
      </c>
      <c r="E637" s="1" t="n">
        <v>46220</v>
      </c>
      <c r="F637" t="inlineStr">
        <is>
          <t>VÄSTERNORRLANDS LÄN</t>
        </is>
      </c>
      <c r="G637" t="inlineStr">
        <is>
          <t>HÄRNÖSAND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20821-2025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45776</v>
      </c>
      <c r="E638" s="1" t="n">
        <v>46220</v>
      </c>
      <c r="F638" t="inlineStr">
        <is>
          <t>VÄSTERNORRLANDS LÄN</t>
        </is>
      </c>
      <c r="G638" t="inlineStr">
        <is>
          <t>HÄRNÖSAND</t>
        </is>
      </c>
      <c r="I638" t="n">
        <v>7.6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21484-2025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45782</v>
      </c>
      <c r="E639" s="1" t="n">
        <v>46220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32.1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21480-2025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46220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12.3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42343-2024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45562</v>
      </c>
      <c r="E641" s="1" t="n">
        <v>46220</v>
      </c>
      <c r="F641" t="inlineStr">
        <is>
          <t>VÄSTERNORRLANDS LÄN</t>
        </is>
      </c>
      <c r="G641" t="inlineStr">
        <is>
          <t>HÄRNÖSAND</t>
        </is>
      </c>
      <c r="I641" t="n">
        <v>15.6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45502-2024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45578</v>
      </c>
      <c r="E642" s="1" t="n">
        <v>46220</v>
      </c>
      <c r="F642" t="inlineStr">
        <is>
          <t>VÄSTERNORRLANDS LÄN</t>
        </is>
      </c>
      <c r="G642" t="inlineStr">
        <is>
          <t>HÄRNÖSAND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44590-2024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45574</v>
      </c>
      <c r="E643" s="1" t="n">
        <v>46220</v>
      </c>
      <c r="F643" t="inlineStr">
        <is>
          <t>VÄSTERNORRLANDS LÄN</t>
        </is>
      </c>
      <c r="G643" t="inlineStr">
        <is>
          <t>HÄRNÖSAND</t>
        </is>
      </c>
      <c r="I643" t="n">
        <v>11.9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23290-2025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45791</v>
      </c>
      <c r="E644" s="1" t="n">
        <v>46220</v>
      </c>
      <c r="F644" t="inlineStr">
        <is>
          <t>VÄSTERNORRLANDS LÄN</t>
        </is>
      </c>
      <c r="G644" t="inlineStr">
        <is>
          <t>HÄRNÖSAND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6831-2024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45342</v>
      </c>
      <c r="E645" s="1" t="n">
        <v>46220</v>
      </c>
      <c r="F645" t="inlineStr">
        <is>
          <t>VÄSTERNORRLANDS LÄN</t>
        </is>
      </c>
      <c r="G645" t="inlineStr">
        <is>
          <t>HÄRNÖSAND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19949-2024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45433</v>
      </c>
      <c r="E646" s="1" t="n">
        <v>46220</v>
      </c>
      <c r="F646" t="inlineStr">
        <is>
          <t>VÄSTERNORRLANDS LÄN</t>
        </is>
      </c>
      <c r="G646" t="inlineStr">
        <is>
          <t>HÄRNÖSAND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8475-2024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46220</v>
      </c>
      <c r="F647" t="inlineStr">
        <is>
          <t>VÄSTERNORRLANDS LÄN</t>
        </is>
      </c>
      <c r="G647" t="inlineStr">
        <is>
          <t>HÄRNÖSAND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23825-2025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45793</v>
      </c>
      <c r="E648" s="1" t="n">
        <v>46220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46220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46220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46220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46220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46220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46220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46220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46220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46220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2026-07-17T01:40:33Z</dcterms:created>
  <dcterms:modified xmlns:dcterms="http://purl.org/dc/terms/" xmlns:xsi="http://www.w3.org/2001/XMLSchema-instance" xsi:type="dcterms:W3CDTF">2026-07-17T01:40:34Z</dcterms:modified>
</cp:coreProperties>
</file>