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46241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46241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46241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46241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46241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46241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46241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46241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46241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46241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46241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46241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46241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46241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46241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46241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46241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46241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46241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46241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46241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46241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46241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46241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46241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46241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t="n">
        <v>0</v>
      </c>
      <c r="V29" s="2" t="inlineStr">
        <is>
          <t>Garnlav
Raggbock
Apelsinticka
Violettgrå tagellav
Nästlav</t>
        </is>
      </c>
      <c r="W29">
        <f>HYPERLINK("https://klasma.github.io/Logging_2280/artfynd/A 52865-2025 artfynd.xlsx", "A 52865-2025")</f>
        <v/>
      </c>
      <c r="X29">
        <f>HYPERLINK("https://klasma.github.io/Logging_2280/kartor/A 52865-2025 karta.png", "A 52865-2025")</f>
        <v/>
      </c>
      <c r="Y29">
        <f>HYPERLINK("https://klasma.github.io/Logging_2280/kartor_geotiff/A 52865-2025 georefererad karta.tif", "A 52865-2025")</f>
        <v/>
      </c>
      <c r="AA29">
        <f>HYPERLINK("https://klasma.github.io/Logging_2280/klagomål/A 52865-2025 FSC-klagomål.docx", "A 52865-2025")</f>
        <v/>
      </c>
      <c r="AB29">
        <f>HYPERLINK("https://klasma.github.io/Logging_2280/klagomålsmail/A 52865-2025 FSC-klagomål mail.docx", "A 52865-2025")</f>
        <v/>
      </c>
      <c r="AC29">
        <f>HYPERLINK("https://klasma.github.io/Logging_2280/tillsyn/A 52865-2025 tillsynsbegäran.docx", "A 52865-2025")</f>
        <v/>
      </c>
      <c r="AD29">
        <f>HYPERLINK("https://klasma.github.io/Logging_2280/tillsynsmail/A 52865-2025 tillsynsbegäran mail.docx", "A 52865-2025")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46241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46241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46241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46241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46241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46241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46241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46241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46241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46241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46241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46241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46241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46241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46241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46241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46241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46241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46241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46241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46241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46241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46241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46241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46241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46241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46241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54894-2024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46241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Lunglav</t>
        </is>
      </c>
      <c r="W57">
        <f>HYPERLINK("https://klasma.github.io/Logging_2280/artfynd/A 54894-2024 artfynd.xlsx", "A 54894-2024")</f>
        <v/>
      </c>
      <c r="X57">
        <f>HYPERLINK("https://klasma.github.io/Logging_2280/kartor/A 54894-2024 karta.png", "A 54894-2024")</f>
        <v/>
      </c>
      <c r="Y57">
        <f>HYPERLINK("https://klasma.github.io/Logging_2280/kartor_geotiff/A 54894-2024 georefererad karta.tif", "A 54894-2024")</f>
        <v/>
      </c>
      <c r="AA57">
        <f>HYPERLINK("https://klasma.github.io/Logging_2280/klagomål/A 54894-2024 FSC-klagomål.docx", "A 54894-2024")</f>
        <v/>
      </c>
      <c r="AB57">
        <f>HYPERLINK("https://klasma.github.io/Logging_2280/klagomålsmail/A 54894-2024 FSC-klagomål mail.docx", "A 54894-2024")</f>
        <v/>
      </c>
      <c r="AC57">
        <f>HYPERLINK("https://klasma.github.io/Logging_2280/tillsyn/A 54894-2024 tillsynsbegäran.docx", "A 54894-2024")</f>
        <v/>
      </c>
      <c r="AD57">
        <f>HYPERLINK("https://klasma.github.io/Logging_2280/tillsynsmail/A 54894-2024 tillsynsbegäran mail.docx", "A 54894-2024")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46241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46241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46241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46241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46241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41484-2021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44424</v>
      </c>
      <c r="E63" s="1" t="n">
        <v>46241</v>
      </c>
      <c r="F63" t="inlineStr">
        <is>
          <t>VÄSTERNORRLANDS LÄN</t>
        </is>
      </c>
      <c r="G63" t="inlineStr">
        <is>
          <t>HÄRNÖSAND</t>
        </is>
      </c>
      <c r="I63" t="n">
        <v>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Kolflarnlav
Skinnlav</t>
        </is>
      </c>
      <c r="W63">
        <f>HYPERLINK("https://klasma.github.io/Logging_2280/artfynd/A 41484-2021 artfynd.xlsx", "A 41484-2021")</f>
        <v/>
      </c>
      <c r="X63">
        <f>HYPERLINK("https://klasma.github.io/Logging_2280/kartor/A 41484-2021 karta.png", "A 41484-2021")</f>
        <v/>
      </c>
      <c r="Y63">
        <f>HYPERLINK("https://klasma.github.io/Logging_2280/kartor_geotiff/A 41484-2021 georefererad karta.tif", "A 41484-2021")</f>
        <v/>
      </c>
      <c r="AA63">
        <f>HYPERLINK("https://klasma.github.io/Logging_2280/klagomål/A 41484-2021 FSC-klagomål.docx", "A 41484-2021")</f>
        <v/>
      </c>
      <c r="AB63">
        <f>HYPERLINK("https://klasma.github.io/Logging_2280/klagomålsmail/A 41484-2021 FSC-klagomål mail.docx", "A 41484-2021")</f>
        <v/>
      </c>
      <c r="AC63">
        <f>HYPERLINK("https://klasma.github.io/Logging_2280/tillsyn/A 41484-2021 tillsynsbegäran.docx", "A 41484-2021")</f>
        <v/>
      </c>
      <c r="AD63">
        <f>HYPERLINK("https://klasma.github.io/Logging_2280/tillsynsmail/A 41484-2021 tillsynsbegäran mail.docx", "A 41484-2021")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46241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46241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46241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46241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46241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46707-2024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46241</v>
      </c>
      <c r="F69" t="inlineStr">
        <is>
          <t>VÄSTERNORRLANDS LÄN</t>
        </is>
      </c>
      <c r="G69" t="inlineStr">
        <is>
          <t>HÄRNÖSAND</t>
        </is>
      </c>
      <c r="I69" t="n">
        <v>0.6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Tretåig hackspett</t>
        </is>
      </c>
      <c r="W69">
        <f>HYPERLINK("https://klasma.github.io/Logging_2280/artfynd/A 46707-2024 artfynd.xlsx", "A 46707-2024")</f>
        <v/>
      </c>
      <c r="X69">
        <f>HYPERLINK("https://klasma.github.io/Logging_2280/kartor/A 46707-2024 karta.png", "A 46707-2024")</f>
        <v/>
      </c>
      <c r="Y69">
        <f>HYPERLINK("https://klasma.github.io/Logging_2280/kartor_geotiff/A 46707-2024 georefererad karta.tif", "A 46707-2024")</f>
        <v/>
      </c>
      <c r="AA69">
        <f>HYPERLINK("https://klasma.github.io/Logging_2280/klagomål/A 46707-2024 FSC-klagomål.docx", "A 46707-2024")</f>
        <v/>
      </c>
      <c r="AB69">
        <f>HYPERLINK("https://klasma.github.io/Logging_2280/klagomålsmail/A 46707-2024 FSC-klagomål mail.docx", "A 46707-2024")</f>
        <v/>
      </c>
      <c r="AC69">
        <f>HYPERLINK("https://klasma.github.io/Logging_2280/tillsyn/A 46707-2024 tillsynsbegäran.docx", "A 46707-2024")</f>
        <v/>
      </c>
      <c r="AD69">
        <f>HYPERLINK("https://klasma.github.io/Logging_2280/tillsynsmail/A 46707-2024 tillsynsbegäran mail.docx", "A 46707-2024")</f>
        <v/>
      </c>
      <c r="AE69">
        <f>HYPERLINK("https://klasma.github.io/Logging_2280/fåglar/A 46707-2024 prioriterade fågelarter.docx", "A 46707-2024")</f>
        <v/>
      </c>
    </row>
    <row r="70" ht="15" customHeight="1">
      <c r="A70" t="inlineStr">
        <is>
          <t>A 18583-2026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46241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HYPERLINK("https://klasma.github.io/Logging_2280/artfynd/A 18583-2026 artfynd.xlsx", "A 18583-2026")</f>
        <v/>
      </c>
      <c r="X70">
        <f>HYPERLINK("https://klasma.github.io/Logging_2280/kartor/A 18583-2026 karta.png", "A 18583-2026")</f>
        <v/>
      </c>
      <c r="Y70">
        <f>HYPERLINK("https://klasma.github.io/Logging_2280/kartor_geotiff/A 18583-2026 georefererad karta.tif", "A 18583-2026")</f>
        <v/>
      </c>
      <c r="AA70">
        <f>HYPERLINK("https://klasma.github.io/Logging_2280/klagomål/A 18583-2026 FSC-klagomål.docx", "A 18583-2026")</f>
        <v/>
      </c>
      <c r="AB70">
        <f>HYPERLINK("https://klasma.github.io/Logging_2280/klagomålsmail/A 18583-2026 FSC-klagomål mail.docx", "A 18583-2026")</f>
        <v/>
      </c>
      <c r="AC70">
        <f>HYPERLINK("https://klasma.github.io/Logging_2280/tillsyn/A 18583-2026 tillsynsbegäran.docx", "A 18583-2026")</f>
        <v/>
      </c>
      <c r="AD70">
        <f>HYPERLINK("https://klasma.github.io/Logging_2280/tillsynsmail/A 18583-2026 tillsynsbegäran mail.docx", "A 18583-2026")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46241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46241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HYPERLINK("https://klasma.github.io/Logging_2280/artfynd/A 13984-2023 artfynd.xlsx", "A 13984-2023")</f>
        <v/>
      </c>
      <c r="X72">
        <f>HYPERLINK("https://klasma.github.io/Logging_2280/kartor/A 13984-2023 karta.png", "A 13984-2023")</f>
        <v/>
      </c>
      <c r="Y72">
        <f>HYPERLINK("https://klasma.github.io/Logging_2280/kartor_geotiff/A 13984-2023 georefererad karta.tif", "A 13984-2023")</f>
        <v/>
      </c>
      <c r="AA72">
        <f>HYPERLINK("https://klasma.github.io/Logging_2280/klagomål/A 13984-2023 FSC-klagomål.docx", "A 13984-2023")</f>
        <v/>
      </c>
      <c r="AB72">
        <f>HYPERLINK("https://klasma.github.io/Logging_2280/klagomålsmail/A 13984-2023 FSC-klagomål mail.docx", "A 13984-2023")</f>
        <v/>
      </c>
      <c r="AC72">
        <f>HYPERLINK("https://klasma.github.io/Logging_2280/tillsyn/A 13984-2023 tillsynsbegäran.docx", "A 13984-2023")</f>
        <v/>
      </c>
      <c r="AD72">
        <f>HYPERLINK("https://klasma.github.io/Logging_2280/tillsynsmail/A 13984-2023 tillsynsbegäran mail.docx", "A 13984-2023")</f>
        <v/>
      </c>
    </row>
    <row r="73" ht="15" customHeight="1">
      <c r="A73" t="inlineStr">
        <is>
          <t>A 43541-2022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44837</v>
      </c>
      <c r="E73" s="1" t="n">
        <v>46241</v>
      </c>
      <c r="F73" t="inlineStr">
        <is>
          <t>VÄSTERNORRLANDS LÄN</t>
        </is>
      </c>
      <c r="G73" t="inlineStr">
        <is>
          <t>HÄRNÖSAND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Sötgräs</t>
        </is>
      </c>
      <c r="W73">
        <f>HYPERLINK("https://klasma.github.io/Logging_2280/artfynd/A 43541-2022 artfynd.xlsx", "A 43541-2022")</f>
        <v/>
      </c>
      <c r="X73">
        <f>HYPERLINK("https://klasma.github.io/Logging_2280/kartor/A 43541-2022 karta.png", "A 43541-2022")</f>
        <v/>
      </c>
      <c r="Y73">
        <f>HYPERLINK("https://klasma.github.io/Logging_2280/kartor_geotiff/A 43541-2022 georefererad karta.tif", "A 43541-2022")</f>
        <v/>
      </c>
      <c r="AA73">
        <f>HYPERLINK("https://klasma.github.io/Logging_2280/klagomål/A 43541-2022 FSC-klagomål.docx", "A 43541-2022")</f>
        <v/>
      </c>
      <c r="AB73">
        <f>HYPERLINK("https://klasma.github.io/Logging_2280/klagomålsmail/A 43541-2022 FSC-klagomål mail.docx", "A 43541-2022")</f>
        <v/>
      </c>
      <c r="AC73">
        <f>HYPERLINK("https://klasma.github.io/Logging_2280/tillsyn/A 43541-2022 tillsynsbegäran.docx", "A 43541-2022")</f>
        <v/>
      </c>
      <c r="AD73">
        <f>HYPERLINK("https://klasma.github.io/Logging_2280/tillsynsmail/A 43541-2022 tillsynsbegäran mail.docx", "A 43541-2022")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46241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74325-2021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44559</v>
      </c>
      <c r="E75" s="1" t="n">
        <v>46241</v>
      </c>
      <c r="F75" t="inlineStr">
        <is>
          <t>VÄSTERNORRLANDS LÄN</t>
        </is>
      </c>
      <c r="G75" t="inlineStr">
        <is>
          <t>HÄRNÖSAND</t>
        </is>
      </c>
      <c r="I75" t="n">
        <v>4.6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Skogshare</t>
        </is>
      </c>
      <c r="W75">
        <f>HYPERLINK("https://klasma.github.io/Logging_2280/artfynd/A 74325-2021 artfynd.xlsx", "A 74325-2021")</f>
        <v/>
      </c>
      <c r="X75">
        <f>HYPERLINK("https://klasma.github.io/Logging_2280/kartor/A 74325-2021 karta.png", "A 74325-2021")</f>
        <v/>
      </c>
      <c r="Y75">
        <f>HYPERLINK("https://klasma.github.io/Logging_2280/kartor_geotiff/A 74325-2021 georefererad karta.tif", "A 74325-2021")</f>
        <v/>
      </c>
      <c r="AA75">
        <f>HYPERLINK("https://klasma.github.io/Logging_2280/klagomål/A 74325-2021 FSC-klagomål.docx", "A 74325-2021")</f>
        <v/>
      </c>
      <c r="AB75">
        <f>HYPERLINK("https://klasma.github.io/Logging_2280/klagomålsmail/A 74325-2021 FSC-klagomål mail.docx", "A 74325-2021")</f>
        <v/>
      </c>
      <c r="AC75">
        <f>HYPERLINK("https://klasma.github.io/Logging_2280/tillsyn/A 74325-2021 tillsynsbegäran.docx", "A 74325-2021")</f>
        <v/>
      </c>
      <c r="AD75">
        <f>HYPERLINK("https://klasma.github.io/Logging_2280/tillsynsmail/A 74325-2021 tillsynsbegäran mail.docx", "A 74325-2021")</f>
        <v/>
      </c>
    </row>
    <row r="76" ht="15" customHeight="1">
      <c r="A76" t="inlineStr">
        <is>
          <t>A 8921-2024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46241</v>
      </c>
      <c r="F76" t="inlineStr">
        <is>
          <t>VÄSTERNORRLANDS LÄN</t>
        </is>
      </c>
      <c r="G76" t="inlineStr">
        <is>
          <t>HÄRNÖSAND</t>
        </is>
      </c>
      <c r="I76" t="n">
        <v>3.7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Apelsinticka</t>
        </is>
      </c>
      <c r="W76">
        <f>HYPERLINK("https://klasma.github.io/Logging_2280/artfynd/A 8921-2024 artfynd.xlsx", "A 8921-2024")</f>
        <v/>
      </c>
      <c r="X76">
        <f>HYPERLINK("https://klasma.github.io/Logging_2280/kartor/A 8921-2024 karta.png", "A 8921-2024")</f>
        <v/>
      </c>
      <c r="Y76">
        <f>HYPERLINK("https://klasma.github.io/Logging_2280/kartor_geotiff/A 8921-2024 georefererad karta.tif", "A 8921-2024")</f>
        <v/>
      </c>
      <c r="AA76">
        <f>HYPERLINK("https://klasma.github.io/Logging_2280/klagomål/A 8921-2024 FSC-klagomål.docx", "A 8921-2024")</f>
        <v/>
      </c>
      <c r="AB76">
        <f>HYPERLINK("https://klasma.github.io/Logging_2280/klagomålsmail/A 8921-2024 FSC-klagomål mail.docx", "A 8921-2024")</f>
        <v/>
      </c>
      <c r="AC76">
        <f>HYPERLINK("https://klasma.github.io/Logging_2280/tillsyn/A 8921-2024 tillsynsbegäran.docx", "A 8921-2024")</f>
        <v/>
      </c>
      <c r="AD76">
        <f>HYPERLINK("https://klasma.github.io/Logging_2280/tillsynsmail/A 8921-2024 tillsynsbegäran mail.docx", "A 8921-2024")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46241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46241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Älg</t>
        </is>
      </c>
      <c r="W78">
        <f>HYPERLINK("https://klasma.github.io/Logging_2280/artfynd/A 63724-2023 artfynd.xlsx", "A 63724-2023")</f>
        <v/>
      </c>
      <c r="X78">
        <f>HYPERLINK("https://klasma.github.io/Logging_2280/kartor/A 63724-2023 karta.png", "A 63724-2023")</f>
        <v/>
      </c>
      <c r="Y78">
        <f>HYPERLINK("https://klasma.github.io/Logging_2280/kartor_geotiff/A 63724-2023 georefererad karta.tif", "A 63724-2023")</f>
        <v/>
      </c>
      <c r="AA78">
        <f>HYPERLINK("https://klasma.github.io/Logging_2280/klagomål/A 63724-2023 FSC-klagomål.docx", "A 63724-2023")</f>
        <v/>
      </c>
      <c r="AB78">
        <f>HYPERLINK("https://klasma.github.io/Logging_2280/klagomålsmail/A 63724-2023 FSC-klagomål mail.docx", "A 63724-2023")</f>
        <v/>
      </c>
      <c r="AC78">
        <f>HYPERLINK("https://klasma.github.io/Logging_2280/tillsyn/A 63724-2023 tillsynsbegäran.docx", "A 63724-2023")</f>
        <v/>
      </c>
      <c r="AD78">
        <f>HYPERLINK("https://klasma.github.io/Logging_2280/tillsynsmail/A 63724-2023 tillsynsbegäran mail.docx", "A 63724-2023")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46241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46241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46241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46241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24202-2024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46241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2.2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Garnlav</t>
        </is>
      </c>
      <c r="W83">
        <f>HYPERLINK("https://klasma.github.io/Logging_2280/artfynd/A 24202-2024 artfynd.xlsx", "A 24202-2024")</f>
        <v/>
      </c>
      <c r="X83">
        <f>HYPERLINK("https://klasma.github.io/Logging_2280/kartor/A 24202-2024 karta.png", "A 24202-2024")</f>
        <v/>
      </c>
      <c r="Y83">
        <f>HYPERLINK("https://klasma.github.io/Logging_2280/kartor_geotiff/A 24202-2024 georefererad karta.tif", "A 24202-2024")</f>
        <v/>
      </c>
      <c r="AA83">
        <f>HYPERLINK("https://klasma.github.io/Logging_2280/klagomål/A 24202-2024 FSC-klagomål.docx", "A 24202-2024")</f>
        <v/>
      </c>
      <c r="AB83">
        <f>HYPERLINK("https://klasma.github.io/Logging_2280/klagomålsmail/A 24202-2024 FSC-klagomål mail.docx", "A 24202-2024")</f>
        <v/>
      </c>
      <c r="AC83">
        <f>HYPERLINK("https://klasma.github.io/Logging_2280/tillsyn/A 24202-2024 tillsynsbegäran.docx", "A 24202-2024")</f>
        <v/>
      </c>
      <c r="AD83">
        <f>HYPERLINK("https://klasma.github.io/Logging_2280/tillsynsmail/A 24202-2024 tillsynsbegäran mail.docx", "A 24202-2024")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46241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46241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46241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46241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46241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46241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46241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46241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46241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46241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46241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46241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46241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46241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46241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46241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46241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46241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46241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46241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46241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46241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46241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46241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46241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46241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46241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46241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46241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46241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46241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46241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46241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46241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46241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46241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46241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46241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46241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46241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46241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46241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46241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46241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46241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46241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46241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46241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46241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46241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46241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46241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46241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46241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45483</v>
      </c>
      <c r="E138" s="1" t="n">
        <v>46241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18885-2023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45044</v>
      </c>
      <c r="E139" s="1" t="n">
        <v>46241</v>
      </c>
      <c r="F139" t="inlineStr">
        <is>
          <t>VÄSTERNORRLANDS LÄN</t>
        </is>
      </c>
      <c r="G139" t="inlineStr">
        <is>
          <t>HÄRNÖSAND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46241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46241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46241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45409</v>
      </c>
      <c r="E143" s="1" t="n">
        <v>46241</v>
      </c>
      <c r="F143" t="inlineStr">
        <is>
          <t>VÄSTERNORRLANDS LÄN</t>
        </is>
      </c>
      <c r="G143" t="inlineStr">
        <is>
          <t>HÄRNÖSAND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46241</v>
      </c>
      <c r="F144" t="inlineStr">
        <is>
          <t>VÄSTERNORRLANDS LÄN</t>
        </is>
      </c>
      <c r="G144" t="inlineStr">
        <is>
          <t>HÄRNÖSAND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46241</v>
      </c>
      <c r="F145" t="inlineStr">
        <is>
          <t>VÄSTERNORRLANDS LÄN</t>
        </is>
      </c>
      <c r="G145" t="inlineStr">
        <is>
          <t>HÄRNÖSAND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46241</v>
      </c>
      <c r="F146" t="inlineStr">
        <is>
          <t>VÄSTERNORRLANDS LÄN</t>
        </is>
      </c>
      <c r="G146" t="inlineStr">
        <is>
          <t>HÄRNÖSAND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46241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46241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46241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46241</v>
      </c>
      <c r="F150" t="inlineStr">
        <is>
          <t>VÄSTERNORRLANDS LÄN</t>
        </is>
      </c>
      <c r="G150" t="inlineStr">
        <is>
          <t>HÄRNÖSAND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46241</v>
      </c>
      <c r="F151" t="inlineStr">
        <is>
          <t>VÄSTERNORRLANDS LÄN</t>
        </is>
      </c>
      <c r="G151" t="inlineStr">
        <is>
          <t>HÄRNÖSAND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46241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46241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46241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46241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46241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50338-2022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44865</v>
      </c>
      <c r="E157" s="1" t="n">
        <v>46241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46241</v>
      </c>
      <c r="F158" t="inlineStr">
        <is>
          <t>VÄSTERNORRLANDS LÄN</t>
        </is>
      </c>
      <c r="G158" t="inlineStr">
        <is>
          <t>HÄRNÖSAND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46241</v>
      </c>
      <c r="F159" t="inlineStr">
        <is>
          <t>VÄSTERNORRLANDS LÄN</t>
        </is>
      </c>
      <c r="G159" t="inlineStr">
        <is>
          <t>HÄRNÖSAND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46241</v>
      </c>
      <c r="F160" t="inlineStr">
        <is>
          <t>VÄSTERNORRLANDS LÄN</t>
        </is>
      </c>
      <c r="G160" t="inlineStr">
        <is>
          <t>HÄRNÖSAND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46241</v>
      </c>
      <c r="F161" t="inlineStr">
        <is>
          <t>VÄSTERNORRLANDS LÄN</t>
        </is>
      </c>
      <c r="G161" t="inlineStr">
        <is>
          <t>HÄRNÖSAND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46241</v>
      </c>
      <c r="F162" t="inlineStr">
        <is>
          <t>VÄSTERNORRLANDS LÄN</t>
        </is>
      </c>
      <c r="G162" t="inlineStr">
        <is>
          <t>HÄRNÖSAND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46241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46241</v>
      </c>
      <c r="F164" t="inlineStr">
        <is>
          <t>VÄSTERNORRLANDS LÄN</t>
        </is>
      </c>
      <c r="G164" t="inlineStr">
        <is>
          <t>HÄRNÖSAND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46241</v>
      </c>
      <c r="F165" t="inlineStr">
        <is>
          <t>VÄSTERNORRLANDS LÄN</t>
        </is>
      </c>
      <c r="G165" t="inlineStr">
        <is>
          <t>HÄRNÖSAND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49039-2023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45209</v>
      </c>
      <c r="E166" s="1" t="n">
        <v>46241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46241</v>
      </c>
      <c r="F167" t="inlineStr">
        <is>
          <t>VÄSTERNORRLANDS LÄN</t>
        </is>
      </c>
      <c r="G167" t="inlineStr">
        <is>
          <t>HÄRNÖSAND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46241</v>
      </c>
      <c r="F168" t="inlineStr">
        <is>
          <t>VÄSTERNORRLANDS LÄN</t>
        </is>
      </c>
      <c r="G168" t="inlineStr">
        <is>
          <t>HÄRNÖSAND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54251-2022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44881</v>
      </c>
      <c r="E169" s="1" t="n">
        <v>46241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46241</v>
      </c>
      <c r="F170" t="inlineStr">
        <is>
          <t>VÄSTERNORRLANDS LÄN</t>
        </is>
      </c>
      <c r="G170" t="inlineStr">
        <is>
          <t>HÄRNÖSAND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46241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Övriga statliga verk och myndigheter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46241</v>
      </c>
      <c r="F172" t="inlineStr">
        <is>
          <t>VÄSTERNORRLANDS LÄN</t>
        </is>
      </c>
      <c r="G172" t="inlineStr">
        <is>
          <t>HÄRNÖSAND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45576</v>
      </c>
      <c r="E173" s="1" t="n">
        <v>46241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46241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46241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46241</v>
      </c>
      <c r="F176" t="inlineStr">
        <is>
          <t>VÄSTERNORRLANDS LÄN</t>
        </is>
      </c>
      <c r="G176" t="inlineStr">
        <is>
          <t>HÄRNÖSAND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46241</v>
      </c>
      <c r="F177" t="inlineStr">
        <is>
          <t>VÄSTERNORRLANDS LÄN</t>
        </is>
      </c>
      <c r="G177" t="inlineStr">
        <is>
          <t>HÄRNÖSAND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46241</v>
      </c>
      <c r="F178" t="inlineStr">
        <is>
          <t>VÄSTERNORRLANDS LÄN</t>
        </is>
      </c>
      <c r="G178" t="inlineStr">
        <is>
          <t>HÄRNÖSAND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46241</v>
      </c>
      <c r="F179" t="inlineStr">
        <is>
          <t>VÄSTERNORRLANDS LÄN</t>
        </is>
      </c>
      <c r="G179" t="inlineStr">
        <is>
          <t>HÄRNÖSAND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46241</v>
      </c>
      <c r="F180" t="inlineStr">
        <is>
          <t>VÄSTERNORRLANDS LÄN</t>
        </is>
      </c>
      <c r="G180" t="inlineStr">
        <is>
          <t>HÄRNÖSAND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46241</v>
      </c>
      <c r="F181" t="inlineStr">
        <is>
          <t>VÄSTERNORRLANDS LÄN</t>
        </is>
      </c>
      <c r="G181" t="inlineStr">
        <is>
          <t>HÄRNÖSAND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46241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46241</v>
      </c>
      <c r="F183" t="inlineStr">
        <is>
          <t>VÄSTERNORRLANDS LÄN</t>
        </is>
      </c>
      <c r="G183" t="inlineStr">
        <is>
          <t>HÄRNÖSAND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16705-2026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46241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46241</v>
      </c>
      <c r="F185" t="inlineStr">
        <is>
          <t>VÄSTERNORRLANDS LÄN</t>
        </is>
      </c>
      <c r="G185" t="inlineStr">
        <is>
          <t>HÄRNÖSAND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44755</v>
      </c>
      <c r="E186" s="1" t="n">
        <v>46241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46241</v>
      </c>
      <c r="F187" t="inlineStr">
        <is>
          <t>VÄSTERNORRLANDS LÄN</t>
        </is>
      </c>
      <c r="G187" t="inlineStr">
        <is>
          <t>HÄRNÖSAND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45874</v>
      </c>
      <c r="E188" s="1" t="n">
        <v>46241</v>
      </c>
      <c r="F188" t="inlineStr">
        <is>
          <t>VÄSTERNORRLANDS LÄN</t>
        </is>
      </c>
      <c r="G188" t="inlineStr">
        <is>
          <t>HÄRNÖSAND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46241</v>
      </c>
      <c r="F189" t="inlineStr">
        <is>
          <t>VÄSTERNORRLANDS LÄN</t>
        </is>
      </c>
      <c r="G189" t="inlineStr">
        <is>
          <t>HÄRNÖSAND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46241</v>
      </c>
      <c r="F190" t="inlineStr">
        <is>
          <t>VÄSTERNORRLANDS LÄN</t>
        </is>
      </c>
      <c r="G190" t="inlineStr">
        <is>
          <t>HÄRNÖSAND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46241</v>
      </c>
      <c r="F191" t="inlineStr">
        <is>
          <t>VÄSTERNORRLANDS LÄN</t>
        </is>
      </c>
      <c r="G191" t="inlineStr">
        <is>
          <t>HÄRNÖSAND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46241</v>
      </c>
      <c r="F192" t="inlineStr">
        <is>
          <t>VÄSTERNORRLANDS LÄN</t>
        </is>
      </c>
      <c r="G192" t="inlineStr">
        <is>
          <t>HÄRNÖSAND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45874</v>
      </c>
      <c r="E193" s="1" t="n">
        <v>46241</v>
      </c>
      <c r="F193" t="inlineStr">
        <is>
          <t>VÄSTERNORRLANDS LÄN</t>
        </is>
      </c>
      <c r="G193" t="inlineStr">
        <is>
          <t>HÄRNÖSAND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46241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46241</v>
      </c>
      <c r="F195" t="inlineStr">
        <is>
          <t>VÄSTERNORRLANDS LÄN</t>
        </is>
      </c>
      <c r="G195" t="inlineStr">
        <is>
          <t>HÄRNÖSAND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46241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46241</v>
      </c>
      <c r="F197" t="inlineStr">
        <is>
          <t>VÄSTERNORRLANDS LÄN</t>
        </is>
      </c>
      <c r="G197" t="inlineStr">
        <is>
          <t>HÄRNÖSAND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46241</v>
      </c>
      <c r="F198" t="inlineStr">
        <is>
          <t>VÄSTERNORRLANDS LÄN</t>
        </is>
      </c>
      <c r="G198" t="inlineStr">
        <is>
          <t>HÄRNÖSAND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46241</v>
      </c>
      <c r="F199" t="inlineStr">
        <is>
          <t>VÄSTERNORRLANDS LÄN</t>
        </is>
      </c>
      <c r="G199" t="inlineStr">
        <is>
          <t>HÄRNÖSAND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44732</v>
      </c>
      <c r="E200" s="1" t="n">
        <v>46241</v>
      </c>
      <c r="F200" t="inlineStr">
        <is>
          <t>VÄSTERNORRLANDS LÄN</t>
        </is>
      </c>
      <c r="G200" t="inlineStr">
        <is>
          <t>HÄRNÖSAND</t>
        </is>
      </c>
      <c r="I200" t="n">
        <v>18.7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46241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46241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45293</v>
      </c>
      <c r="E203" s="1" t="n">
        <v>46241</v>
      </c>
      <c r="F203" t="inlineStr">
        <is>
          <t>VÄSTERNORRLANDS LÄN</t>
        </is>
      </c>
      <c r="G203" t="inlineStr">
        <is>
          <t>HÄRNÖSAND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46241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Kyrkan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46241</v>
      </c>
      <c r="F205" t="inlineStr">
        <is>
          <t>VÄSTERNORRLANDS LÄN</t>
        </is>
      </c>
      <c r="G205" t="inlineStr">
        <is>
          <t>HÄRNÖSAND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46241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46241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46241</v>
      </c>
      <c r="F208" t="inlineStr">
        <is>
          <t>VÄSTERNORRLANDS LÄN</t>
        </is>
      </c>
      <c r="G208" t="inlineStr">
        <is>
          <t>HÄRNÖSAND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46241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46241</v>
      </c>
      <c r="F210" t="inlineStr">
        <is>
          <t>VÄSTERNORRLANDS LÄN</t>
        </is>
      </c>
      <c r="G210" t="inlineStr">
        <is>
          <t>HÄRNÖSAND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46241</v>
      </c>
      <c r="F211" t="inlineStr">
        <is>
          <t>VÄSTERNORRLANDS LÄN</t>
        </is>
      </c>
      <c r="G211" t="inlineStr">
        <is>
          <t>HÄRNÖSAND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46241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46241</v>
      </c>
      <c r="F213" t="inlineStr">
        <is>
          <t>VÄSTERNORRLANDS LÄN</t>
        </is>
      </c>
      <c r="G213" t="inlineStr">
        <is>
          <t>HÄRNÖSAND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44971</v>
      </c>
      <c r="E214" s="1" t="n">
        <v>46241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59408-2024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45638</v>
      </c>
      <c r="E215" s="1" t="n">
        <v>46241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46241</v>
      </c>
      <c r="F216" t="inlineStr">
        <is>
          <t>VÄSTERNORRLANDS LÄN</t>
        </is>
      </c>
      <c r="G216" t="inlineStr">
        <is>
          <t>HÄRNÖSAND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46241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31.9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46241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46241</v>
      </c>
      <c r="F219" t="inlineStr">
        <is>
          <t>VÄSTERNORRLANDS LÄN</t>
        </is>
      </c>
      <c r="G219" t="inlineStr">
        <is>
          <t>HÄRNÖSAND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46241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44847</v>
      </c>
      <c r="E221" s="1" t="n">
        <v>46241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Kyrkan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46241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46241</v>
      </c>
      <c r="F223" t="inlineStr">
        <is>
          <t>VÄSTERNORRLANDS LÄN</t>
        </is>
      </c>
      <c r="G223" t="inlineStr">
        <is>
          <t>HÄRNÖSAND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46132</v>
      </c>
      <c r="E224" s="1" t="n">
        <v>46241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46241</v>
      </c>
      <c r="F225" t="inlineStr">
        <is>
          <t>VÄSTERNORRLANDS LÄN</t>
        </is>
      </c>
      <c r="G225" t="inlineStr">
        <is>
          <t>HÄRNÖSAND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46241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46241</v>
      </c>
      <c r="F227" t="inlineStr">
        <is>
          <t>VÄSTERNORRLANDS LÄN</t>
        </is>
      </c>
      <c r="G227" t="inlineStr">
        <is>
          <t>HÄRNÖSAND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46241</v>
      </c>
      <c r="F228" t="inlineStr">
        <is>
          <t>VÄSTERNORRLANDS LÄN</t>
        </is>
      </c>
      <c r="G228" t="inlineStr">
        <is>
          <t>HÄRNÖSAND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46241</v>
      </c>
      <c r="F229" t="inlineStr">
        <is>
          <t>VÄSTERNORRLANDS LÄN</t>
        </is>
      </c>
      <c r="G229" t="inlineStr">
        <is>
          <t>HÄRNÖSAND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46241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46241</v>
      </c>
      <c r="F231" t="inlineStr">
        <is>
          <t>VÄSTERNORRLANDS LÄN</t>
        </is>
      </c>
      <c r="G231" t="inlineStr">
        <is>
          <t>HÄRNÖSAND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46241</v>
      </c>
      <c r="F232" t="inlineStr">
        <is>
          <t>VÄSTERNORRLANDS LÄN</t>
        </is>
      </c>
      <c r="G232" t="inlineStr">
        <is>
          <t>HÄRNÖSAND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46241</v>
      </c>
      <c r="F233" t="inlineStr">
        <is>
          <t>VÄSTERNORRLANDS LÄN</t>
        </is>
      </c>
      <c r="G233" t="inlineStr">
        <is>
          <t>HÄRNÖSAND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45981-2025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45924</v>
      </c>
      <c r="E234" s="1" t="n">
        <v>46241</v>
      </c>
      <c r="F234" t="inlineStr">
        <is>
          <t>VÄSTERNORRLANDS LÄN</t>
        </is>
      </c>
      <c r="G234" t="inlineStr">
        <is>
          <t>HÄRNÖSAND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46241</v>
      </c>
      <c r="F235" t="inlineStr">
        <is>
          <t>VÄSTERNORRLANDS LÄN</t>
        </is>
      </c>
      <c r="G235" t="inlineStr">
        <is>
          <t>HÄRNÖSAND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40452-2023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45168</v>
      </c>
      <c r="E236" s="1" t="n">
        <v>46241</v>
      </c>
      <c r="F236" t="inlineStr">
        <is>
          <t>VÄSTERNORRLANDS LÄN</t>
        </is>
      </c>
      <c r="G236" t="inlineStr">
        <is>
          <t>HÄRNÖSAND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44853</v>
      </c>
      <c r="E237" s="1" t="n">
        <v>46241</v>
      </c>
      <c r="F237" t="inlineStr">
        <is>
          <t>VÄSTERNORRLANDS LÄN</t>
        </is>
      </c>
      <c r="G237" t="inlineStr">
        <is>
          <t>HÄRNÖSAND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46241</v>
      </c>
      <c r="F238" t="inlineStr">
        <is>
          <t>VÄSTERNORRLANDS LÄN</t>
        </is>
      </c>
      <c r="G238" t="inlineStr">
        <is>
          <t>HÄRNÖSAND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45138</v>
      </c>
      <c r="E239" s="1" t="n">
        <v>46241</v>
      </c>
      <c r="F239" t="inlineStr">
        <is>
          <t>VÄSTERNORRLANDS LÄN</t>
        </is>
      </c>
      <c r="G239" t="inlineStr">
        <is>
          <t>HÄRNÖSAND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46241</v>
      </c>
      <c r="F240" t="inlineStr">
        <is>
          <t>VÄSTERNORRLANDS LÄN</t>
        </is>
      </c>
      <c r="G240" t="inlineStr">
        <is>
          <t>HÄRNÖSAND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46241</v>
      </c>
      <c r="F241" t="inlineStr">
        <is>
          <t>VÄSTERNORRLANDS LÄN</t>
        </is>
      </c>
      <c r="G241" t="inlineStr">
        <is>
          <t>HÄRNÖSAND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46241</v>
      </c>
      <c r="F242" t="inlineStr">
        <is>
          <t>VÄSTERNORRLANDS LÄN</t>
        </is>
      </c>
      <c r="G242" t="inlineStr">
        <is>
          <t>HÄRNÖSAND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46241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46241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46241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46241</v>
      </c>
      <c r="F246" t="inlineStr">
        <is>
          <t>VÄSTERNORRLANDS LÄN</t>
        </is>
      </c>
      <c r="G246" t="inlineStr">
        <is>
          <t>HÄRNÖSAND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46241</v>
      </c>
      <c r="F247" t="inlineStr">
        <is>
          <t>VÄSTERNORRLANDS LÄN</t>
        </is>
      </c>
      <c r="G247" t="inlineStr">
        <is>
          <t>HÄRNÖSAND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46241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46241</v>
      </c>
      <c r="F249" t="inlineStr">
        <is>
          <t>VÄSTERNORRLANDS LÄN</t>
        </is>
      </c>
      <c r="G249" t="inlineStr">
        <is>
          <t>HÄRNÖSAND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46241</v>
      </c>
      <c r="F250" t="inlineStr">
        <is>
          <t>VÄSTERNORRLANDS LÄN</t>
        </is>
      </c>
      <c r="G250" t="inlineStr">
        <is>
          <t>HÄRNÖSAND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46241</v>
      </c>
      <c r="F251" t="inlineStr">
        <is>
          <t>VÄSTERNORRLANDS LÄN</t>
        </is>
      </c>
      <c r="G251" t="inlineStr">
        <is>
          <t>HÄRNÖSAND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46241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45769</v>
      </c>
      <c r="E253" s="1" t="n">
        <v>46241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46241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46241</v>
      </c>
      <c r="F255" t="inlineStr">
        <is>
          <t>VÄSTERNORRLANDS LÄN</t>
        </is>
      </c>
      <c r="G255" t="inlineStr">
        <is>
          <t>HÄRNÖSAND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45526</v>
      </c>
      <c r="E256" s="1" t="n">
        <v>46241</v>
      </c>
      <c r="F256" t="inlineStr">
        <is>
          <t>VÄSTERNORRLANDS LÄN</t>
        </is>
      </c>
      <c r="G256" t="inlineStr">
        <is>
          <t>HÄRNÖSAND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46241</v>
      </c>
      <c r="F257" t="inlineStr">
        <is>
          <t>VÄSTERNORRLANDS LÄN</t>
        </is>
      </c>
      <c r="G257" t="inlineStr">
        <is>
          <t>HÄRNÖSAND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46241</v>
      </c>
      <c r="F258" t="inlineStr">
        <is>
          <t>VÄSTERNORRLANDS LÄN</t>
        </is>
      </c>
      <c r="G258" t="inlineStr">
        <is>
          <t>HÄRNÖSAND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46065</v>
      </c>
      <c r="E259" s="1" t="n">
        <v>46241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46241</v>
      </c>
      <c r="F260" t="inlineStr">
        <is>
          <t>VÄSTERNORRLANDS LÄN</t>
        </is>
      </c>
      <c r="G260" t="inlineStr">
        <is>
          <t>HÄRNÖSAND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47702-2021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44448</v>
      </c>
      <c r="E261" s="1" t="n">
        <v>46241</v>
      </c>
      <c r="F261" t="inlineStr">
        <is>
          <t>VÄSTERNORRLANDS LÄN</t>
        </is>
      </c>
      <c r="G261" t="inlineStr">
        <is>
          <t>HÄRNÖSAND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45044</v>
      </c>
      <c r="E262" s="1" t="n">
        <v>46241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45203</v>
      </c>
      <c r="E263" s="1" t="n">
        <v>46241</v>
      </c>
      <c r="F263" t="inlineStr">
        <is>
          <t>VÄSTERNORRLANDS LÄN</t>
        </is>
      </c>
      <c r="G263" t="inlineStr">
        <is>
          <t>HÄRNÖSAND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45106</v>
      </c>
      <c r="E264" s="1" t="n">
        <v>46241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45714</v>
      </c>
      <c r="E265" s="1" t="n">
        <v>46241</v>
      </c>
      <c r="F265" t="inlineStr">
        <is>
          <t>VÄSTERNORRLANDS LÄN</t>
        </is>
      </c>
      <c r="G265" t="inlineStr">
        <is>
          <t>HÄRNÖSAND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46273-2021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44442</v>
      </c>
      <c r="E266" s="1" t="n">
        <v>46241</v>
      </c>
      <c r="F266" t="inlineStr">
        <is>
          <t>VÄSTERNORRLANDS LÄN</t>
        </is>
      </c>
      <c r="G266" t="inlineStr">
        <is>
          <t>HÄRNÖSAND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46241</v>
      </c>
      <c r="F267" t="inlineStr">
        <is>
          <t>VÄSTERNORRLANDS LÄN</t>
        </is>
      </c>
      <c r="G267" t="inlineStr">
        <is>
          <t>HÄRNÖSAND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46241</v>
      </c>
      <c r="F268" t="inlineStr">
        <is>
          <t>VÄSTERNORRLANDS LÄN</t>
        </is>
      </c>
      <c r="G268" t="inlineStr">
        <is>
          <t>HÄRNÖSAND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44596</v>
      </c>
      <c r="E269" s="1" t="n">
        <v>46241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Övriga statliga verk och myndigheter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46241</v>
      </c>
      <c r="F270" t="inlineStr">
        <is>
          <t>VÄSTERNORRLANDS LÄN</t>
        </is>
      </c>
      <c r="G270" t="inlineStr">
        <is>
          <t>HÄRNÖSAND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46241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46241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46241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46241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46241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46241</v>
      </c>
      <c r="F276" t="inlineStr">
        <is>
          <t>VÄSTERNORRLANDS LÄN</t>
        </is>
      </c>
      <c r="G276" t="inlineStr">
        <is>
          <t>HÄRNÖSAND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45523</v>
      </c>
      <c r="E277" s="1" t="n">
        <v>46241</v>
      </c>
      <c r="F277" t="inlineStr">
        <is>
          <t>VÄSTERNORRLANDS LÄN</t>
        </is>
      </c>
      <c r="G277" t="inlineStr">
        <is>
          <t>HÄRNÖSAND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46241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46241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46241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46241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45840</v>
      </c>
      <c r="E282" s="1" t="n">
        <v>46241</v>
      </c>
      <c r="F282" t="inlineStr">
        <is>
          <t>VÄSTERNORRLANDS LÄN</t>
        </is>
      </c>
      <c r="G282" t="inlineStr">
        <is>
          <t>HÄRNÖSAND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46241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46241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46241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46241</v>
      </c>
      <c r="F286" t="inlineStr">
        <is>
          <t>VÄSTERNORRLANDS LÄN</t>
        </is>
      </c>
      <c r="G286" t="inlineStr">
        <is>
          <t>HÄRNÖSAND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46241</v>
      </c>
      <c r="F287" t="inlineStr">
        <is>
          <t>VÄSTERNORRLANDS LÄN</t>
        </is>
      </c>
      <c r="G287" t="inlineStr">
        <is>
          <t>HÄRNÖSAND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46241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46241</v>
      </c>
      <c r="F289" t="inlineStr">
        <is>
          <t>VÄSTERNORRLANDS LÄN</t>
        </is>
      </c>
      <c r="G289" t="inlineStr">
        <is>
          <t>HÄRNÖSAND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46241</v>
      </c>
      <c r="F290" t="inlineStr">
        <is>
          <t>VÄSTERNORRLANDS LÄN</t>
        </is>
      </c>
      <c r="G290" t="inlineStr">
        <is>
          <t>HÄRNÖSAND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46241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61574-2021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46241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46241</v>
      </c>
      <c r="F293" t="inlineStr">
        <is>
          <t>VÄSTERNORRLANDS LÄN</t>
        </is>
      </c>
      <c r="G293" t="inlineStr">
        <is>
          <t>HÄRNÖSAND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46241</v>
      </c>
      <c r="F294" t="inlineStr">
        <is>
          <t>VÄSTERNORRLANDS LÄN</t>
        </is>
      </c>
      <c r="G294" t="inlineStr">
        <is>
          <t>HÄRNÖSAND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46241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46241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46241</v>
      </c>
      <c r="F297" t="inlineStr">
        <is>
          <t>VÄSTERNORRLANDS LÄN</t>
        </is>
      </c>
      <c r="G297" t="inlineStr">
        <is>
          <t>HÄRNÖSAND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46024</v>
      </c>
      <c r="E298" s="1" t="n">
        <v>46241</v>
      </c>
      <c r="F298" t="inlineStr">
        <is>
          <t>VÄSTERNORRLANDS LÄN</t>
        </is>
      </c>
      <c r="G298" t="inlineStr">
        <is>
          <t>HÄRNÖSAND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46241</v>
      </c>
      <c r="F299" t="inlineStr">
        <is>
          <t>VÄSTERNORRLANDS LÄN</t>
        </is>
      </c>
      <c r="G299" t="inlineStr">
        <is>
          <t>HÄRNÖSAND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46241</v>
      </c>
      <c r="F300" t="inlineStr">
        <is>
          <t>VÄSTERNORRLANDS LÄN</t>
        </is>
      </c>
      <c r="G300" t="inlineStr">
        <is>
          <t>HÄRNÖSAND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44847</v>
      </c>
      <c r="E301" s="1" t="n">
        <v>46241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Kyrkan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46241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46241</v>
      </c>
      <c r="F303" t="inlineStr">
        <is>
          <t>VÄSTERNORRLANDS LÄN</t>
        </is>
      </c>
      <c r="G303" t="inlineStr">
        <is>
          <t>HÄRNÖSAND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46241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46241</v>
      </c>
      <c r="F305" t="inlineStr">
        <is>
          <t>VÄSTERNORRLANDS LÄN</t>
        </is>
      </c>
      <c r="G305" t="inlineStr">
        <is>
          <t>HÄRNÖSAND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46241</v>
      </c>
      <c r="F306" t="inlineStr">
        <is>
          <t>VÄSTERNORRLANDS LÄN</t>
        </is>
      </c>
      <c r="G306" t="inlineStr">
        <is>
          <t>HÄRNÖSAND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46241</v>
      </c>
      <c r="F307" t="inlineStr">
        <is>
          <t>VÄSTERNORRLANDS LÄN</t>
        </is>
      </c>
      <c r="G307" t="inlineStr">
        <is>
          <t>HÄRNÖSAND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46241</v>
      </c>
      <c r="F308" t="inlineStr">
        <is>
          <t>VÄSTERNORRLANDS LÄN</t>
        </is>
      </c>
      <c r="G308" t="inlineStr">
        <is>
          <t>HÄRNÖSAND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45126</v>
      </c>
      <c r="E309" s="1" t="n">
        <v>46241</v>
      </c>
      <c r="F309" t="inlineStr">
        <is>
          <t>VÄSTERNORRLANDS LÄN</t>
        </is>
      </c>
      <c r="G309" t="inlineStr">
        <is>
          <t>HÄRNÖSAND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46241</v>
      </c>
      <c r="F310" t="inlineStr">
        <is>
          <t>VÄSTERNORRLANDS LÄN</t>
        </is>
      </c>
      <c r="G310" t="inlineStr">
        <is>
          <t>HÄRNÖSAND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46241</v>
      </c>
      <c r="F311" t="inlineStr">
        <is>
          <t>VÄSTERNORRLANDS LÄN</t>
        </is>
      </c>
      <c r="G311" t="inlineStr">
        <is>
          <t>HÄRNÖSAND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46241</v>
      </c>
      <c r="F312" t="inlineStr">
        <is>
          <t>VÄSTERNORRLANDS LÄN</t>
        </is>
      </c>
      <c r="G312" t="inlineStr">
        <is>
          <t>HÄRNÖSAND</t>
        </is>
      </c>
      <c r="I312" t="n">
        <v>16.7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45409</v>
      </c>
      <c r="E313" s="1" t="n">
        <v>46241</v>
      </c>
      <c r="F313" t="inlineStr">
        <is>
          <t>VÄSTERNORRLANDS LÄN</t>
        </is>
      </c>
      <c r="G313" t="inlineStr">
        <is>
          <t>HÄRNÖSAND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46241</v>
      </c>
      <c r="F314" t="inlineStr">
        <is>
          <t>VÄSTERNORRLANDS LÄN</t>
        </is>
      </c>
      <c r="G314" t="inlineStr">
        <is>
          <t>HÄRNÖSAND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46241</v>
      </c>
      <c r="F315" t="inlineStr">
        <is>
          <t>VÄSTERNORRLANDS LÄN</t>
        </is>
      </c>
      <c r="G315" t="inlineStr">
        <is>
          <t>HÄRNÖSAND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46241</v>
      </c>
      <c r="F316" t="inlineStr">
        <is>
          <t>VÄSTERNORRLANDS LÄN</t>
        </is>
      </c>
      <c r="G316" t="inlineStr">
        <is>
          <t>HÄRNÖSAND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39954-2022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44819</v>
      </c>
      <c r="E317" s="1" t="n">
        <v>46241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64023-2023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45278</v>
      </c>
      <c r="E318" s="1" t="n">
        <v>46241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45502</v>
      </c>
      <c r="E319" s="1" t="n">
        <v>46241</v>
      </c>
      <c r="F319" t="inlineStr">
        <is>
          <t>VÄSTERNORRLANDS LÄN</t>
        </is>
      </c>
      <c r="G319" t="inlineStr">
        <is>
          <t>HÄRNÖSAND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46241</v>
      </c>
      <c r="F320" t="inlineStr">
        <is>
          <t>VÄSTERNORRLANDS LÄN</t>
        </is>
      </c>
      <c r="G320" t="inlineStr">
        <is>
          <t>HÄRNÖSAND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46241</v>
      </c>
      <c r="F321" t="inlineStr">
        <is>
          <t>VÄSTERNORRLANDS LÄN</t>
        </is>
      </c>
      <c r="G321" t="inlineStr">
        <is>
          <t>HÄRNÖSAND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46241</v>
      </c>
      <c r="F322" t="inlineStr">
        <is>
          <t>VÄSTERNORRLANDS LÄN</t>
        </is>
      </c>
      <c r="G322" t="inlineStr">
        <is>
          <t>HÄRNÖSAND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46241</v>
      </c>
      <c r="F323" t="inlineStr">
        <is>
          <t>VÄSTERNORRLANDS LÄN</t>
        </is>
      </c>
      <c r="G323" t="inlineStr">
        <is>
          <t>HÄRNÖSAND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34161-2022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44791</v>
      </c>
      <c r="E324" s="1" t="n">
        <v>46241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46241</v>
      </c>
      <c r="F325" t="inlineStr">
        <is>
          <t>VÄSTERNORRLANDS LÄN</t>
        </is>
      </c>
      <c r="G325" t="inlineStr">
        <is>
          <t>HÄRNÖSAND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46241</v>
      </c>
      <c r="F326" t="inlineStr">
        <is>
          <t>VÄSTERNORRLANDS LÄN</t>
        </is>
      </c>
      <c r="G326" t="inlineStr">
        <is>
          <t>HÄRNÖSAND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62333-2021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44502</v>
      </c>
      <c r="E327" s="1" t="n">
        <v>46241</v>
      </c>
      <c r="F327" t="inlineStr">
        <is>
          <t>VÄSTERNORRLANDS LÄN</t>
        </is>
      </c>
      <c r="G327" t="inlineStr">
        <is>
          <t>HÄRNÖSAND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46241</v>
      </c>
      <c r="F328" t="inlineStr">
        <is>
          <t>VÄSTERNORRLANDS LÄN</t>
        </is>
      </c>
      <c r="G328" t="inlineStr">
        <is>
          <t>HÄRNÖSAND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46241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46241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45390</v>
      </c>
      <c r="E331" s="1" t="n">
        <v>46241</v>
      </c>
      <c r="F331" t="inlineStr">
        <is>
          <t>VÄSTERNORRLANDS LÄN</t>
        </is>
      </c>
      <c r="G331" t="inlineStr">
        <is>
          <t>HÄRNÖSAND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46241</v>
      </c>
      <c r="F332" t="inlineStr">
        <is>
          <t>VÄSTERNORRLANDS LÄN</t>
        </is>
      </c>
      <c r="G332" t="inlineStr">
        <is>
          <t>HÄRNÖSAND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41147-2023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46241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46241</v>
      </c>
      <c r="F334" t="inlineStr">
        <is>
          <t>VÄSTERNORRLANDS LÄN</t>
        </is>
      </c>
      <c r="G334" t="inlineStr">
        <is>
          <t>HÄRNÖSAND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60970-2021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44496</v>
      </c>
      <c r="E335" s="1" t="n">
        <v>46241</v>
      </c>
      <c r="F335" t="inlineStr">
        <is>
          <t>VÄSTERNORRLANDS LÄN</t>
        </is>
      </c>
      <c r="G335" t="inlineStr">
        <is>
          <t>HÄRNÖSAND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46241</v>
      </c>
      <c r="F336" t="inlineStr">
        <is>
          <t>VÄSTERNORRLANDS LÄN</t>
        </is>
      </c>
      <c r="G336" t="inlineStr">
        <is>
          <t>HÄRNÖSAND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45405</v>
      </c>
      <c r="E337" s="1" t="n">
        <v>46241</v>
      </c>
      <c r="F337" t="inlineStr">
        <is>
          <t>VÄSTERNORRLANDS LÄN</t>
        </is>
      </c>
      <c r="G337" t="inlineStr">
        <is>
          <t>HÄRNÖSAND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46024</v>
      </c>
      <c r="E338" s="1" t="n">
        <v>46241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46241</v>
      </c>
      <c r="F339" t="inlineStr">
        <is>
          <t>VÄSTERNORRLANDS LÄN</t>
        </is>
      </c>
      <c r="G339" t="inlineStr">
        <is>
          <t>HÄRNÖSAND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46023</v>
      </c>
      <c r="E340" s="1" t="n">
        <v>46241</v>
      </c>
      <c r="F340" t="inlineStr">
        <is>
          <t>VÄSTERNORRLANDS LÄN</t>
        </is>
      </c>
      <c r="G340" t="inlineStr">
        <is>
          <t>HÄRNÖSAND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46241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46023</v>
      </c>
      <c r="E342" s="1" t="n">
        <v>46241</v>
      </c>
      <c r="F342" t="inlineStr">
        <is>
          <t>VÄSTERNORRLANDS LÄN</t>
        </is>
      </c>
      <c r="G342" t="inlineStr">
        <is>
          <t>HÄRNÖSAND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46023</v>
      </c>
      <c r="E343" s="1" t="n">
        <v>46241</v>
      </c>
      <c r="F343" t="inlineStr">
        <is>
          <t>VÄSTERNORRLANDS LÄN</t>
        </is>
      </c>
      <c r="G343" t="inlineStr">
        <is>
          <t>HÄRNÖSAND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46241</v>
      </c>
      <c r="F344" t="inlineStr">
        <is>
          <t>VÄSTERNORRLANDS LÄN</t>
        </is>
      </c>
      <c r="G344" t="inlineStr">
        <is>
          <t>HÄRNÖSAND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46204</v>
      </c>
      <c r="E345" s="1" t="n">
        <v>46241</v>
      </c>
      <c r="F345" t="inlineStr">
        <is>
          <t>VÄSTERNORRLANDS LÄN</t>
        </is>
      </c>
      <c r="G345" t="inlineStr">
        <is>
          <t>HÄRNÖSAND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46241</v>
      </c>
      <c r="F346" t="inlineStr">
        <is>
          <t>VÄSTERNORRLANDS LÄN</t>
        </is>
      </c>
      <c r="G346" t="inlineStr">
        <is>
          <t>HÄRNÖSAND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46029</v>
      </c>
      <c r="E347" s="1" t="n">
        <v>46241</v>
      </c>
      <c r="F347" t="inlineStr">
        <is>
          <t>VÄSTERNORRLANDS LÄN</t>
        </is>
      </c>
      <c r="G347" t="inlineStr">
        <is>
          <t>HÄRNÖSAND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46241</v>
      </c>
      <c r="F348" t="inlineStr">
        <is>
          <t>VÄSTERNORRLANDS LÄN</t>
        </is>
      </c>
      <c r="G348" t="inlineStr">
        <is>
          <t>HÄRNÖSAND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46241</v>
      </c>
      <c r="F349" t="inlineStr">
        <is>
          <t>VÄSTERNORRLANDS LÄN</t>
        </is>
      </c>
      <c r="G349" t="inlineStr">
        <is>
          <t>HÄRNÖSAND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46241</v>
      </c>
      <c r="F350" t="inlineStr">
        <is>
          <t>VÄSTERNORRLANDS LÄN</t>
        </is>
      </c>
      <c r="G350" t="inlineStr">
        <is>
          <t>HÄRNÖSAND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46241</v>
      </c>
      <c r="F351" t="inlineStr">
        <is>
          <t>VÄSTERNORRLANDS LÄN</t>
        </is>
      </c>
      <c r="G351" t="inlineStr">
        <is>
          <t>HÄRNÖSAND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46241</v>
      </c>
      <c r="F352" t="inlineStr">
        <is>
          <t>VÄSTERNORRLANDS LÄN</t>
        </is>
      </c>
      <c r="G352" t="inlineStr">
        <is>
          <t>HÄRNÖSAND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45409</v>
      </c>
      <c r="E353" s="1" t="n">
        <v>46241</v>
      </c>
      <c r="F353" t="inlineStr">
        <is>
          <t>VÄSTERNORRLANDS LÄN</t>
        </is>
      </c>
      <c r="G353" t="inlineStr">
        <is>
          <t>HÄRNÖSAND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46241</v>
      </c>
      <c r="F354" t="inlineStr">
        <is>
          <t>VÄSTERNORRLANDS LÄN</t>
        </is>
      </c>
      <c r="G354" t="inlineStr">
        <is>
          <t>HÄRNÖSAND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46161</v>
      </c>
      <c r="E355" s="1" t="n">
        <v>46241</v>
      </c>
      <c r="F355" t="inlineStr">
        <is>
          <t>VÄSTERNORRLANDS LÄN</t>
        </is>
      </c>
      <c r="G355" t="inlineStr">
        <is>
          <t>HÄRNÖSAND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46241</v>
      </c>
      <c r="F356" t="inlineStr">
        <is>
          <t>VÄSTERNORRLANDS LÄN</t>
        </is>
      </c>
      <c r="G356" t="inlineStr">
        <is>
          <t>HÄRNÖSAND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46241</v>
      </c>
      <c r="F357" t="inlineStr">
        <is>
          <t>VÄSTERNORRLANDS LÄN</t>
        </is>
      </c>
      <c r="G357" t="inlineStr">
        <is>
          <t>HÄRNÖSAND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46241</v>
      </c>
      <c r="F358" t="inlineStr">
        <is>
          <t>VÄSTERNORRLANDS LÄN</t>
        </is>
      </c>
      <c r="G358" t="inlineStr">
        <is>
          <t>HÄRNÖSAND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46241</v>
      </c>
      <c r="F359" t="inlineStr">
        <is>
          <t>VÄSTERNORRLANDS LÄN</t>
        </is>
      </c>
      <c r="G359" t="inlineStr">
        <is>
          <t>HÄRNÖSAND</t>
        </is>
      </c>
      <c r="I359" t="n">
        <v>9.199999999999999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46241</v>
      </c>
      <c r="F360" t="inlineStr">
        <is>
          <t>VÄSTERNORRLANDS LÄN</t>
        </is>
      </c>
      <c r="G360" t="inlineStr">
        <is>
          <t>HÄRNÖSAND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46241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45628</v>
      </c>
      <c r="E362" s="1" t="n">
        <v>46241</v>
      </c>
      <c r="F362" t="inlineStr">
        <is>
          <t>VÄSTERNORRLANDS LÄN</t>
        </is>
      </c>
      <c r="G362" t="inlineStr">
        <is>
          <t>HÄRNÖSAND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46241</v>
      </c>
      <c r="F363" t="inlineStr">
        <is>
          <t>VÄSTERNORRLANDS LÄN</t>
        </is>
      </c>
      <c r="G363" t="inlineStr">
        <is>
          <t>HÄRNÖSAND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46241</v>
      </c>
      <c r="F364" t="inlineStr">
        <is>
          <t>VÄSTERNORRLANDS LÄN</t>
        </is>
      </c>
      <c r="G364" t="inlineStr">
        <is>
          <t>HÄRNÖSAND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46161</v>
      </c>
      <c r="E365" s="1" t="n">
        <v>46241</v>
      </c>
      <c r="F365" t="inlineStr">
        <is>
          <t>VÄSTERNORRLANDS LÄN</t>
        </is>
      </c>
      <c r="G365" t="inlineStr">
        <is>
          <t>HÄRNÖSAND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46161</v>
      </c>
      <c r="E366" s="1" t="n">
        <v>46241</v>
      </c>
      <c r="F366" t="inlineStr">
        <is>
          <t>VÄSTERNORRLANDS LÄN</t>
        </is>
      </c>
      <c r="G366" t="inlineStr">
        <is>
          <t>HÄRNÖSAND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46241</v>
      </c>
      <c r="F367" t="inlineStr">
        <is>
          <t>VÄSTERNORRLANDS LÄN</t>
        </is>
      </c>
      <c r="G367" t="inlineStr">
        <is>
          <t>HÄRNÖSAND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46241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46241</v>
      </c>
      <c r="F369" t="inlineStr">
        <is>
          <t>VÄSTERNORRLANDS LÄN</t>
        </is>
      </c>
      <c r="G369" t="inlineStr">
        <is>
          <t>HÄRNÖSAND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46241</v>
      </c>
      <c r="F370" t="inlineStr">
        <is>
          <t>VÄSTERNORRLANDS LÄN</t>
        </is>
      </c>
      <c r="G370" t="inlineStr">
        <is>
          <t>HÄRNÖSAND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46162</v>
      </c>
      <c r="E371" s="1" t="n">
        <v>46241</v>
      </c>
      <c r="F371" t="inlineStr">
        <is>
          <t>VÄSTERNORRLANDS LÄN</t>
        </is>
      </c>
      <c r="G371" t="inlineStr">
        <is>
          <t>HÄRNÖSAND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46042</v>
      </c>
      <c r="E372" s="1" t="n">
        <v>46241</v>
      </c>
      <c r="F372" t="inlineStr">
        <is>
          <t>VÄSTERNORRLANDS LÄN</t>
        </is>
      </c>
      <c r="G372" t="inlineStr">
        <is>
          <t>HÄRNÖSAND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45786</v>
      </c>
      <c r="E373" s="1" t="n">
        <v>46241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31.8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45813</v>
      </c>
      <c r="E374" s="1" t="n">
        <v>46241</v>
      </c>
      <c r="F374" t="inlineStr">
        <is>
          <t>VÄSTERNORRLANDS LÄN</t>
        </is>
      </c>
      <c r="G374" t="inlineStr">
        <is>
          <t>HÄRNÖSAND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46241</v>
      </c>
      <c r="F375" t="inlineStr">
        <is>
          <t>VÄSTERNORRLANDS LÄN</t>
        </is>
      </c>
      <c r="G375" t="inlineStr">
        <is>
          <t>HÄRNÖSAND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44641</v>
      </c>
      <c r="E376" s="1" t="n">
        <v>46241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46241</v>
      </c>
      <c r="F377" t="inlineStr">
        <is>
          <t>VÄSTERNORRLANDS LÄN</t>
        </is>
      </c>
      <c r="G377" t="inlineStr">
        <is>
          <t>HÄRNÖSAND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45512</v>
      </c>
      <c r="E378" s="1" t="n">
        <v>46241</v>
      </c>
      <c r="F378" t="inlineStr">
        <is>
          <t>VÄSTERNORRLANDS LÄN</t>
        </is>
      </c>
      <c r="G378" t="inlineStr">
        <is>
          <t>HÄRNÖSAND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59715-2024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45639</v>
      </c>
      <c r="E379" s="1" t="n">
        <v>46241</v>
      </c>
      <c r="F379" t="inlineStr">
        <is>
          <t>VÄSTERNORRLANDS LÄN</t>
        </is>
      </c>
      <c r="G379" t="inlineStr">
        <is>
          <t>HÄRNÖSAND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22852-2025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45790</v>
      </c>
      <c r="E380" s="1" t="n">
        <v>46241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31.8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46241</v>
      </c>
      <c r="F381" t="inlineStr">
        <is>
          <t>VÄSTERNORRLANDS LÄN</t>
        </is>
      </c>
      <c r="G381" t="inlineStr">
        <is>
          <t>HÄRNÖSAND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46241</v>
      </c>
      <c r="F382" t="inlineStr">
        <is>
          <t>VÄSTERNORRLANDS LÄN</t>
        </is>
      </c>
      <c r="G382" t="inlineStr">
        <is>
          <t>HÄRNÖSAND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46241</v>
      </c>
      <c r="F383" t="inlineStr">
        <is>
          <t>VÄSTERNORRLANDS LÄN</t>
        </is>
      </c>
      <c r="G383" t="inlineStr">
        <is>
          <t>HÄRNÖSAND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46241</v>
      </c>
      <c r="F384" t="inlineStr">
        <is>
          <t>VÄSTERNORRLANDS LÄN</t>
        </is>
      </c>
      <c r="G384" t="inlineStr">
        <is>
          <t>HÄRNÖSAND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46241</v>
      </c>
      <c r="F385" t="inlineStr">
        <is>
          <t>VÄSTERNORRLANDS LÄN</t>
        </is>
      </c>
      <c r="G385" t="inlineStr">
        <is>
          <t>HÄRNÖSAND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46241</v>
      </c>
      <c r="F386" t="inlineStr">
        <is>
          <t>VÄSTERNORRLANDS LÄN</t>
        </is>
      </c>
      <c r="G386" t="inlineStr">
        <is>
          <t>HÄRNÖSAND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46241</v>
      </c>
      <c r="F387" t="inlineStr">
        <is>
          <t>VÄSTERNORRLANDS LÄN</t>
        </is>
      </c>
      <c r="G387" t="inlineStr">
        <is>
          <t>HÄRNÖSAND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46241</v>
      </c>
      <c r="F388" t="inlineStr">
        <is>
          <t>VÄSTERNORRLANDS LÄN</t>
        </is>
      </c>
      <c r="G388" t="inlineStr">
        <is>
          <t>HÄRNÖSAND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46241</v>
      </c>
      <c r="F389" t="inlineStr">
        <is>
          <t>VÄSTERNORRLANDS LÄN</t>
        </is>
      </c>
      <c r="G389" t="inlineStr">
        <is>
          <t>HÄRNÖSAND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46045</v>
      </c>
      <c r="E390" s="1" t="n">
        <v>46241</v>
      </c>
      <c r="F390" t="inlineStr">
        <is>
          <t>VÄSTERNORRLANDS LÄN</t>
        </is>
      </c>
      <c r="G390" t="inlineStr">
        <is>
          <t>HÄRNÖSAND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45595</v>
      </c>
      <c r="E391" s="1" t="n">
        <v>46241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45595</v>
      </c>
      <c r="E392" s="1" t="n">
        <v>46241</v>
      </c>
      <c r="F392" t="inlineStr">
        <is>
          <t>VÄSTERNORRLANDS LÄN</t>
        </is>
      </c>
      <c r="G392" t="inlineStr">
        <is>
          <t>HÄRNÖSAND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54091-2024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45616</v>
      </c>
      <c r="E393" s="1" t="n">
        <v>46241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46241</v>
      </c>
      <c r="F394" t="inlineStr">
        <is>
          <t>VÄSTERNORRLANDS LÄN</t>
        </is>
      </c>
      <c r="G394" t="inlineStr">
        <is>
          <t>HÄRNÖSAND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46241</v>
      </c>
      <c r="F395" t="inlineStr">
        <is>
          <t>VÄSTERNORRLANDS LÄN</t>
        </is>
      </c>
      <c r="G395" t="inlineStr">
        <is>
          <t>HÄRNÖSAND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46241</v>
      </c>
      <c r="F396" t="inlineStr">
        <is>
          <t>VÄSTERNORRLANDS LÄN</t>
        </is>
      </c>
      <c r="G396" t="inlineStr">
        <is>
          <t>HÄRNÖSAND</t>
        </is>
      </c>
      <c r="I396" t="n">
        <v>14.6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46241</v>
      </c>
      <c r="F397" t="inlineStr">
        <is>
          <t>VÄSTERNORRLANDS LÄN</t>
        </is>
      </c>
      <c r="G397" t="inlineStr">
        <is>
          <t>HÄRNÖSAND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30413-2026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46241</v>
      </c>
      <c r="F398" t="inlineStr">
        <is>
          <t>VÄSTERNORRLANDS LÄN</t>
        </is>
      </c>
      <c r="G398" t="inlineStr">
        <is>
          <t>HÄRNÖSAND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16979-2022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44676</v>
      </c>
      <c r="E399" s="1" t="n">
        <v>46241</v>
      </c>
      <c r="F399" t="inlineStr">
        <is>
          <t>VÄSTERNORRLANDS LÄN</t>
        </is>
      </c>
      <c r="G399" t="inlineStr">
        <is>
          <t>HÄRNÖSAND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46241</v>
      </c>
      <c r="F400" t="inlineStr">
        <is>
          <t>VÄSTERNORRLANDS LÄN</t>
        </is>
      </c>
      <c r="G400" t="inlineStr">
        <is>
          <t>HÄRNÖSAND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46241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46054</v>
      </c>
      <c r="E402" s="1" t="n">
        <v>46241</v>
      </c>
      <c r="F402" t="inlineStr">
        <is>
          <t>VÄSTERNORRLANDS LÄN</t>
        </is>
      </c>
      <c r="G402" t="inlineStr">
        <is>
          <t>HÄRNÖSAND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46241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46241</v>
      </c>
      <c r="F404" t="inlineStr">
        <is>
          <t>VÄSTERNORRLANDS LÄN</t>
        </is>
      </c>
      <c r="G404" t="inlineStr">
        <is>
          <t>HÄRNÖSAND</t>
        </is>
      </c>
      <c r="I404" t="n">
        <v>12.3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46241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46241</v>
      </c>
      <c r="F406" t="inlineStr">
        <is>
          <t>VÄSTERNORRLANDS LÄN</t>
        </is>
      </c>
      <c r="G406" t="inlineStr">
        <is>
          <t>HÄRNÖSAND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19827-2022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46241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45638</v>
      </c>
      <c r="E408" s="1" t="n">
        <v>46241</v>
      </c>
      <c r="F408" t="inlineStr">
        <is>
          <t>VÄSTERNORRLANDS LÄN</t>
        </is>
      </c>
      <c r="G408" t="inlineStr">
        <is>
          <t>HÄRNÖSAND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46241</v>
      </c>
      <c r="F409" t="inlineStr">
        <is>
          <t>VÄSTERNORRLANDS LÄN</t>
        </is>
      </c>
      <c r="G409" t="inlineStr">
        <is>
          <t>HÄRNÖSAND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46241</v>
      </c>
      <c r="F410" t="inlineStr">
        <is>
          <t>VÄSTERNORRLANDS LÄN</t>
        </is>
      </c>
      <c r="G410" t="inlineStr">
        <is>
          <t>HÄRNÖSAND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45762</v>
      </c>
      <c r="E411" s="1" t="n">
        <v>46241</v>
      </c>
      <c r="F411" t="inlineStr">
        <is>
          <t>VÄSTERNORRLANDS LÄN</t>
        </is>
      </c>
      <c r="G411" t="inlineStr">
        <is>
          <t>HÄRNÖSAND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46241</v>
      </c>
      <c r="F412" t="inlineStr">
        <is>
          <t>VÄSTERNORRLANDS LÄN</t>
        </is>
      </c>
      <c r="G412" t="inlineStr">
        <is>
          <t>HÄRNÖSAND</t>
        </is>
      </c>
      <c r="I412" t="n">
        <v>13.8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46241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9727-2022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44617</v>
      </c>
      <c r="E414" s="1" t="n">
        <v>46241</v>
      </c>
      <c r="F414" t="inlineStr">
        <is>
          <t>VÄSTERNORRLANDS LÄN</t>
        </is>
      </c>
      <c r="G414" t="inlineStr">
        <is>
          <t>HÄRNÖSAND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45428</v>
      </c>
      <c r="E415" s="1" t="n">
        <v>46241</v>
      </c>
      <c r="F415" t="inlineStr">
        <is>
          <t>VÄSTERNORRLANDS LÄN</t>
        </is>
      </c>
      <c r="G415" t="inlineStr">
        <is>
          <t>HÄRNÖSAND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45163</v>
      </c>
      <c r="E416" s="1" t="n">
        <v>46241</v>
      </c>
      <c r="F416" t="inlineStr">
        <is>
          <t>VÄSTERNORRLANDS LÄN</t>
        </is>
      </c>
      <c r="G416" t="inlineStr">
        <is>
          <t>HÄRNÖSAND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46241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Kyrkan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46241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Kyrkan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45152</v>
      </c>
      <c r="E419" s="1" t="n">
        <v>46241</v>
      </c>
      <c r="F419" t="inlineStr">
        <is>
          <t>VÄSTERNORRLANDS LÄN</t>
        </is>
      </c>
      <c r="G419" t="inlineStr">
        <is>
          <t>HÄRNÖSAND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46241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Kyrkan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44858</v>
      </c>
      <c r="E421" s="1" t="n">
        <v>46241</v>
      </c>
      <c r="F421" t="inlineStr">
        <is>
          <t>VÄSTERNORRLANDS LÄN</t>
        </is>
      </c>
      <c r="G421" t="inlineStr">
        <is>
          <t>HÄRNÖSAND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46241</v>
      </c>
      <c r="F422" t="inlineStr">
        <is>
          <t>VÄSTERNORRLANDS LÄN</t>
        </is>
      </c>
      <c r="G422" t="inlineStr">
        <is>
          <t>HÄRNÖSAND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8421-2026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46241</v>
      </c>
      <c r="F423" t="inlineStr">
        <is>
          <t>VÄSTERNORRLANDS LÄN</t>
        </is>
      </c>
      <c r="G423" t="inlineStr">
        <is>
          <t>HÄRNÖSAND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9161-2026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46241</v>
      </c>
      <c r="F424" t="inlineStr">
        <is>
          <t>VÄSTERNORRLANDS LÄN</t>
        </is>
      </c>
      <c r="G424" t="inlineStr">
        <is>
          <t>HÄRNÖSAND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46241</v>
      </c>
      <c r="F425" t="inlineStr">
        <is>
          <t>VÄSTERNORRLANDS LÄN</t>
        </is>
      </c>
      <c r="G425" t="inlineStr">
        <is>
          <t>HÄRNÖSAND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46241</v>
      </c>
      <c r="F426" t="inlineStr">
        <is>
          <t>VÄSTERNORRLANDS LÄN</t>
        </is>
      </c>
      <c r="G426" t="inlineStr">
        <is>
          <t>HÄRNÖSAND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46241</v>
      </c>
      <c r="F427" t="inlineStr">
        <is>
          <t>VÄSTERNORRLANDS LÄN</t>
        </is>
      </c>
      <c r="G427" t="inlineStr">
        <is>
          <t>HÄRNÖSAND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46241</v>
      </c>
      <c r="F428" t="inlineStr">
        <is>
          <t>VÄSTERNORRLANDS LÄN</t>
        </is>
      </c>
      <c r="G428" t="inlineStr">
        <is>
          <t>HÄRNÖSAND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9804-2026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46241</v>
      </c>
      <c r="F429" t="inlineStr">
        <is>
          <t>VÄSTERNORRLANDS LÄN</t>
        </is>
      </c>
      <c r="G429" t="inlineStr">
        <is>
          <t>HÄRNÖSAND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46241</v>
      </c>
      <c r="F430" t="inlineStr">
        <is>
          <t>VÄSTERNORRLANDS LÄN</t>
        </is>
      </c>
      <c r="G430" t="inlineStr">
        <is>
          <t>HÄRNÖSAND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46241</v>
      </c>
      <c r="F431" t="inlineStr">
        <is>
          <t>VÄSTERNORRLANDS LÄN</t>
        </is>
      </c>
      <c r="G431" t="inlineStr">
        <is>
          <t>HÄRNÖSAND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46165</v>
      </c>
      <c r="E432" s="1" t="n">
        <v>46241</v>
      </c>
      <c r="F432" t="inlineStr">
        <is>
          <t>VÄSTERNORRLANDS LÄN</t>
        </is>
      </c>
      <c r="G432" t="inlineStr">
        <is>
          <t>HÄRNÖSAND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46241</v>
      </c>
      <c r="F433" t="inlineStr">
        <is>
          <t>VÄSTERNORRLANDS LÄN</t>
        </is>
      </c>
      <c r="G433" t="inlineStr">
        <is>
          <t>HÄRNÖSAND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46241</v>
      </c>
      <c r="F434" t="inlineStr">
        <is>
          <t>VÄSTERNORRLANDS LÄN</t>
        </is>
      </c>
      <c r="G434" t="inlineStr">
        <is>
          <t>HÄRNÖSAND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46241</v>
      </c>
      <c r="F435" t="inlineStr">
        <is>
          <t>VÄSTERNORRLANDS LÄN</t>
        </is>
      </c>
      <c r="G435" t="inlineStr">
        <is>
          <t>HÄRNÖSAND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46241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46213</v>
      </c>
      <c r="E437" s="1" t="n">
        <v>46241</v>
      </c>
      <c r="F437" t="inlineStr">
        <is>
          <t>VÄSTERNORRLANDS LÄN</t>
        </is>
      </c>
      <c r="G437" t="inlineStr">
        <is>
          <t>HÄRNÖSAND</t>
        </is>
      </c>
      <c r="I437" t="n">
        <v>13.6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44706</v>
      </c>
      <c r="E438" s="1" t="n">
        <v>46241</v>
      </c>
      <c r="F438" t="inlineStr">
        <is>
          <t>VÄSTERNORRLANDS LÄN</t>
        </is>
      </c>
      <c r="G438" t="inlineStr">
        <is>
          <t>HÄRNÖSAND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46241</v>
      </c>
      <c r="F439" t="inlineStr">
        <is>
          <t>VÄSTERNORRLANDS LÄN</t>
        </is>
      </c>
      <c r="G439" t="inlineStr">
        <is>
          <t>HÄRNÖSAND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46241</v>
      </c>
      <c r="F440" t="inlineStr">
        <is>
          <t>VÄSTERNORRLANDS LÄN</t>
        </is>
      </c>
      <c r="G440" t="inlineStr">
        <is>
          <t>HÄRNÖSAND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44728</v>
      </c>
      <c r="E441" s="1" t="n">
        <v>46241</v>
      </c>
      <c r="F441" t="inlineStr">
        <is>
          <t>VÄSTERNORRLANDS LÄN</t>
        </is>
      </c>
      <c r="G441" t="inlineStr">
        <is>
          <t>HÄRNÖSAND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46241</v>
      </c>
      <c r="F442" t="inlineStr">
        <is>
          <t>VÄSTERNORRLANDS LÄN</t>
        </is>
      </c>
      <c r="G442" t="inlineStr">
        <is>
          <t>HÄRNÖSAND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11202-2026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46080</v>
      </c>
      <c r="E443" s="1" t="n">
        <v>46241</v>
      </c>
      <c r="F443" t="inlineStr">
        <is>
          <t>VÄSTERNORRLANDS LÄN</t>
        </is>
      </c>
      <c r="G443" t="inlineStr">
        <is>
          <t>HÄRNÖSAND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46213</v>
      </c>
      <c r="E444" s="1" t="n">
        <v>46241</v>
      </c>
      <c r="F444" t="inlineStr">
        <is>
          <t>VÄSTERNORRLANDS LÄN</t>
        </is>
      </c>
      <c r="G444" t="inlineStr">
        <is>
          <t>HÄRNÖSAND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46215</v>
      </c>
      <c r="E445" s="1" t="n">
        <v>46241</v>
      </c>
      <c r="F445" t="inlineStr">
        <is>
          <t>VÄSTERNORRLANDS LÄN</t>
        </is>
      </c>
      <c r="G445" t="inlineStr">
        <is>
          <t>HÄRNÖSAND</t>
        </is>
      </c>
      <c r="I445" t="n">
        <v>12.7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31050-2026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46215</v>
      </c>
      <c r="E446" s="1" t="n">
        <v>46241</v>
      </c>
      <c r="F446" t="inlineStr">
        <is>
          <t>VÄSTERNORRLANDS LÄN</t>
        </is>
      </c>
      <c r="G446" t="inlineStr">
        <is>
          <t>HÄRNÖSAND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46241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46241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46064</v>
      </c>
      <c r="E449" s="1" t="n">
        <v>46241</v>
      </c>
      <c r="F449" t="inlineStr">
        <is>
          <t>VÄSTERNORRLANDS LÄN</t>
        </is>
      </c>
      <c r="G449" t="inlineStr">
        <is>
          <t>HÄRNÖSAND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46241</v>
      </c>
      <c r="F450" t="inlineStr">
        <is>
          <t>VÄSTERNORRLANDS LÄN</t>
        </is>
      </c>
      <c r="G450" t="inlineStr">
        <is>
          <t>HÄRNÖSAND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25007-2022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44728</v>
      </c>
      <c r="E451" s="1" t="n">
        <v>46241</v>
      </c>
      <c r="F451" t="inlineStr">
        <is>
          <t>VÄSTERNORRLANDS LÄN</t>
        </is>
      </c>
      <c r="G451" t="inlineStr">
        <is>
          <t>HÄRNÖSAND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46241</v>
      </c>
      <c r="F452" t="inlineStr">
        <is>
          <t>VÄSTERNORRLANDS LÄN</t>
        </is>
      </c>
      <c r="G452" t="inlineStr">
        <is>
          <t>HÄRNÖSAND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46241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Övriga statliga verk och myndigheter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45735-2023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46241</v>
      </c>
      <c r="F454" t="inlineStr">
        <is>
          <t>VÄSTERNORRLANDS LÄN</t>
        </is>
      </c>
      <c r="G454" t="inlineStr">
        <is>
          <t>HÄRNÖSAND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12650-2026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46091</v>
      </c>
      <c r="E455" s="1" t="n">
        <v>46241</v>
      </c>
      <c r="F455" t="inlineStr">
        <is>
          <t>VÄSTERNORRLANDS LÄN</t>
        </is>
      </c>
      <c r="G455" t="inlineStr">
        <is>
          <t>HÄRNÖSAND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46241</v>
      </c>
      <c r="F456" t="inlineStr">
        <is>
          <t>VÄSTERNORRLANDS LÄN</t>
        </is>
      </c>
      <c r="G456" t="inlineStr">
        <is>
          <t>HÄRNÖSAND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46241</v>
      </c>
      <c r="F457" t="inlineStr">
        <is>
          <t>VÄSTERNORRLANDS LÄN</t>
        </is>
      </c>
      <c r="G457" t="inlineStr">
        <is>
          <t>HÄRNÖSAND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45699</v>
      </c>
      <c r="E458" s="1" t="n">
        <v>46241</v>
      </c>
      <c r="F458" t="inlineStr">
        <is>
          <t>VÄSTERNORRLANDS LÄN</t>
        </is>
      </c>
      <c r="G458" t="inlineStr">
        <is>
          <t>HÄRNÖSAND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46241</v>
      </c>
      <c r="F459" t="inlineStr">
        <is>
          <t>VÄSTERNORRLANDS LÄN</t>
        </is>
      </c>
      <c r="G459" t="inlineStr">
        <is>
          <t>HÄRNÖSAND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40232-2023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46241</v>
      </c>
      <c r="F460" t="inlineStr">
        <is>
          <t>VÄSTERNORRLANDS LÄN</t>
        </is>
      </c>
      <c r="G460" t="inlineStr">
        <is>
          <t>HÄRNÖSAND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46091</v>
      </c>
      <c r="E461" s="1" t="n">
        <v>46241</v>
      </c>
      <c r="F461" t="inlineStr">
        <is>
          <t>VÄSTERNORRLANDS LÄN</t>
        </is>
      </c>
      <c r="G461" t="inlineStr">
        <is>
          <t>HÄRNÖSAND</t>
        </is>
      </c>
      <c r="I461" t="n">
        <v>9.9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46241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46241</v>
      </c>
      <c r="F463" t="inlineStr">
        <is>
          <t>VÄSTERNORRLANDS LÄN</t>
        </is>
      </c>
      <c r="G463" t="inlineStr">
        <is>
          <t>HÄRNÖSAND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46241</v>
      </c>
      <c r="F464" t="inlineStr">
        <is>
          <t>VÄSTERNORRLANDS LÄN</t>
        </is>
      </c>
      <c r="G464" t="inlineStr">
        <is>
          <t>HÄRNÖSAND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46241</v>
      </c>
      <c r="F465" t="inlineStr">
        <is>
          <t>VÄSTERNORRLANDS LÄN</t>
        </is>
      </c>
      <c r="G465" t="inlineStr">
        <is>
          <t>HÄRNÖSAND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46241</v>
      </c>
      <c r="F466" t="inlineStr">
        <is>
          <t>VÄSTERNORRLANDS LÄN</t>
        </is>
      </c>
      <c r="G466" t="inlineStr">
        <is>
          <t>HÄRNÖSAND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24452-2022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44726</v>
      </c>
      <c r="E467" s="1" t="n">
        <v>46241</v>
      </c>
      <c r="F467" t="inlineStr">
        <is>
          <t>VÄSTERNORRLANDS LÄN</t>
        </is>
      </c>
      <c r="G467" t="inlineStr">
        <is>
          <t>HÄRNÖSAND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46241</v>
      </c>
      <c r="F468" t="inlineStr">
        <is>
          <t>VÄSTERNORRLANDS LÄN</t>
        </is>
      </c>
      <c r="G468" t="inlineStr">
        <is>
          <t>HÄRNÖSAND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45723</v>
      </c>
      <c r="E469" s="1" t="n">
        <v>46241</v>
      </c>
      <c r="F469" t="inlineStr">
        <is>
          <t>VÄSTERNORRLANDS LÄN</t>
        </is>
      </c>
      <c r="G469" t="inlineStr">
        <is>
          <t>HÄRNÖSAND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13459-2026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46241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46241</v>
      </c>
      <c r="F471" t="inlineStr">
        <is>
          <t>VÄSTERNORRLANDS LÄN</t>
        </is>
      </c>
      <c r="G471" t="inlineStr">
        <is>
          <t>HÄRNÖSAND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46241</v>
      </c>
      <c r="F472" t="inlineStr">
        <is>
          <t>VÄSTERNORRLANDS LÄN</t>
        </is>
      </c>
      <c r="G472" t="inlineStr">
        <is>
          <t>HÄRNÖSAND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46241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46241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46241</v>
      </c>
      <c r="F475" t="inlineStr">
        <is>
          <t>VÄSTERNORRLANDS LÄN</t>
        </is>
      </c>
      <c r="G475" t="inlineStr">
        <is>
          <t>HÄRNÖSAND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46241</v>
      </c>
      <c r="F476" t="inlineStr">
        <is>
          <t>VÄSTERNORRLANDS LÄN</t>
        </is>
      </c>
      <c r="G476" t="inlineStr">
        <is>
          <t>HÄRNÖSAND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46177</v>
      </c>
      <c r="E477" s="1" t="n">
        <v>46241</v>
      </c>
      <c r="F477" t="inlineStr">
        <is>
          <t>VÄSTERNORRLANDS LÄN</t>
        </is>
      </c>
      <c r="G477" t="inlineStr">
        <is>
          <t>HÄRNÖSAND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59155-2023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45251</v>
      </c>
      <c r="E478" s="1" t="n">
        <v>46241</v>
      </c>
      <c r="F478" t="inlineStr">
        <is>
          <t>VÄSTERNORRLANDS LÄN</t>
        </is>
      </c>
      <c r="G478" t="inlineStr">
        <is>
          <t>HÄRNÖSAND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14665-2026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46241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16.2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7852-2024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45350</v>
      </c>
      <c r="E480" s="1" t="n">
        <v>46241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45293</v>
      </c>
      <c r="E481" s="1" t="n">
        <v>46241</v>
      </c>
      <c r="F481" t="inlineStr">
        <is>
          <t>VÄSTERNORRLANDS LÄN</t>
        </is>
      </c>
      <c r="G481" t="inlineStr">
        <is>
          <t>HÄRNÖSAND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45320</v>
      </c>
      <c r="E482" s="1" t="n">
        <v>46241</v>
      </c>
      <c r="F482" t="inlineStr">
        <is>
          <t>VÄSTERNORRLANDS LÄN</t>
        </is>
      </c>
      <c r="G482" t="inlineStr">
        <is>
          <t>HÄRNÖSAND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46241</v>
      </c>
      <c r="F483" t="inlineStr">
        <is>
          <t>VÄSTERNORRLANDS LÄN</t>
        </is>
      </c>
      <c r="G483" t="inlineStr">
        <is>
          <t>HÄRNÖSAND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46241</v>
      </c>
      <c r="F484" t="inlineStr">
        <is>
          <t>VÄSTERNORRLANDS LÄN</t>
        </is>
      </c>
      <c r="G484" t="inlineStr">
        <is>
          <t>HÄRNÖSAND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46219</v>
      </c>
      <c r="E485" s="1" t="n">
        <v>46241</v>
      </c>
      <c r="F485" t="inlineStr">
        <is>
          <t>VÄSTERNORRLANDS LÄN</t>
        </is>
      </c>
      <c r="G485" t="inlineStr">
        <is>
          <t>HÄRNÖSAND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46241</v>
      </c>
      <c r="F486" t="inlineStr">
        <is>
          <t>VÄSTERNORRLANDS LÄN</t>
        </is>
      </c>
      <c r="G486" t="inlineStr">
        <is>
          <t>HÄRNÖSAND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46241</v>
      </c>
      <c r="F487" t="inlineStr">
        <is>
          <t>VÄSTERNORRLANDS LÄN</t>
        </is>
      </c>
      <c r="G487" t="inlineStr">
        <is>
          <t>HÄRNÖSAND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46241</v>
      </c>
      <c r="F488" t="inlineStr">
        <is>
          <t>VÄSTERNORRLANDS LÄN</t>
        </is>
      </c>
      <c r="G488" t="inlineStr">
        <is>
          <t>HÄRNÖSAND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46241</v>
      </c>
      <c r="F489" t="inlineStr">
        <is>
          <t>VÄSTERNORRLANDS LÄN</t>
        </is>
      </c>
      <c r="G489" t="inlineStr">
        <is>
          <t>HÄRNÖSAND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15137-2026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46241</v>
      </c>
      <c r="F490" t="inlineStr">
        <is>
          <t>VÄSTERNORRLANDS LÄN</t>
        </is>
      </c>
      <c r="G490" t="inlineStr">
        <is>
          <t>HÄRNÖSAND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44747</v>
      </c>
      <c r="E491" s="1" t="n">
        <v>46241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46241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7793-2024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45348</v>
      </c>
      <c r="E493" s="1" t="n">
        <v>46241</v>
      </c>
      <c r="F493" t="inlineStr">
        <is>
          <t>VÄSTERNORRLANDS LÄN</t>
        </is>
      </c>
      <c r="G493" t="inlineStr">
        <is>
          <t>HÄRNÖSAND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23547-2023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46241</v>
      </c>
      <c r="F494" t="inlineStr">
        <is>
          <t>VÄSTERNORRLANDS LÄN</t>
        </is>
      </c>
      <c r="G494" t="inlineStr">
        <is>
          <t>HÄRNÖSAND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15921-2026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46241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46241</v>
      </c>
      <c r="F496" t="inlineStr">
        <is>
          <t>VÄSTERNORRLANDS LÄN</t>
        </is>
      </c>
      <c r="G496" t="inlineStr">
        <is>
          <t>HÄRNÖSAND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46241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45313</v>
      </c>
      <c r="E498" s="1" t="n">
        <v>46241</v>
      </c>
      <c r="F498" t="inlineStr">
        <is>
          <t>VÄSTERNORRLANDS LÄN</t>
        </is>
      </c>
      <c r="G498" t="inlineStr">
        <is>
          <t>HÄRNÖSAND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46241</v>
      </c>
      <c r="F499" t="inlineStr">
        <is>
          <t>VÄSTERNORRLANDS LÄN</t>
        </is>
      </c>
      <c r="G499" t="inlineStr">
        <is>
          <t>HÄRNÖSAND</t>
        </is>
      </c>
      <c r="I499" t="n">
        <v>8.4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46241</v>
      </c>
      <c r="F500" t="inlineStr">
        <is>
          <t>VÄSTERNORRLANDS LÄN</t>
        </is>
      </c>
      <c r="G500" t="inlineStr">
        <is>
          <t>HÄRNÖSAND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46219</v>
      </c>
      <c r="E501" s="1" t="n">
        <v>46241</v>
      </c>
      <c r="F501" t="inlineStr">
        <is>
          <t>VÄSTERNORRLANDS LÄN</t>
        </is>
      </c>
      <c r="G501" t="inlineStr">
        <is>
          <t>HÄRNÖSAND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44853</v>
      </c>
      <c r="E502" s="1" t="n">
        <v>46241</v>
      </c>
      <c r="F502" t="inlineStr">
        <is>
          <t>VÄSTERNORRLANDS LÄN</t>
        </is>
      </c>
      <c r="G502" t="inlineStr">
        <is>
          <t>HÄRNÖSAND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46219</v>
      </c>
      <c r="E503" s="1" t="n">
        <v>46241</v>
      </c>
      <c r="F503" t="inlineStr">
        <is>
          <t>VÄSTERNORRLANDS LÄN</t>
        </is>
      </c>
      <c r="G503" t="inlineStr">
        <is>
          <t>HÄRNÖSAND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46241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46241</v>
      </c>
      <c r="F505" t="inlineStr">
        <is>
          <t>VÄSTERNORRLANDS LÄN</t>
        </is>
      </c>
      <c r="G505" t="inlineStr">
        <is>
          <t>HÄRNÖSAND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46241</v>
      </c>
      <c r="F506" t="inlineStr">
        <is>
          <t>VÄSTERNORRLANDS LÄN</t>
        </is>
      </c>
      <c r="G506" t="inlineStr">
        <is>
          <t>HÄRNÖSAND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45757</v>
      </c>
      <c r="E507" s="1" t="n">
        <v>46241</v>
      </c>
      <c r="F507" t="inlineStr">
        <is>
          <t>VÄSTERNORRLANDS LÄN</t>
        </is>
      </c>
      <c r="G507" t="inlineStr">
        <is>
          <t>HÄRNÖSAND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46241</v>
      </c>
      <c r="F508" t="inlineStr">
        <is>
          <t>VÄSTERNORRLANDS LÄN</t>
        </is>
      </c>
      <c r="G508" t="inlineStr">
        <is>
          <t>HÄRNÖSAND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34513-2022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44792</v>
      </c>
      <c r="E509" s="1" t="n">
        <v>46241</v>
      </c>
      <c r="F509" t="inlineStr">
        <is>
          <t>VÄSTERNORRLANDS LÄN</t>
        </is>
      </c>
      <c r="G509" t="inlineStr">
        <is>
          <t>HÄRNÖSAND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46241</v>
      </c>
      <c r="F510" t="inlineStr">
        <is>
          <t>VÄSTERNORRLANDS LÄN</t>
        </is>
      </c>
      <c r="G510" t="inlineStr">
        <is>
          <t>HÄRNÖSAND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12675-2025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46241</v>
      </c>
      <c r="F511" t="inlineStr">
        <is>
          <t>VÄSTERNORRLANDS LÄN</t>
        </is>
      </c>
      <c r="G511" t="inlineStr">
        <is>
          <t>HÄRNÖSAND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45496</v>
      </c>
      <c r="E512" s="1" t="n">
        <v>46241</v>
      </c>
      <c r="F512" t="inlineStr">
        <is>
          <t>VÄSTERNORRLANDS LÄN</t>
        </is>
      </c>
      <c r="G512" t="inlineStr">
        <is>
          <t>HÄRNÖSAND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45352</v>
      </c>
      <c r="E513" s="1" t="n">
        <v>46241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46241</v>
      </c>
      <c r="F514" t="inlineStr">
        <is>
          <t>VÄSTERNORRLANDS LÄN</t>
        </is>
      </c>
      <c r="G514" t="inlineStr">
        <is>
          <t>HÄRNÖSAND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64377-2023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45280</v>
      </c>
      <c r="E515" s="1" t="n">
        <v>46241</v>
      </c>
      <c r="F515" t="inlineStr">
        <is>
          <t>VÄSTERNORRLANDS LÄN</t>
        </is>
      </c>
      <c r="G515" t="inlineStr">
        <is>
          <t>HÄRNÖSAND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46241</v>
      </c>
      <c r="F516" t="inlineStr">
        <is>
          <t>VÄSTERNORRLANDS LÄN</t>
        </is>
      </c>
      <c r="G516" t="inlineStr">
        <is>
          <t>HÄRNÖSAND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44875</v>
      </c>
      <c r="E517" s="1" t="n">
        <v>46241</v>
      </c>
      <c r="F517" t="inlineStr">
        <is>
          <t>VÄSTERNORRLANDS LÄN</t>
        </is>
      </c>
      <c r="G517" t="inlineStr">
        <is>
          <t>HÄRNÖSAND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45482</v>
      </c>
      <c r="E518" s="1" t="n">
        <v>46241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46241</v>
      </c>
      <c r="F519" t="inlineStr">
        <is>
          <t>VÄSTERNORRLANDS LÄN</t>
        </is>
      </c>
      <c r="G519" t="inlineStr">
        <is>
          <t>HÄRNÖSAND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45800</v>
      </c>
      <c r="E520" s="1" t="n">
        <v>46241</v>
      </c>
      <c r="F520" t="inlineStr">
        <is>
          <t>VÄSTERNORRLANDS LÄN</t>
        </is>
      </c>
      <c r="G520" t="inlineStr">
        <is>
          <t>HÄRNÖSAND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46241</v>
      </c>
      <c r="F521" t="inlineStr">
        <is>
          <t>VÄSTERNORRLANDS LÄN</t>
        </is>
      </c>
      <c r="G521" t="inlineStr">
        <is>
          <t>HÄRNÖSAND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46241</v>
      </c>
      <c r="F522" t="inlineStr">
        <is>
          <t>VÄSTERNORRLANDS LÄN</t>
        </is>
      </c>
      <c r="G522" t="inlineStr">
        <is>
          <t>HÄRNÖSAND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45496</v>
      </c>
      <c r="E523" s="1" t="n">
        <v>46241</v>
      </c>
      <c r="F523" t="inlineStr">
        <is>
          <t>VÄSTERNORRLANDS LÄN</t>
        </is>
      </c>
      <c r="G523" t="inlineStr">
        <is>
          <t>HÄRNÖSAND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46241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46241</v>
      </c>
      <c r="F525" t="inlineStr">
        <is>
          <t>VÄSTERNORRLANDS LÄN</t>
        </is>
      </c>
      <c r="G525" t="inlineStr">
        <is>
          <t>HÄRNÖSAND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46241</v>
      </c>
      <c r="F526" t="inlineStr">
        <is>
          <t>VÄSTERNORRLANDS LÄN</t>
        </is>
      </c>
      <c r="G526" t="inlineStr">
        <is>
          <t>HÄRNÖSAND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46241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46241</v>
      </c>
      <c r="F528" t="inlineStr">
        <is>
          <t>VÄSTERNORRLANDS LÄN</t>
        </is>
      </c>
      <c r="G528" t="inlineStr">
        <is>
          <t>HÄRNÖSAND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46241</v>
      </c>
      <c r="F529" t="inlineStr">
        <is>
          <t>VÄSTERNORRLANDS LÄN</t>
        </is>
      </c>
      <c r="G529" t="inlineStr">
        <is>
          <t>HÄRNÖSAND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46241</v>
      </c>
      <c r="F530" t="inlineStr">
        <is>
          <t>VÄSTERNORRLANDS LÄN</t>
        </is>
      </c>
      <c r="G530" t="inlineStr">
        <is>
          <t>HÄRNÖSAND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46241</v>
      </c>
      <c r="F531" t="inlineStr">
        <is>
          <t>VÄSTERNORRLANDS LÄN</t>
        </is>
      </c>
      <c r="G531" t="inlineStr">
        <is>
          <t>HÄRNÖSAND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46241</v>
      </c>
      <c r="F532" t="inlineStr">
        <is>
          <t>VÄSTERNORRLANDS LÄN</t>
        </is>
      </c>
      <c r="G532" t="inlineStr">
        <is>
          <t>HÄRNÖSAND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46189</v>
      </c>
      <c r="E533" s="1" t="n">
        <v>46241</v>
      </c>
      <c r="F533" t="inlineStr">
        <is>
          <t>VÄSTERNORRLANDS LÄN</t>
        </is>
      </c>
      <c r="G533" t="inlineStr">
        <is>
          <t>HÄRNÖSAND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59034-2022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44903</v>
      </c>
      <c r="E534" s="1" t="n">
        <v>46241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46189</v>
      </c>
      <c r="E535" s="1" t="n">
        <v>46241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44945</v>
      </c>
      <c r="E536" s="1" t="n">
        <v>46241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46241</v>
      </c>
      <c r="F537" t="inlineStr">
        <is>
          <t>VÄSTERNORRLANDS LÄN</t>
        </is>
      </c>
      <c r="G537" t="inlineStr">
        <is>
          <t>HÄRNÖSAND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46191</v>
      </c>
      <c r="E538" s="1" t="n">
        <v>46241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30711-2026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46211</v>
      </c>
      <c r="E539" s="1" t="n">
        <v>46241</v>
      </c>
      <c r="F539" t="inlineStr">
        <is>
          <t>VÄSTERNORRLANDS LÄN</t>
        </is>
      </c>
      <c r="G539" t="inlineStr">
        <is>
          <t>HÄRNÖSAND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45376</v>
      </c>
      <c r="E540" s="1" t="n">
        <v>46241</v>
      </c>
      <c r="F540" t="inlineStr">
        <is>
          <t>VÄSTERNORRLANDS LÄN</t>
        </is>
      </c>
      <c r="G540" t="inlineStr">
        <is>
          <t>HÄRNÖSAND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46150</v>
      </c>
      <c r="E541" s="1" t="n">
        <v>46241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46241</v>
      </c>
      <c r="F542" t="inlineStr">
        <is>
          <t>VÄSTERNORRLANDS LÄN</t>
        </is>
      </c>
      <c r="G542" t="inlineStr">
        <is>
          <t>HÄRNÖSAND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46241</v>
      </c>
      <c r="F543" t="inlineStr">
        <is>
          <t>VÄSTERNORRLANDS LÄN</t>
        </is>
      </c>
      <c r="G543" t="inlineStr">
        <is>
          <t>HÄRNÖSAND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46241</v>
      </c>
      <c r="F544" t="inlineStr">
        <is>
          <t>VÄSTERNORRLANDS LÄN</t>
        </is>
      </c>
      <c r="G544" t="inlineStr">
        <is>
          <t>HÄRNÖSAND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46241</v>
      </c>
      <c r="F545" t="inlineStr">
        <is>
          <t>VÄSTERNORRLANDS LÄN</t>
        </is>
      </c>
      <c r="G545" t="inlineStr">
        <is>
          <t>HÄRNÖSAND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46241</v>
      </c>
      <c r="F546" t="inlineStr">
        <is>
          <t>VÄSTERNORRLANDS LÄN</t>
        </is>
      </c>
      <c r="G546" t="inlineStr">
        <is>
          <t>HÄRNÖSAND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56165-2022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44889</v>
      </c>
      <c r="E547" s="1" t="n">
        <v>46241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65224-2023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45289</v>
      </c>
      <c r="E548" s="1" t="n">
        <v>46241</v>
      </c>
      <c r="F548" t="inlineStr">
        <is>
          <t>VÄSTERNORRLANDS LÄN</t>
        </is>
      </c>
      <c r="G548" t="inlineStr">
        <is>
          <t>HÄRNÖSAND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45687-2022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44845</v>
      </c>
      <c r="E549" s="1" t="n">
        <v>46241</v>
      </c>
      <c r="F549" t="inlineStr">
        <is>
          <t>VÄSTERNORRLANDS LÄN</t>
        </is>
      </c>
      <c r="G549" t="inlineStr">
        <is>
          <t>HÄRNÖSAND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32293-2026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46237</v>
      </c>
      <c r="E550" s="1" t="n">
        <v>46241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22875-2023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45072</v>
      </c>
      <c r="E551" s="1" t="n">
        <v>46241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Kyrkan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46241</v>
      </c>
      <c r="F552" t="inlineStr">
        <is>
          <t>VÄSTERNORRLANDS LÄN</t>
        </is>
      </c>
      <c r="G552" t="inlineStr">
        <is>
          <t>HÄRNÖSAND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46241</v>
      </c>
      <c r="F553" t="inlineStr">
        <is>
          <t>VÄSTERNORRLANDS LÄN</t>
        </is>
      </c>
      <c r="G553" t="inlineStr">
        <is>
          <t>HÄRNÖSAND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46241</v>
      </c>
      <c r="F554" t="inlineStr">
        <is>
          <t>VÄSTERNORRLANDS LÄN</t>
        </is>
      </c>
      <c r="G554" t="inlineStr">
        <is>
          <t>HÄRNÖSAND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46239</v>
      </c>
      <c r="E555" s="1" t="n">
        <v>46241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45194</v>
      </c>
      <c r="E556" s="1" t="n">
        <v>46241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65222-2023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45289</v>
      </c>
      <c r="E557" s="1" t="n">
        <v>46241</v>
      </c>
      <c r="F557" t="inlineStr">
        <is>
          <t>VÄSTERNORRLANDS LÄN</t>
        </is>
      </c>
      <c r="G557" t="inlineStr">
        <is>
          <t>HÄRNÖSAND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46241</v>
      </c>
      <c r="F558" t="inlineStr">
        <is>
          <t>VÄSTERNORRLANDS LÄN</t>
        </is>
      </c>
      <c r="G558" t="inlineStr">
        <is>
          <t>HÄRNÖSAND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45476</v>
      </c>
      <c r="E559" s="1" t="n">
        <v>46241</v>
      </c>
      <c r="F559" t="inlineStr">
        <is>
          <t>VÄSTERNORRLANDS LÄN</t>
        </is>
      </c>
      <c r="G559" t="inlineStr">
        <is>
          <t>HÄRNÖSAND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13611-2023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45006</v>
      </c>
      <c r="E560" s="1" t="n">
        <v>46241</v>
      </c>
      <c r="F560" t="inlineStr">
        <is>
          <t>VÄSTERNORRLANDS LÄN</t>
        </is>
      </c>
      <c r="G560" t="inlineStr">
        <is>
          <t>HÄRNÖSAND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45800</v>
      </c>
      <c r="E561" s="1" t="n">
        <v>46241</v>
      </c>
      <c r="F561" t="inlineStr">
        <is>
          <t>VÄSTERNORRLANDS LÄN</t>
        </is>
      </c>
      <c r="G561" t="inlineStr">
        <is>
          <t>HÄRNÖSAND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46241</v>
      </c>
      <c r="F562" t="inlineStr">
        <is>
          <t>VÄSTERNORRLANDS LÄN</t>
        </is>
      </c>
      <c r="G562" t="inlineStr">
        <is>
          <t>HÄRNÖSAND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17431-2023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45035</v>
      </c>
      <c r="E563" s="1" t="n">
        <v>46241</v>
      </c>
      <c r="F563" t="inlineStr">
        <is>
          <t>VÄSTERNORRLANDS LÄN</t>
        </is>
      </c>
      <c r="G563" t="inlineStr">
        <is>
          <t>HÄRNÖSAND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44987</v>
      </c>
      <c r="E564" s="1" t="n">
        <v>46241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52237-2022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44869</v>
      </c>
      <c r="E565" s="1" t="n">
        <v>46241</v>
      </c>
      <c r="F565" t="inlineStr">
        <is>
          <t>VÄSTERNORRLANDS LÄN</t>
        </is>
      </c>
      <c r="G565" t="inlineStr">
        <is>
          <t>HÄRNÖSAND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14018-2024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46241</v>
      </c>
      <c r="F566" t="inlineStr">
        <is>
          <t>VÄSTERNORRLANDS LÄN</t>
        </is>
      </c>
      <c r="G566" t="inlineStr">
        <is>
          <t>HÄRNÖSAND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45000</v>
      </c>
      <c r="E567" s="1" t="n">
        <v>46241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45000</v>
      </c>
      <c r="E568" s="1" t="n">
        <v>46241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58869-2023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45250</v>
      </c>
      <c r="E569" s="1" t="n">
        <v>46241</v>
      </c>
      <c r="F569" t="inlineStr">
        <is>
          <t>VÄSTERNORRLANDS LÄN</t>
        </is>
      </c>
      <c r="G569" t="inlineStr">
        <is>
          <t>HÄRNÖSAND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45044</v>
      </c>
      <c r="E570" s="1" t="n">
        <v>46241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45126</v>
      </c>
      <c r="E571" s="1" t="n">
        <v>46241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46241</v>
      </c>
      <c r="F572" t="inlineStr">
        <is>
          <t>VÄSTERNORRLANDS LÄN</t>
        </is>
      </c>
      <c r="G572" t="inlineStr">
        <is>
          <t>HÄRNÖSAND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46241</v>
      </c>
      <c r="F573" t="inlineStr">
        <is>
          <t>VÄSTERNORRLANDS LÄN</t>
        </is>
      </c>
      <c r="G573" t="inlineStr">
        <is>
          <t>HÄRNÖSAND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45921-2024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45580</v>
      </c>
      <c r="E574" s="1" t="n">
        <v>46241</v>
      </c>
      <c r="F574" t="inlineStr">
        <is>
          <t>VÄSTERNORRLANDS LÄN</t>
        </is>
      </c>
      <c r="G574" t="inlineStr">
        <is>
          <t>HÄRNÖSAND</t>
        </is>
      </c>
      <c r="I574" t="n">
        <v>14.2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46241</v>
      </c>
      <c r="F575" t="inlineStr">
        <is>
          <t>VÄSTERNORRLANDS LÄN</t>
        </is>
      </c>
      <c r="G575" t="inlineStr">
        <is>
          <t>HÄRNÖSAND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45251</v>
      </c>
      <c r="E576" s="1" t="n">
        <v>46241</v>
      </c>
      <c r="F576" t="inlineStr">
        <is>
          <t>VÄSTERNORRLANDS LÄN</t>
        </is>
      </c>
      <c r="G576" t="inlineStr">
        <is>
          <t>HÄRNÖSAND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45482</v>
      </c>
      <c r="E577" s="1" t="n">
        <v>46241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45769</v>
      </c>
      <c r="E578" s="1" t="n">
        <v>46241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46241</v>
      </c>
      <c r="F579" t="inlineStr">
        <is>
          <t>VÄSTERNORRLANDS LÄN</t>
        </is>
      </c>
      <c r="G579" t="inlineStr">
        <is>
          <t>HÄRNÖSAND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46241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11045-2025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45723</v>
      </c>
      <c r="E581" s="1" t="n">
        <v>46241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46241</v>
      </c>
      <c r="F582" t="inlineStr">
        <is>
          <t>VÄSTERNORRLANDS LÄN</t>
        </is>
      </c>
      <c r="G582" t="inlineStr">
        <is>
          <t>HÄRNÖSAND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48047-2022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44855</v>
      </c>
      <c r="E583" s="1" t="n">
        <v>46241</v>
      </c>
      <c r="F583" t="inlineStr">
        <is>
          <t>VÄSTERNORRLANDS LÄN</t>
        </is>
      </c>
      <c r="G583" t="inlineStr">
        <is>
          <t>HÄRNÖSAND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45629</v>
      </c>
      <c r="E584" s="1" t="n">
        <v>46241</v>
      </c>
      <c r="F584" t="inlineStr">
        <is>
          <t>VÄSTERNORRLANDS LÄN</t>
        </is>
      </c>
      <c r="G584" t="inlineStr">
        <is>
          <t>HÄRNÖSAND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46241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45500-2024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45578</v>
      </c>
      <c r="E586" s="1" t="n">
        <v>46241</v>
      </c>
      <c r="F586" t="inlineStr">
        <is>
          <t>VÄSTERNORRLANDS LÄN</t>
        </is>
      </c>
      <c r="G586" t="inlineStr">
        <is>
          <t>HÄRNÖSAND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45504-2024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45578</v>
      </c>
      <c r="E587" s="1" t="n">
        <v>46241</v>
      </c>
      <c r="F587" t="inlineStr">
        <is>
          <t>VÄSTERNORRLANDS LÄN</t>
        </is>
      </c>
      <c r="G587" t="inlineStr">
        <is>
          <t>HÄRNÖSAND</t>
        </is>
      </c>
      <c r="I587" t="n">
        <v>10.3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44951</v>
      </c>
      <c r="E588" s="1" t="n">
        <v>46241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46241</v>
      </c>
      <c r="F589" t="inlineStr">
        <is>
          <t>VÄSTERNORRLANDS LÄN</t>
        </is>
      </c>
      <c r="G589" t="inlineStr">
        <is>
          <t>HÄRNÖSAND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32418-2024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46241</v>
      </c>
      <c r="F590" t="inlineStr">
        <is>
          <t>VÄSTERNORRLANDS LÄN</t>
        </is>
      </c>
      <c r="G590" t="inlineStr">
        <is>
          <t>HÄRNÖSAND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51001-2022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44867</v>
      </c>
      <c r="E591" s="1" t="n">
        <v>46241</v>
      </c>
      <c r="F591" t="inlineStr">
        <is>
          <t>VÄSTERNORRLANDS LÄN</t>
        </is>
      </c>
      <c r="G591" t="inlineStr">
        <is>
          <t>HÄRNÖSAND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45729</v>
      </c>
      <c r="E592" s="1" t="n">
        <v>46241</v>
      </c>
      <c r="F592" t="inlineStr">
        <is>
          <t>VÄSTERNORRLANDS LÄN</t>
        </is>
      </c>
      <c r="G592" t="inlineStr">
        <is>
          <t>HÄRNÖSAND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45376</v>
      </c>
      <c r="E593" s="1" t="n">
        <v>46241</v>
      </c>
      <c r="F593" t="inlineStr">
        <is>
          <t>VÄSTERNORRLANDS LÄN</t>
        </is>
      </c>
      <c r="G593" t="inlineStr">
        <is>
          <t>HÄRNÖSAND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12497-2025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45730</v>
      </c>
      <c r="E594" s="1" t="n">
        <v>46241</v>
      </c>
      <c r="F594" t="inlineStr">
        <is>
          <t>VÄSTERNORRLANDS LÄN</t>
        </is>
      </c>
      <c r="G594" t="inlineStr">
        <is>
          <t>HÄRNÖSAND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45685</v>
      </c>
      <c r="E595" s="1" t="n">
        <v>46241</v>
      </c>
      <c r="F595" t="inlineStr">
        <is>
          <t>VÄSTERNORRLANDS LÄN</t>
        </is>
      </c>
      <c r="G595" t="inlineStr">
        <is>
          <t>HÄRNÖSAND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20822-2025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45776</v>
      </c>
      <c r="E596" s="1" t="n">
        <v>46241</v>
      </c>
      <c r="F596" t="inlineStr">
        <is>
          <t>VÄSTERNORRLANDS LÄN</t>
        </is>
      </c>
      <c r="G596" t="inlineStr">
        <is>
          <t>HÄRNÖSAND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20821-2025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46241</v>
      </c>
      <c r="F597" t="inlineStr">
        <is>
          <t>VÄSTERNORRLANDS LÄN</t>
        </is>
      </c>
      <c r="G597" t="inlineStr">
        <is>
          <t>HÄRNÖSAND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46241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32.1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21480-2025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45782</v>
      </c>
      <c r="E599" s="1" t="n">
        <v>46241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46241</v>
      </c>
      <c r="F600" t="inlineStr">
        <is>
          <t>VÄSTERNORRLANDS LÄN</t>
        </is>
      </c>
      <c r="G600" t="inlineStr">
        <is>
          <t>HÄRNÖSAND</t>
        </is>
      </c>
      <c r="I600" t="n">
        <v>15.6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45502-2024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45578</v>
      </c>
      <c r="E601" s="1" t="n">
        <v>46241</v>
      </c>
      <c r="F601" t="inlineStr">
        <is>
          <t>VÄSTERNORRLANDS LÄN</t>
        </is>
      </c>
      <c r="G601" t="inlineStr">
        <is>
          <t>HÄRNÖSAND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23290-2025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46241</v>
      </c>
      <c r="F602" t="inlineStr">
        <is>
          <t>VÄSTERNORRLANDS LÄN</t>
        </is>
      </c>
      <c r="G602" t="inlineStr">
        <is>
          <t>HÄRNÖSAND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46241</v>
      </c>
      <c r="F603" t="inlineStr">
        <is>
          <t>VÄSTERNORRLANDS LÄN</t>
        </is>
      </c>
      <c r="G603" t="inlineStr">
        <is>
          <t>HÄRNÖSAND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44590-2024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46241</v>
      </c>
      <c r="F604" t="inlineStr">
        <is>
          <t>VÄSTERNORRLANDS LÄN</t>
        </is>
      </c>
      <c r="G604" t="inlineStr">
        <is>
          <t>HÄRNÖSAND</t>
        </is>
      </c>
      <c r="I604" t="n">
        <v>11.9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19949-2024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45433</v>
      </c>
      <c r="E605" s="1" t="n">
        <v>46241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45351</v>
      </c>
      <c r="E606" s="1" t="n">
        <v>46241</v>
      </c>
      <c r="F606" t="inlineStr">
        <is>
          <t>VÄSTERNORRLANDS LÄN</t>
        </is>
      </c>
      <c r="G606" t="inlineStr">
        <is>
          <t>HÄRNÖSAND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44571</v>
      </c>
      <c r="E607" s="1" t="n">
        <v>46241</v>
      </c>
      <c r="F607" t="inlineStr">
        <is>
          <t>VÄSTERNORRLANDS LÄN</t>
        </is>
      </c>
      <c r="G607" t="inlineStr">
        <is>
          <t>HÄRNÖSAND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45585-2024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45579</v>
      </c>
      <c r="E608" s="1" t="n">
        <v>46241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45793</v>
      </c>
      <c r="E609" s="1" t="n">
        <v>46241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61944-2023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45266</v>
      </c>
      <c r="E610" s="1" t="n">
        <v>46241</v>
      </c>
      <c r="F610" t="inlineStr">
        <is>
          <t>VÄSTERNORRLANDS LÄN</t>
        </is>
      </c>
      <c r="G610" t="inlineStr">
        <is>
          <t>HÄRNÖSAND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32790-2024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45516</v>
      </c>
      <c r="E611" s="1" t="n">
        <v>46241</v>
      </c>
      <c r="F611" t="inlineStr">
        <is>
          <t>VÄSTERNORRLANDS LÄN</t>
        </is>
      </c>
      <c r="G611" t="inlineStr">
        <is>
          <t>HÄRNÖSAND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34745-2023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46241</v>
      </c>
      <c r="F612" t="inlineStr">
        <is>
          <t>VÄSTERNORRLANDS LÄN</t>
        </is>
      </c>
      <c r="G612" t="inlineStr">
        <is>
          <t>HÄRNÖSAND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55583-2021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44475</v>
      </c>
      <c r="E613" s="1" t="n">
        <v>46241</v>
      </c>
      <c r="F613" t="inlineStr">
        <is>
          <t>VÄSTERNORRLANDS LÄN</t>
        </is>
      </c>
      <c r="G613" t="inlineStr">
        <is>
          <t>HÄRNÖSAND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24955-2025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46241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25355-2025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45800</v>
      </c>
      <c r="E615" s="1" t="n">
        <v>46241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25541-2025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45803</v>
      </c>
      <c r="E616" s="1" t="n">
        <v>46241</v>
      </c>
      <c r="F616" t="inlineStr">
        <is>
          <t>VÄSTERNORRLANDS LÄN</t>
        </is>
      </c>
      <c r="G616" t="inlineStr">
        <is>
          <t>HÄRNÖSAND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18461-2025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45762</v>
      </c>
      <c r="E617" s="1" t="n">
        <v>46241</v>
      </c>
      <c r="F617" t="inlineStr">
        <is>
          <t>VÄSTERNORRLANDS LÄN</t>
        </is>
      </c>
      <c r="G617" t="inlineStr">
        <is>
          <t>HÄRNÖSAND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45681-2021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44441</v>
      </c>
      <c r="E618" s="1" t="n">
        <v>46241</v>
      </c>
      <c r="F618" t="inlineStr">
        <is>
          <t>VÄSTERNORRLANDS LÄN</t>
        </is>
      </c>
      <c r="G618" t="inlineStr">
        <is>
          <t>HÄRNÖSAND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26176-2025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45805</v>
      </c>
      <c r="E619" s="1" t="n">
        <v>46241</v>
      </c>
      <c r="F619" t="inlineStr">
        <is>
          <t>VÄSTERNORRLANDS LÄN</t>
        </is>
      </c>
      <c r="G619" t="inlineStr">
        <is>
          <t>HÄRNÖSAND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57685-2024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46241</v>
      </c>
      <c r="F620" t="inlineStr">
        <is>
          <t>VÄSTERNORRLANDS LÄN</t>
        </is>
      </c>
      <c r="G620" t="inlineStr">
        <is>
          <t>HÄRNÖSAND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49531-2023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45205</v>
      </c>
      <c r="E621" s="1" t="n">
        <v>46241</v>
      </c>
      <c r="F621" t="inlineStr">
        <is>
          <t>VÄSTERNORRLANDS LÄN</t>
        </is>
      </c>
      <c r="G621" t="inlineStr">
        <is>
          <t>HÄRNÖSAND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46241</v>
      </c>
      <c r="F622" t="inlineStr">
        <is>
          <t>VÄSTERNORRLANDS LÄN</t>
        </is>
      </c>
      <c r="G622" t="inlineStr">
        <is>
          <t>HÄRNÖSAND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27272-2025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45812</v>
      </c>
      <c r="E623" s="1" t="n">
        <v>46241</v>
      </c>
      <c r="F623" t="inlineStr">
        <is>
          <t>VÄSTERNORRLANDS LÄN</t>
        </is>
      </c>
      <c r="G623" t="inlineStr">
        <is>
          <t>HÄRNÖSAND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46241</v>
      </c>
      <c r="F624" t="inlineStr">
        <is>
          <t>VÄSTERNORRLANDS LÄN</t>
        </is>
      </c>
      <c r="G624" t="inlineStr">
        <is>
          <t>HÄRNÖSAND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28389-2025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45819</v>
      </c>
      <c r="E625" s="1" t="n">
        <v>46241</v>
      </c>
      <c r="F625" t="inlineStr">
        <is>
          <t>VÄSTERNORRLANDS LÄN</t>
        </is>
      </c>
      <c r="G625" t="inlineStr">
        <is>
          <t>HÄRNÖSAND</t>
        </is>
      </c>
      <c r="I625" t="n">
        <v>9.300000000000001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29233-2025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45824</v>
      </c>
      <c r="E626" s="1" t="n">
        <v>46241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45825</v>
      </c>
      <c r="E627" s="1" t="n">
        <v>46241</v>
      </c>
      <c r="F627" t="inlineStr">
        <is>
          <t>VÄSTERNORRLANDS LÄN</t>
        </is>
      </c>
      <c r="G627" t="inlineStr">
        <is>
          <t>HÄRNÖSAND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45825</v>
      </c>
      <c r="E628" s="1" t="n">
        <v>46241</v>
      </c>
      <c r="F628" t="inlineStr">
        <is>
          <t>VÄSTERNORRLANDS LÄN</t>
        </is>
      </c>
      <c r="G628" t="inlineStr">
        <is>
          <t>HÄRNÖSAND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45825</v>
      </c>
      <c r="E629" s="1" t="n">
        <v>46241</v>
      </c>
      <c r="F629" t="inlineStr">
        <is>
          <t>VÄSTERNORRLANDS LÄN</t>
        </is>
      </c>
      <c r="G629" t="inlineStr">
        <is>
          <t>HÄRNÖSAND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46241</v>
      </c>
      <c r="F630" t="inlineStr">
        <is>
          <t>VÄSTERNORRLANDS LÄN</t>
        </is>
      </c>
      <c r="G630" t="inlineStr">
        <is>
          <t>HÄRNÖSAND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45826</v>
      </c>
      <c r="E631" s="1" t="n">
        <v>46241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Kyrkan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31305-2025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46241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31342-2025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46241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45834</v>
      </c>
      <c r="E634" s="1" t="n">
        <v>46241</v>
      </c>
      <c r="F634" t="inlineStr">
        <is>
          <t>VÄSTERNORRLANDS LÄN</t>
        </is>
      </c>
      <c r="G634" t="inlineStr">
        <is>
          <t>HÄRNÖSAND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31483-2025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45833</v>
      </c>
      <c r="E635" s="1" t="n">
        <v>46241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45833</v>
      </c>
      <c r="E636" s="1" t="n">
        <v>46241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45833</v>
      </c>
      <c r="E637" s="1" t="n">
        <v>46241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45834</v>
      </c>
      <c r="E638" s="1" t="n">
        <v>46241</v>
      </c>
      <c r="F638" t="inlineStr">
        <is>
          <t>VÄSTERNORRLANDS LÄN</t>
        </is>
      </c>
      <c r="G638" t="inlineStr">
        <is>
          <t>HÄRNÖSAND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32374-2025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45837</v>
      </c>
      <c r="E639" s="1" t="n">
        <v>46241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26920-2025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46241</v>
      </c>
      <c r="F640" t="inlineStr">
        <is>
          <t>VÄSTERNORRLANDS LÄN</t>
        </is>
      </c>
      <c r="G640" t="inlineStr">
        <is>
          <t>HÄRNÖSAND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32365-2025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45837</v>
      </c>
      <c r="E641" s="1" t="n">
        <v>46241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45840</v>
      </c>
      <c r="E642" s="1" t="n">
        <v>46241</v>
      </c>
      <c r="F642" t="inlineStr">
        <is>
          <t>VÄSTERNORRLANDS LÄN</t>
        </is>
      </c>
      <c r="G642" t="inlineStr">
        <is>
          <t>HÄRNÖSAND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45840</v>
      </c>
      <c r="E643" s="1" t="n">
        <v>46241</v>
      </c>
      <c r="F643" t="inlineStr">
        <is>
          <t>VÄSTERNORRLANDS LÄN</t>
        </is>
      </c>
      <c r="G643" t="inlineStr">
        <is>
          <t>HÄRNÖSAND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34736-2025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45848</v>
      </c>
      <c r="E644" s="1" t="n">
        <v>46241</v>
      </c>
      <c r="F644" t="inlineStr">
        <is>
          <t>VÄSTERNORRLANDS LÄN</t>
        </is>
      </c>
      <c r="G644" t="inlineStr">
        <is>
          <t>HÄRNÖSAND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34751-2025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45848</v>
      </c>
      <c r="E645" s="1" t="n">
        <v>46241</v>
      </c>
      <c r="F645" t="inlineStr">
        <is>
          <t>VÄSTERNORRLANDS LÄN</t>
        </is>
      </c>
      <c r="G645" t="inlineStr">
        <is>
          <t>HÄRNÖSAND</t>
        </is>
      </c>
      <c r="I645" t="n">
        <v>8.699999999999999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45749</v>
      </c>
      <c r="E646" s="1" t="n">
        <v>46241</v>
      </c>
      <c r="F646" t="inlineStr">
        <is>
          <t>VÄSTERNORRLANDS LÄN</t>
        </is>
      </c>
      <c r="G646" t="inlineStr">
        <is>
          <t>HÄRNÖSAND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45853</v>
      </c>
      <c r="E647" s="1" t="n">
        <v>46241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46241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46241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46241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46241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46241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46241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46241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46241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46241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2026-08-07T01:52:02Z</dcterms:created>
  <dcterms:modified xmlns:dcterms="http://purl.org/dc/terms/" xmlns:xsi="http://www.w3.org/2001/XMLSchema-instance" xsi:type="dcterms:W3CDTF">2026-08-07T01:52:02Z</dcterms:modified>
</cp:coreProperties>
</file>