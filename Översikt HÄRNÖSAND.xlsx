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3210-2025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45979</v>
      </c>
      <c r="E4" s="1" t="n">
        <v>46236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7.4</v>
      </c>
      <c r="J4" t="n">
        <v>6</v>
      </c>
      <c r="K4" t="n">
        <v>5</v>
      </c>
      <c r="L4" t="n">
        <v>8</v>
      </c>
      <c r="M4" t="n">
        <v>3</v>
      </c>
      <c r="N4" t="n">
        <v>0</v>
      </c>
      <c r="O4" t="n">
        <v>0</v>
      </c>
      <c r="P4" t="n">
        <v>0</v>
      </c>
      <c r="Q4" t="n">
        <v>11</v>
      </c>
      <c r="R4" t="n">
        <v>3</v>
      </c>
      <c r="S4" t="n">
        <v>18</v>
      </c>
      <c r="T4" t="n">
        <v>43</v>
      </c>
      <c r="U4" t="n">
        <v>42</v>
      </c>
      <c r="V4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4">
        <f>HYPERLINK("https://klasma.github.io/Logging_2280/artfynd/S 3210-2025 artfynd.xlsx", "S 3210-2025")</f>
        <v/>
      </c>
      <c r="X4">
        <f>HYPERLINK("https://klasma.github.io/Logging_2280/kartor/S 3210-2025 karta.png", "S 3210-2025")</f>
        <v/>
      </c>
      <c r="Y4">
        <f>HYPERLINK("https://klasma.github.io/Logging_2280/kartor_geotiff/S 3210-2025 georefererad karta.tif", "S 3210-2025")</f>
        <v/>
      </c>
      <c r="Z4">
        <f>HYPERLINK("https://klasma.github.io/Logging_2280/knärot/S 3210-2025 karta knärot.png", "S 3210-2025")</f>
        <v/>
      </c>
      <c r="AA4">
        <f>HYPERLINK("https://klasma.github.io/Logging_2280/klagomål/S 3210-2025 FSC-klagomål.docx", "S 3210-2025")</f>
        <v/>
      </c>
      <c r="AB4">
        <f>HYPERLINK("https://klasma.github.io/Logging_2280/klagomålsmail/S 3210-2025 FSC-klagomål mail.docx", "S 3210-2025")</f>
        <v/>
      </c>
      <c r="AC4">
        <f>HYPERLINK("https://klasma.github.io/Logging_2280/tillsyn/S 3210-2025 tillsynsbegäran.docx", "S 3210-2025")</f>
        <v/>
      </c>
      <c r="AD4">
        <f>HYPERLINK("https://klasma.github.io/Logging_2280/tillsynsmail/S 3210-2025 tillsynsbegäran mail.docx", "S 3210-2025")</f>
        <v/>
      </c>
      <c r="AE4">
        <f>HYPERLINK("https://klasma.github.io/Logging_2280/fåglar/S 3210-2025 prioriterade fågelarter.docx", "S 3210-2025")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46236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46236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46236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46236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46236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46236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46236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46236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46236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46236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46236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46236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46236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46236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46236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46236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46236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46236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46236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46236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46236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46236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46236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46236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46236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46236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46236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46236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46236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46236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46236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46236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46236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46236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46236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46236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46236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46236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46236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46236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46236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46236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46236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46236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52727-2022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46236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3.4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Korallblylav
Skinnlav</t>
        </is>
      </c>
      <c r="W54">
        <f>HYPERLINK("https://klasma.github.io/Logging_2280/artfynd/A 52727-2022 artfynd.xlsx", "A 52727-2022")</f>
        <v/>
      </c>
      <c r="X54">
        <f>HYPERLINK("https://klasma.github.io/Logging_2280/kartor/A 52727-2022 karta.png", "A 52727-2022")</f>
        <v/>
      </c>
      <c r="Y54">
        <f>HYPERLINK("https://klasma.github.io/Logging_2280/kartor_geotiff/A 52727-2022 georefererad karta.tif", "A 52727-2022")</f>
        <v/>
      </c>
      <c r="AA54">
        <f>HYPERLINK("https://klasma.github.io/Logging_2280/klagomål/A 52727-2022 FSC-klagomål.docx", "A 52727-2022")</f>
        <v/>
      </c>
      <c r="AB54">
        <f>HYPERLINK("https://klasma.github.io/Logging_2280/klagomålsmail/A 52727-2022 FSC-klagomål mail.docx", "A 52727-2022")</f>
        <v/>
      </c>
      <c r="AC54">
        <f>HYPERLINK("https://klasma.github.io/Logging_2280/tillsyn/A 52727-2022 tillsynsbegäran.docx", "A 52727-2022")</f>
        <v/>
      </c>
      <c r="AD54">
        <f>HYPERLINK("https://klasma.github.io/Logging_2280/tillsynsmail/A 52727-2022 tillsynsbegäran mail.docx", "A 52727-2022")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46236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62351-2023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45267</v>
      </c>
      <c r="E57" s="1" t="n">
        <v>46236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Garnlav
Lunglav</t>
        </is>
      </c>
      <c r="W57">
        <f>HYPERLINK("https://klasma.github.io/Logging_2280/artfynd/A 62351-2023 artfynd.xlsx", "A 62351-2023")</f>
        <v/>
      </c>
      <c r="X57">
        <f>HYPERLINK("https://klasma.github.io/Logging_2280/kartor/A 62351-2023 karta.png", "A 62351-2023")</f>
        <v/>
      </c>
      <c r="Y57">
        <f>HYPERLINK("https://klasma.github.io/Logging_2280/kartor_geotiff/A 62351-2023 georefererad karta.tif", "A 62351-2023")</f>
        <v/>
      </c>
      <c r="AA57">
        <f>HYPERLINK("https://klasma.github.io/Logging_2280/klagomål/A 62351-2023 FSC-klagomål.docx", "A 62351-2023")</f>
        <v/>
      </c>
      <c r="AB57">
        <f>HYPERLINK("https://klasma.github.io/Logging_2280/klagomålsmail/A 62351-2023 FSC-klagomål mail.docx", "A 62351-2023")</f>
        <v/>
      </c>
      <c r="AC57">
        <f>HYPERLINK("https://klasma.github.io/Logging_2280/tillsyn/A 62351-2023 tillsynsbegäran.docx", "A 62351-2023")</f>
        <v/>
      </c>
      <c r="AD57">
        <f>HYPERLINK("https://klasma.github.io/Logging_2280/tillsynsmail/A 62351-2023 tillsynsbegäran mail.docx", "A 62351-2023")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46236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46236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46236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46236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46236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46236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46236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46236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46236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46236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24202-2024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46236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Garnlav</t>
        </is>
      </c>
      <c r="W68">
        <f>HYPERLINK("https://klasma.github.io/Logging_2280/artfynd/A 24202-2024 artfynd.xlsx", "A 24202-2024")</f>
        <v/>
      </c>
      <c r="X68">
        <f>HYPERLINK("https://klasma.github.io/Logging_2280/kartor/A 24202-2024 karta.png", "A 24202-2024")</f>
        <v/>
      </c>
      <c r="Y68">
        <f>HYPERLINK("https://klasma.github.io/Logging_2280/kartor_geotiff/A 24202-2024 georefererad karta.tif", "A 24202-2024")</f>
        <v/>
      </c>
      <c r="AA68">
        <f>HYPERLINK("https://klasma.github.io/Logging_2280/klagomål/A 24202-2024 FSC-klagomål.docx", "A 24202-2024")</f>
        <v/>
      </c>
      <c r="AB68">
        <f>HYPERLINK("https://klasma.github.io/Logging_2280/klagomålsmail/A 24202-2024 FSC-klagomål mail.docx", "A 24202-2024")</f>
        <v/>
      </c>
      <c r="AC68">
        <f>HYPERLINK("https://klasma.github.io/Logging_2280/tillsyn/A 24202-2024 tillsynsbegäran.docx", "A 24202-2024")</f>
        <v/>
      </c>
      <c r="AD68">
        <f>HYPERLINK("https://klasma.github.io/Logging_2280/tillsynsmail/A 24202-2024 tillsynsbegäran mail.docx", "A 24202-2024")</f>
        <v/>
      </c>
    </row>
    <row r="69" ht="15" customHeight="1">
      <c r="A69" t="inlineStr">
        <is>
          <t>A 14597-2022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44655</v>
      </c>
      <c r="E69" s="1" t="n">
        <v>46236</v>
      </c>
      <c r="F69" t="inlineStr">
        <is>
          <t>VÄSTERNORRLANDS LÄN</t>
        </is>
      </c>
      <c r="G69" t="inlineStr">
        <is>
          <t>HÄRNÖSAND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Utter</t>
        </is>
      </c>
      <c r="W69">
        <f>HYPERLINK("https://klasma.github.io/Logging_2280/artfynd/A 14597-2022 artfynd.xlsx", "A 14597-2022")</f>
        <v/>
      </c>
      <c r="X69">
        <f>HYPERLINK("https://klasma.github.io/Logging_2280/kartor/A 14597-2022 karta.png", "A 14597-2022")</f>
        <v/>
      </c>
      <c r="Y69">
        <f>HYPERLINK("https://klasma.github.io/Logging_2280/kartor_geotiff/A 14597-2022 georefererad karta.tif", "A 14597-2022")</f>
        <v/>
      </c>
      <c r="AA69">
        <f>HYPERLINK("https://klasma.github.io/Logging_2280/klagomål/A 14597-2022 FSC-klagomål.docx", "A 14597-2022")</f>
        <v/>
      </c>
      <c r="AB69">
        <f>HYPERLINK("https://klasma.github.io/Logging_2280/klagomålsmail/A 14597-2022 FSC-klagomål mail.docx", "A 14597-2022")</f>
        <v/>
      </c>
      <c r="AC69">
        <f>HYPERLINK("https://klasma.github.io/Logging_2280/tillsyn/A 14597-2022 tillsynsbegäran.docx", "A 14597-2022")</f>
        <v/>
      </c>
      <c r="AD69">
        <f>HYPERLINK("https://klasma.github.io/Logging_2280/tillsynsmail/A 14597-2022 tillsynsbegäran mail.docx", "A 14597-2022")</f>
        <v/>
      </c>
    </row>
    <row r="70" ht="15" customHeight="1">
      <c r="A70" t="inlineStr">
        <is>
          <t>A 46707-2024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46236</v>
      </c>
      <c r="F70" t="inlineStr">
        <is>
          <t>VÄSTERNORRLANDS LÄN</t>
        </is>
      </c>
      <c r="G70" t="inlineStr">
        <is>
          <t>HÄRNÖSAND</t>
        </is>
      </c>
      <c r="I70" t="n">
        <v>0.6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Tretåig hackspett</t>
        </is>
      </c>
      <c r="W70">
        <f>HYPERLINK("https://klasma.github.io/Logging_2280/artfynd/A 46707-2024 artfynd.xlsx", "A 46707-2024")</f>
        <v/>
      </c>
      <c r="X70">
        <f>HYPERLINK("https://klasma.github.io/Logging_2280/kartor/A 46707-2024 karta.png", "A 46707-2024")</f>
        <v/>
      </c>
      <c r="Y70">
        <f>HYPERLINK("https://klasma.github.io/Logging_2280/kartor_geotiff/A 46707-2024 georefererad karta.tif", "A 46707-2024")</f>
        <v/>
      </c>
      <c r="AA70">
        <f>HYPERLINK("https://klasma.github.io/Logging_2280/klagomål/A 46707-2024 FSC-klagomål.docx", "A 46707-2024")</f>
        <v/>
      </c>
      <c r="AB70">
        <f>HYPERLINK("https://klasma.github.io/Logging_2280/klagomålsmail/A 46707-2024 FSC-klagomål mail.docx", "A 46707-2024")</f>
        <v/>
      </c>
      <c r="AC70">
        <f>HYPERLINK("https://klasma.github.io/Logging_2280/tillsyn/A 46707-2024 tillsynsbegäran.docx", "A 46707-2024")</f>
        <v/>
      </c>
      <c r="AD70">
        <f>HYPERLINK("https://klasma.github.io/Logging_2280/tillsynsmail/A 46707-2024 tillsynsbegäran mail.docx", "A 46707-2024")</f>
        <v/>
      </c>
      <c r="AE70">
        <f>HYPERLINK("https://klasma.github.io/Logging_2280/fåglar/A 46707-2024 prioriterade fågelarter.docx", "A 46707-2024")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46236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46236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46236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46236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46236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46236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63724-2023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45276</v>
      </c>
      <c r="E77" s="1" t="n">
        <v>46236</v>
      </c>
      <c r="F77" t="inlineStr">
        <is>
          <t>VÄSTERNORRLANDS LÄN</t>
        </is>
      </c>
      <c r="G77" t="inlineStr">
        <is>
          <t>HÄRNÖSAND</t>
        </is>
      </c>
      <c r="I77" t="n">
        <v>10.1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Älg</t>
        </is>
      </c>
      <c r="W77">
        <f>HYPERLINK("https://klasma.github.io/Logging_2280/artfynd/A 63724-2023 artfynd.xlsx", "A 63724-2023")</f>
        <v/>
      </c>
      <c r="X77">
        <f>HYPERLINK("https://klasma.github.io/Logging_2280/kartor/A 63724-2023 karta.png", "A 63724-2023")</f>
        <v/>
      </c>
      <c r="Y77">
        <f>HYPERLINK("https://klasma.github.io/Logging_2280/kartor_geotiff/A 63724-2023 georefererad karta.tif", "A 63724-2023")</f>
        <v/>
      </c>
      <c r="AA77">
        <f>HYPERLINK("https://klasma.github.io/Logging_2280/klagomål/A 63724-2023 FSC-klagomål.docx", "A 63724-2023")</f>
        <v/>
      </c>
      <c r="AB77">
        <f>HYPERLINK("https://klasma.github.io/Logging_2280/klagomålsmail/A 63724-2023 FSC-klagomål mail.docx", "A 63724-2023")</f>
        <v/>
      </c>
      <c r="AC77">
        <f>HYPERLINK("https://klasma.github.io/Logging_2280/tillsyn/A 63724-2023 tillsynsbegäran.docx", "A 63724-2023")</f>
        <v/>
      </c>
      <c r="AD77">
        <f>HYPERLINK("https://klasma.github.io/Logging_2280/tillsynsmail/A 63724-2023 tillsynsbegäran mail.docx", "A 63724-2023")</f>
        <v/>
      </c>
    </row>
    <row r="78" ht="15" customHeight="1">
      <c r="A78" t="inlineStr">
        <is>
          <t>A 25340-2026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46236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Garnlav</t>
        </is>
      </c>
      <c r="W78">
        <f>HYPERLINK("https://klasma.github.io/Logging_2280/artfynd/A 25340-2026 artfynd.xlsx", "A 25340-2026")</f>
        <v/>
      </c>
      <c r="X78">
        <f>HYPERLINK("https://klasma.github.io/Logging_2280/kartor/A 25340-2026 karta.png", "A 25340-2026")</f>
        <v/>
      </c>
      <c r="Y78">
        <f>HYPERLINK("https://klasma.github.io/Logging_2280/kartor_geotiff/A 25340-2026 georefererad karta.tif", "A 25340-2026")</f>
        <v/>
      </c>
      <c r="AA78">
        <f>HYPERLINK("https://klasma.github.io/Logging_2280/klagomål/A 25340-2026 FSC-klagomål.docx", "A 25340-2026")</f>
        <v/>
      </c>
      <c r="AB78">
        <f>HYPERLINK("https://klasma.github.io/Logging_2280/klagomålsmail/A 25340-2026 FSC-klagomål mail.docx", "A 25340-2026")</f>
        <v/>
      </c>
      <c r="AC78">
        <f>HYPERLINK("https://klasma.github.io/Logging_2280/tillsyn/A 25340-2026 tillsynsbegäran.docx", "A 25340-2026")</f>
        <v/>
      </c>
      <c r="AD78">
        <f>HYPERLINK("https://klasma.github.io/Logging_2280/tillsynsmail/A 25340-2026 tillsynsbegäran mail.docx", "A 25340-2026")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46236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Skogshare</t>
        </is>
      </c>
      <c r="W79">
        <f>HYPERLINK("https://klasma.github.io/Logging_2280/artfynd/A 74325-2021 artfynd.xlsx", "A 74325-2021")</f>
        <v/>
      </c>
      <c r="X79">
        <f>HYPERLINK("https://klasma.github.io/Logging_2280/kartor/A 74325-2021 karta.png", "A 74325-2021")</f>
        <v/>
      </c>
      <c r="Y79">
        <f>HYPERLINK("https://klasma.github.io/Logging_2280/kartor_geotiff/A 74325-2021 georefererad karta.tif", "A 74325-2021")</f>
        <v/>
      </c>
      <c r="AA79">
        <f>HYPERLINK("https://klasma.github.io/Logging_2280/klagomål/A 74325-2021 FSC-klagomål.docx", "A 74325-2021")</f>
        <v/>
      </c>
      <c r="AB79">
        <f>HYPERLINK("https://klasma.github.io/Logging_2280/klagomålsmail/A 74325-2021 FSC-klagomål mail.docx", "A 74325-2021")</f>
        <v/>
      </c>
      <c r="AC79">
        <f>HYPERLINK("https://klasma.github.io/Logging_2280/tillsyn/A 74325-2021 tillsynsbegäran.docx", "A 74325-2021")</f>
        <v/>
      </c>
      <c r="AD79">
        <f>HYPERLINK("https://klasma.github.io/Logging_2280/tillsynsmail/A 74325-2021 tillsynsbegäran mail.docx", "A 74325-2021")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46236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46236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46236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Duvhök</t>
        </is>
      </c>
      <c r="W82">
        <f>HYPERLINK("https://klasma.github.io/Logging_2280/artfynd/A 26664-2026 artfynd.xlsx", "A 26664-2026")</f>
        <v/>
      </c>
      <c r="X82">
        <f>HYPERLINK("https://klasma.github.io/Logging_2280/kartor/A 26664-2026 karta.png", "A 26664-2026")</f>
        <v/>
      </c>
      <c r="Y82">
        <f>HYPERLINK("https://klasma.github.io/Logging_2280/kartor_geotiff/A 26664-2026 georefererad karta.tif", "A 26664-2026")</f>
        <v/>
      </c>
      <c r="AA82">
        <f>HYPERLINK("https://klasma.github.io/Logging_2280/klagomål/A 26664-2026 FSC-klagomål.docx", "A 26664-2026")</f>
        <v/>
      </c>
      <c r="AB82">
        <f>HYPERLINK("https://klasma.github.io/Logging_2280/klagomålsmail/A 26664-2026 FSC-klagomål mail.docx", "A 26664-2026")</f>
        <v/>
      </c>
      <c r="AC82">
        <f>HYPERLINK("https://klasma.github.io/Logging_2280/tillsyn/A 26664-2026 tillsynsbegäran.docx", "A 26664-2026")</f>
        <v/>
      </c>
      <c r="AD82">
        <f>HYPERLINK("https://klasma.github.io/Logging_2280/tillsynsmail/A 26664-2026 tillsynsbegäran mail.docx", "A 26664-2026")</f>
        <v/>
      </c>
      <c r="AE82">
        <f>HYPERLINK("https://klasma.github.io/Logging_2280/fåglar/A 26664-2026 prioriterade fågelarter.docx", "A 26664-2026")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46236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19077-2024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45428</v>
      </c>
      <c r="E84" s="1" t="n">
        <v>46236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HYPERLINK("https://klasma.github.io/Logging_2280/artfynd/A 19077-2024 artfynd.xlsx", "A 19077-2024")</f>
        <v/>
      </c>
      <c r="X84">
        <f>HYPERLINK("https://klasma.github.io/Logging_2280/kartor/A 19077-2024 karta.png", "A 19077-2024")</f>
        <v/>
      </c>
      <c r="Y84">
        <f>HYPERLINK("https://klasma.github.io/Logging_2280/kartor_geotiff/A 19077-2024 georefererad karta.tif", "A 19077-2024")</f>
        <v/>
      </c>
      <c r="AA84">
        <f>HYPERLINK("https://klasma.github.io/Logging_2280/klagomål/A 19077-2024 FSC-klagomål.docx", "A 19077-2024")</f>
        <v/>
      </c>
      <c r="AB84">
        <f>HYPERLINK("https://klasma.github.io/Logging_2280/klagomålsmail/A 19077-2024 FSC-klagomål mail.docx", "A 19077-2024")</f>
        <v/>
      </c>
      <c r="AC84">
        <f>HYPERLINK("https://klasma.github.io/Logging_2280/tillsyn/A 19077-2024 tillsynsbegäran.docx", "A 19077-2024")</f>
        <v/>
      </c>
      <c r="AD84">
        <f>HYPERLINK("https://klasma.github.io/Logging_2280/tillsynsmail/A 19077-2024 tillsynsbegäran mail.docx", "A 19077-2024")</f>
        <v/>
      </c>
    </row>
    <row r="85" ht="15" customHeight="1">
      <c r="A85" t="inlineStr">
        <is>
          <t>A 8407-2024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46236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HYPERLINK("https://klasma.github.io/Logging_2280/artfynd/A 8407-2024 artfynd.xlsx", "A 8407-2024")</f>
        <v/>
      </c>
      <c r="X85">
        <f>HYPERLINK("https://klasma.github.io/Logging_2280/kartor/A 8407-2024 karta.png", "A 8407-2024")</f>
        <v/>
      </c>
      <c r="Y85">
        <f>HYPERLINK("https://klasma.github.io/Logging_2280/kartor_geotiff/A 8407-2024 georefererad karta.tif", "A 8407-2024")</f>
        <v/>
      </c>
      <c r="AA85">
        <f>HYPERLINK("https://klasma.github.io/Logging_2280/klagomål/A 8407-2024 FSC-klagomål.docx", "A 8407-2024")</f>
        <v/>
      </c>
      <c r="AB85">
        <f>HYPERLINK("https://klasma.github.io/Logging_2280/klagomålsmail/A 8407-2024 FSC-klagomål mail.docx", "A 8407-2024")</f>
        <v/>
      </c>
      <c r="AC85">
        <f>HYPERLINK("https://klasma.github.io/Logging_2280/tillsyn/A 8407-2024 tillsynsbegäran.docx", "A 8407-2024")</f>
        <v/>
      </c>
      <c r="AD85">
        <f>HYPERLINK("https://klasma.github.io/Logging_2280/tillsynsmail/A 8407-2024 tillsynsbegäran mail.docx", "A 8407-2024")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46236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46236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46236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46236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46236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46236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46236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46236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46236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46236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46236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46236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46236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46236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46236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46236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46236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46236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46236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46236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46236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46236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46236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46236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46236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46236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46236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46236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46236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46236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46236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46236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46236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46236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46236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46236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46236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46236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46236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46236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46236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46236</v>
      </c>
      <c r="F127" t="inlineStr">
        <is>
          <t>VÄSTERNORRLANDS LÄN</t>
        </is>
      </c>
      <c r="G127" t="inlineStr">
        <is>
          <t>HÄRNÖSAND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46236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46236</v>
      </c>
      <c r="F129" t="inlineStr">
        <is>
          <t>VÄSTERNORRLANDS LÄN</t>
        </is>
      </c>
      <c r="G129" t="inlineStr">
        <is>
          <t>HÄRNÖSAND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46236</v>
      </c>
      <c r="F130" t="inlineStr">
        <is>
          <t>VÄSTERNORRLANDS LÄN</t>
        </is>
      </c>
      <c r="G130" t="inlineStr">
        <is>
          <t>HÄRNÖSAND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46236</v>
      </c>
      <c r="F131" t="inlineStr">
        <is>
          <t>VÄSTERNORRLANDS LÄN</t>
        </is>
      </c>
      <c r="G131" t="inlineStr">
        <is>
          <t>HÄRNÖSAND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46236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46236</v>
      </c>
      <c r="F133" t="inlineStr">
        <is>
          <t>VÄSTERNORRLANDS LÄN</t>
        </is>
      </c>
      <c r="G133" t="inlineStr">
        <is>
          <t>HÄRNÖSAND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46236</v>
      </c>
      <c r="F134" t="inlineStr">
        <is>
          <t>VÄSTERNORRLANDS LÄN</t>
        </is>
      </c>
      <c r="G134" t="inlineStr">
        <is>
          <t>HÄRNÖSAND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46236</v>
      </c>
      <c r="F135" t="inlineStr">
        <is>
          <t>VÄSTERNORRLANDS LÄN</t>
        </is>
      </c>
      <c r="G135" t="inlineStr">
        <is>
          <t>HÄRNÖSAND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70563-2021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44532</v>
      </c>
      <c r="E136" s="1" t="n">
        <v>46236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46236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46236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46236</v>
      </c>
      <c r="F139" t="inlineStr">
        <is>
          <t>VÄSTERNORRLANDS LÄN</t>
        </is>
      </c>
      <c r="G139" t="inlineStr">
        <is>
          <t>HÄRNÖSAND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46236</v>
      </c>
      <c r="F140" t="inlineStr">
        <is>
          <t>VÄSTERNORRLANDS LÄN</t>
        </is>
      </c>
      <c r="G140" t="inlineStr">
        <is>
          <t>HÄRNÖSAND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46236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50338-2022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44865</v>
      </c>
      <c r="E142" s="1" t="n">
        <v>46236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46236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46236</v>
      </c>
      <c r="F144" t="inlineStr">
        <is>
          <t>VÄSTERNORRLANDS LÄN</t>
        </is>
      </c>
      <c r="G144" t="inlineStr">
        <is>
          <t>HÄRNÖSAND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44512</v>
      </c>
      <c r="E145" s="1" t="n">
        <v>46236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46236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46236</v>
      </c>
      <c r="F147" t="inlineStr">
        <is>
          <t>VÄSTERNORRLANDS LÄN</t>
        </is>
      </c>
      <c r="G147" t="inlineStr">
        <is>
          <t>HÄRNÖSAND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46236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46236</v>
      </c>
      <c r="F149" t="inlineStr">
        <is>
          <t>VÄSTERNORRLANDS LÄN</t>
        </is>
      </c>
      <c r="G149" t="inlineStr">
        <is>
          <t>HÄRNÖSAND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38567-2025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46236</v>
      </c>
      <c r="F150" t="inlineStr">
        <is>
          <t>VÄSTERNORRLANDS LÄN</t>
        </is>
      </c>
      <c r="G150" t="inlineStr">
        <is>
          <t>HÄRNÖSAND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45483</v>
      </c>
      <c r="E151" s="1" t="n">
        <v>46236</v>
      </c>
      <c r="F151" t="inlineStr">
        <is>
          <t>VÄSTERNORRLANDS LÄN</t>
        </is>
      </c>
      <c r="G151" t="inlineStr">
        <is>
          <t>HÄRNÖSAND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18885-2023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45044</v>
      </c>
      <c r="E152" s="1" t="n">
        <v>46236</v>
      </c>
      <c r="F152" t="inlineStr">
        <is>
          <t>VÄSTERNORRLANDS LÄN</t>
        </is>
      </c>
      <c r="G152" t="inlineStr">
        <is>
          <t>HÄRNÖSAND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46236</v>
      </c>
      <c r="F153" t="inlineStr">
        <is>
          <t>VÄSTERNORRLANDS LÄN</t>
        </is>
      </c>
      <c r="G153" t="inlineStr">
        <is>
          <t>HÄRNÖSAND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46236</v>
      </c>
      <c r="F154" t="inlineStr">
        <is>
          <t>VÄSTERNORRLANDS LÄN</t>
        </is>
      </c>
      <c r="G154" t="inlineStr">
        <is>
          <t>HÄRNÖSAND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46236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46236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46236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56165-2022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44889</v>
      </c>
      <c r="E158" s="1" t="n">
        <v>46236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46236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45289</v>
      </c>
      <c r="E160" s="1" t="n">
        <v>46236</v>
      </c>
      <c r="F160" t="inlineStr">
        <is>
          <t>VÄSTERNORRLANDS LÄN</t>
        </is>
      </c>
      <c r="G160" t="inlineStr">
        <is>
          <t>HÄRNÖSAND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46236</v>
      </c>
      <c r="F161" t="inlineStr">
        <is>
          <t>VÄSTERNORRLANDS LÄN</t>
        </is>
      </c>
      <c r="G161" t="inlineStr">
        <is>
          <t>HÄRNÖSAND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46236</v>
      </c>
      <c r="F162" t="inlineStr">
        <is>
          <t>VÄSTERNORRLANDS LÄN</t>
        </is>
      </c>
      <c r="G162" t="inlineStr">
        <is>
          <t>HÄRNÖSAND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46236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Kyrkan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46236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46236</v>
      </c>
      <c r="F165" t="inlineStr">
        <is>
          <t>VÄSTERNORRLANDS LÄN</t>
        </is>
      </c>
      <c r="G165" t="inlineStr">
        <is>
          <t>HÄRNÖSAND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45409</v>
      </c>
      <c r="E166" s="1" t="n">
        <v>46236</v>
      </c>
      <c r="F166" t="inlineStr">
        <is>
          <t>VÄSTERNORRLANDS LÄN</t>
        </is>
      </c>
      <c r="G166" t="inlineStr">
        <is>
          <t>HÄRNÖSAND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46236</v>
      </c>
      <c r="F167" t="inlineStr">
        <is>
          <t>VÄSTERNORRLANDS LÄN</t>
        </is>
      </c>
      <c r="G167" t="inlineStr">
        <is>
          <t>HÄRNÖSAND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46236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46236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44806</v>
      </c>
      <c r="E170" s="1" t="n">
        <v>46236</v>
      </c>
      <c r="F170" t="inlineStr">
        <is>
          <t>VÄSTERNORRLANDS LÄN</t>
        </is>
      </c>
      <c r="G170" t="inlineStr">
        <is>
          <t>HÄRNÖSAND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44806</v>
      </c>
      <c r="E171" s="1" t="n">
        <v>46236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46236</v>
      </c>
      <c r="F172" t="inlineStr">
        <is>
          <t>VÄSTERNORRLANDS LÄN</t>
        </is>
      </c>
      <c r="G172" t="inlineStr">
        <is>
          <t>HÄRNÖSAND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46236</v>
      </c>
      <c r="F173" t="inlineStr">
        <is>
          <t>VÄSTERNORRLANDS LÄN</t>
        </is>
      </c>
      <c r="G173" t="inlineStr">
        <is>
          <t>HÄRNÖSAND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46236</v>
      </c>
      <c r="F174" t="inlineStr">
        <is>
          <t>VÄSTERNORRLANDS LÄN</t>
        </is>
      </c>
      <c r="G174" t="inlineStr">
        <is>
          <t>HÄRNÖSAND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46236</v>
      </c>
      <c r="F175" t="inlineStr">
        <is>
          <t>VÄSTERNORRLANDS LÄN</t>
        </is>
      </c>
      <c r="G175" t="inlineStr">
        <is>
          <t>HÄRNÖSAND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46236</v>
      </c>
      <c r="F176" t="inlineStr">
        <is>
          <t>VÄSTERNORRLANDS LÄN</t>
        </is>
      </c>
      <c r="G176" t="inlineStr">
        <is>
          <t>HÄRNÖSAND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46236</v>
      </c>
      <c r="F177" t="inlineStr">
        <is>
          <t>VÄSTERNORRLANDS LÄN</t>
        </is>
      </c>
      <c r="G177" t="inlineStr">
        <is>
          <t>HÄRNÖSAND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46236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54251-2022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44881</v>
      </c>
      <c r="E179" s="1" t="n">
        <v>46236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46236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13611-2023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46236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46236</v>
      </c>
      <c r="F182" t="inlineStr">
        <is>
          <t>VÄSTERNORRLANDS LÄN</t>
        </is>
      </c>
      <c r="G182" t="inlineStr">
        <is>
          <t>HÄRNÖSAND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46236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46236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46236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46236</v>
      </c>
      <c r="F186" t="inlineStr">
        <is>
          <t>VÄSTERNORRLANDS LÄN</t>
        </is>
      </c>
      <c r="G186" t="inlineStr">
        <is>
          <t>HÄRNÖSAND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46236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46236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46236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Övriga statliga verk och myndigheter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46236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46236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46236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46236</v>
      </c>
      <c r="F193" t="inlineStr">
        <is>
          <t>VÄSTERNORRLANDS LÄN</t>
        </is>
      </c>
      <c r="G193" t="inlineStr">
        <is>
          <t>HÄRNÖSAND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46236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46236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46236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46236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46236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46236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46236</v>
      </c>
      <c r="F200" t="inlineStr">
        <is>
          <t>VÄSTERNORRLANDS LÄN</t>
        </is>
      </c>
      <c r="G200" t="inlineStr">
        <is>
          <t>HÄRNÖSAND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46236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46236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46236</v>
      </c>
      <c r="F203" t="inlineStr">
        <is>
          <t>VÄSTERNORRLANDS LÄN</t>
        </is>
      </c>
      <c r="G203" t="inlineStr">
        <is>
          <t>HÄRNÖSAND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46236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46236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46236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46236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46236</v>
      </c>
      <c r="F208" t="inlineStr">
        <is>
          <t>VÄSTERNORRLANDS LÄN</t>
        </is>
      </c>
      <c r="G208" t="inlineStr">
        <is>
          <t>HÄRNÖSAND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46236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46236</v>
      </c>
      <c r="F210" t="inlineStr">
        <is>
          <t>VÄSTERNORRLANDS LÄN</t>
        </is>
      </c>
      <c r="G210" t="inlineStr">
        <is>
          <t>HÄRNÖSAND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46236</v>
      </c>
      <c r="F211" t="inlineStr">
        <is>
          <t>VÄSTERNORRLANDS LÄN</t>
        </is>
      </c>
      <c r="G211" t="inlineStr">
        <is>
          <t>HÄRNÖSAND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46236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46236</v>
      </c>
      <c r="F213" t="inlineStr">
        <is>
          <t>VÄSTERNORRLANDS LÄN</t>
        </is>
      </c>
      <c r="G213" t="inlineStr">
        <is>
          <t>HÄRNÖSAND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46236</v>
      </c>
      <c r="F214" t="inlineStr">
        <is>
          <t>VÄSTERNORRLANDS LÄN</t>
        </is>
      </c>
      <c r="G214" t="inlineStr">
        <is>
          <t>HÄRNÖSAND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46236</v>
      </c>
      <c r="F215" t="inlineStr">
        <is>
          <t>VÄSTERNORRLANDS LÄN</t>
        </is>
      </c>
      <c r="G215" t="inlineStr">
        <is>
          <t>HÄRNÖSAND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46236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46236</v>
      </c>
      <c r="F217" t="inlineStr">
        <is>
          <t>VÄSTERNORRLANDS LÄN</t>
        </is>
      </c>
      <c r="G217" t="inlineStr">
        <is>
          <t>HÄRNÖSAND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46236</v>
      </c>
      <c r="F218" t="inlineStr">
        <is>
          <t>VÄSTERNORRLANDS LÄN</t>
        </is>
      </c>
      <c r="G218" t="inlineStr">
        <is>
          <t>HÄRNÖSAND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46236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45523</v>
      </c>
      <c r="E220" s="1" t="n">
        <v>46236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46236</v>
      </c>
      <c r="F221" t="inlineStr">
        <is>
          <t>VÄSTERNORRLANDS LÄN</t>
        </is>
      </c>
      <c r="G221" t="inlineStr">
        <is>
          <t>HÄRNÖSAND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46236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46236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45622</v>
      </c>
      <c r="E224" s="1" t="n">
        <v>46236</v>
      </c>
      <c r="F224" t="inlineStr">
        <is>
          <t>VÄSTERNORRLANDS LÄN</t>
        </is>
      </c>
      <c r="G224" t="inlineStr">
        <is>
          <t>HÄRNÖSAND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46236</v>
      </c>
      <c r="F225" t="inlineStr">
        <is>
          <t>VÄSTERNORRLANDS LÄN</t>
        </is>
      </c>
      <c r="G225" t="inlineStr">
        <is>
          <t>HÄRNÖSAND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44732</v>
      </c>
      <c r="E226" s="1" t="n">
        <v>46236</v>
      </c>
      <c r="F226" t="inlineStr">
        <is>
          <t>VÄSTERNORRLANDS LÄN</t>
        </is>
      </c>
      <c r="G226" t="inlineStr">
        <is>
          <t>HÄRNÖSAND</t>
        </is>
      </c>
      <c r="I226" t="n">
        <v>18.7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46236</v>
      </c>
      <c r="F227" t="inlineStr">
        <is>
          <t>VÄSTERNORRLANDS LÄN</t>
        </is>
      </c>
      <c r="G227" t="inlineStr">
        <is>
          <t>HÄRNÖSAND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46236</v>
      </c>
      <c r="F228" t="inlineStr">
        <is>
          <t>VÄSTERNORRLANDS LÄN</t>
        </is>
      </c>
      <c r="G228" t="inlineStr">
        <is>
          <t>HÄRNÖSAND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46236</v>
      </c>
      <c r="F229" t="inlineStr">
        <is>
          <t>VÄSTERNORRLANDS LÄN</t>
        </is>
      </c>
      <c r="G229" t="inlineStr">
        <is>
          <t>HÄRNÖSAND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46236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Kyrkan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46236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45314</v>
      </c>
      <c r="E232" s="1" t="n">
        <v>46236</v>
      </c>
      <c r="F232" t="inlineStr">
        <is>
          <t>VÄSTERNORRLANDS LÄN</t>
        </is>
      </c>
      <c r="G232" t="inlineStr">
        <is>
          <t>HÄRNÖSAND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46236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46236</v>
      </c>
      <c r="F234" t="inlineStr">
        <is>
          <t>VÄSTERNORRLANDS LÄN</t>
        </is>
      </c>
      <c r="G234" t="inlineStr">
        <is>
          <t>HÄRNÖSAND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46236</v>
      </c>
      <c r="F235" t="inlineStr">
        <is>
          <t>VÄSTERNORRLANDS LÄN</t>
        </is>
      </c>
      <c r="G235" t="inlineStr">
        <is>
          <t>HÄRNÖSAND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46236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46236</v>
      </c>
      <c r="F237" t="inlineStr">
        <is>
          <t>VÄSTERNORRLANDS LÄN</t>
        </is>
      </c>
      <c r="G237" t="inlineStr">
        <is>
          <t>HÄRNÖSAND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46236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46236</v>
      </c>
      <c r="F239" t="inlineStr">
        <is>
          <t>VÄSTERNORRLANDS LÄN</t>
        </is>
      </c>
      <c r="G239" t="inlineStr">
        <is>
          <t>HÄRNÖSAND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46236</v>
      </c>
      <c r="F240" t="inlineStr">
        <is>
          <t>VÄSTERNORRLANDS LÄN</t>
        </is>
      </c>
      <c r="G240" t="inlineStr">
        <is>
          <t>HÄRNÖSAND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46236</v>
      </c>
      <c r="F241" t="inlineStr">
        <is>
          <t>VÄSTERNORRLANDS LÄN</t>
        </is>
      </c>
      <c r="G241" t="inlineStr">
        <is>
          <t>HÄRNÖSAND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46236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59408-2024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45638</v>
      </c>
      <c r="E243" s="1" t="n">
        <v>46236</v>
      </c>
      <c r="F243" t="inlineStr">
        <is>
          <t>VÄSTERNORRLANDS LÄN</t>
        </is>
      </c>
      <c r="G243" t="inlineStr">
        <is>
          <t>HÄRNÖSAND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46236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46236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46236</v>
      </c>
      <c r="F246" t="inlineStr">
        <is>
          <t>VÄSTERNORRLANDS LÄN</t>
        </is>
      </c>
      <c r="G246" t="inlineStr">
        <is>
          <t>HÄRNÖSAND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46236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46236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58869-2023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45250</v>
      </c>
      <c r="E249" s="1" t="n">
        <v>46236</v>
      </c>
      <c r="F249" t="inlineStr">
        <is>
          <t>VÄSTERNORRLANDS LÄN</t>
        </is>
      </c>
      <c r="G249" t="inlineStr">
        <is>
          <t>HÄRNÖSAND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46236</v>
      </c>
      <c r="F250" t="inlineStr">
        <is>
          <t>VÄSTERNORRLANDS LÄN</t>
        </is>
      </c>
      <c r="G250" t="inlineStr">
        <is>
          <t>HÄRNÖSAND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46236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46236</v>
      </c>
      <c r="F252" t="inlineStr">
        <is>
          <t>VÄSTERNORRLANDS LÄN</t>
        </is>
      </c>
      <c r="G252" t="inlineStr">
        <is>
          <t>HÄRNÖSAND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46236</v>
      </c>
      <c r="F253" t="inlineStr">
        <is>
          <t>VÄSTERNORRLANDS LÄN</t>
        </is>
      </c>
      <c r="G253" t="inlineStr">
        <is>
          <t>HÄRNÖSAND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46236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46236</v>
      </c>
      <c r="F255" t="inlineStr">
        <is>
          <t>VÄSTERNORRLANDS LÄN</t>
        </is>
      </c>
      <c r="G255" t="inlineStr">
        <is>
          <t>HÄRNÖSAND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46236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46236</v>
      </c>
      <c r="F257" t="inlineStr">
        <is>
          <t>VÄSTERNORRLANDS LÄN</t>
        </is>
      </c>
      <c r="G257" t="inlineStr">
        <is>
          <t>HÄRNÖSAND</t>
        </is>
      </c>
      <c r="I257" t="n">
        <v>16.7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44847</v>
      </c>
      <c r="E258" s="1" t="n">
        <v>46236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46236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46236</v>
      </c>
      <c r="F260" t="inlineStr">
        <is>
          <t>VÄSTERNORRLANDS LÄN</t>
        </is>
      </c>
      <c r="G260" t="inlineStr">
        <is>
          <t>HÄRNÖSAND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46236</v>
      </c>
      <c r="F261" t="inlineStr">
        <is>
          <t>VÄSTERNORRLANDS LÄN</t>
        </is>
      </c>
      <c r="G261" t="inlineStr">
        <is>
          <t>HÄRNÖSAND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46236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46236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46236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46236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46236</v>
      </c>
      <c r="F266" t="inlineStr">
        <is>
          <t>VÄSTERNORRLANDS LÄN</t>
        </is>
      </c>
      <c r="G266" t="inlineStr">
        <is>
          <t>HÄRNÖSAND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46236</v>
      </c>
      <c r="F267" t="inlineStr">
        <is>
          <t>VÄSTERNORRLANDS LÄN</t>
        </is>
      </c>
      <c r="G267" t="inlineStr">
        <is>
          <t>HÄRNÖSAND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46236</v>
      </c>
      <c r="F268" t="inlineStr">
        <is>
          <t>VÄSTERNORRLANDS LÄN</t>
        </is>
      </c>
      <c r="G268" t="inlineStr">
        <is>
          <t>HÄRNÖSAND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46236</v>
      </c>
      <c r="F269" t="inlineStr">
        <is>
          <t>VÄSTERNORRLANDS LÄN</t>
        </is>
      </c>
      <c r="G269" t="inlineStr">
        <is>
          <t>HÄRNÖSAND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45545</v>
      </c>
      <c r="E270" s="1" t="n">
        <v>46236</v>
      </c>
      <c r="F270" t="inlineStr">
        <is>
          <t>VÄSTERNORRLANDS LÄN</t>
        </is>
      </c>
      <c r="G270" t="inlineStr">
        <is>
          <t>HÄRNÖSAND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46236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46236</v>
      </c>
      <c r="F272" t="inlineStr">
        <is>
          <t>VÄSTERNORRLANDS LÄN</t>
        </is>
      </c>
      <c r="G272" t="inlineStr">
        <is>
          <t>HÄRNÖSAND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46160</v>
      </c>
      <c r="E273" s="1" t="n">
        <v>46236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46236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46236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46236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46236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46236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46236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46236</v>
      </c>
      <c r="F280" t="inlineStr">
        <is>
          <t>VÄSTERNORRLANDS LÄN</t>
        </is>
      </c>
      <c r="G280" t="inlineStr">
        <is>
          <t>HÄRNÖSAND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46236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46236</v>
      </c>
      <c r="F282" t="inlineStr">
        <is>
          <t>VÄSTERNORRLANDS LÄN</t>
        </is>
      </c>
      <c r="G282" t="inlineStr">
        <is>
          <t>HÄRNÖSAND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46236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46236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46236</v>
      </c>
      <c r="F285" t="inlineStr">
        <is>
          <t>VÄSTERNORRLANDS LÄN</t>
        </is>
      </c>
      <c r="G285" t="inlineStr">
        <is>
          <t>HÄRNÖSAND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46236</v>
      </c>
      <c r="F286" t="inlineStr">
        <is>
          <t>VÄSTERNORRLANDS LÄN</t>
        </is>
      </c>
      <c r="G286" t="inlineStr">
        <is>
          <t>HÄRNÖSAND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46236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46204</v>
      </c>
      <c r="E288" s="1" t="n">
        <v>46236</v>
      </c>
      <c r="F288" t="inlineStr">
        <is>
          <t>VÄSTERNORRLANDS LÄN</t>
        </is>
      </c>
      <c r="G288" t="inlineStr">
        <is>
          <t>HÄRNÖSAND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46236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46236</v>
      </c>
      <c r="F290" t="inlineStr">
        <is>
          <t>VÄSTERNORRLANDS LÄN</t>
        </is>
      </c>
      <c r="G290" t="inlineStr">
        <is>
          <t>HÄRNÖSAND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46236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46236</v>
      </c>
      <c r="F292" t="inlineStr">
        <is>
          <t>VÄSTERNORRLANDS LÄN</t>
        </is>
      </c>
      <c r="G292" t="inlineStr">
        <is>
          <t>HÄRNÖSAND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46236</v>
      </c>
      <c r="F293" t="inlineStr">
        <is>
          <t>VÄSTERNORRLANDS LÄN</t>
        </is>
      </c>
      <c r="G293" t="inlineStr">
        <is>
          <t>HÄRNÖSAND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46236</v>
      </c>
      <c r="F294" t="inlineStr">
        <is>
          <t>VÄSTERNORRLANDS LÄN</t>
        </is>
      </c>
      <c r="G294" t="inlineStr">
        <is>
          <t>HÄRNÖSAND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46236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46236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46236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46236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46236</v>
      </c>
      <c r="F299" t="inlineStr">
        <is>
          <t>VÄSTERNORRLANDS LÄN</t>
        </is>
      </c>
      <c r="G299" t="inlineStr">
        <is>
          <t>HÄRNÖSAND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46236</v>
      </c>
      <c r="F300" t="inlineStr">
        <is>
          <t>VÄSTERNORRLANDS LÄN</t>
        </is>
      </c>
      <c r="G300" t="inlineStr">
        <is>
          <t>HÄRNÖSAND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46236</v>
      </c>
      <c r="F301" t="inlineStr">
        <is>
          <t>VÄSTERNORRLANDS LÄN</t>
        </is>
      </c>
      <c r="G301" t="inlineStr">
        <is>
          <t>HÄRNÖSAND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46236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46203</v>
      </c>
      <c r="E303" s="1" t="n">
        <v>46236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46236</v>
      </c>
      <c r="F304" t="inlineStr">
        <is>
          <t>VÄSTERNORRLANDS LÄN</t>
        </is>
      </c>
      <c r="G304" t="inlineStr">
        <is>
          <t>HÄRNÖSAND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46236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46236</v>
      </c>
      <c r="F306" t="inlineStr">
        <is>
          <t>VÄSTERNORRLANDS LÄN</t>
        </is>
      </c>
      <c r="G306" t="inlineStr">
        <is>
          <t>HÄRNÖSAND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46236</v>
      </c>
      <c r="F307" t="inlineStr">
        <is>
          <t>VÄSTERNORRLANDS LÄN</t>
        </is>
      </c>
      <c r="G307" t="inlineStr">
        <is>
          <t>HÄRNÖSAND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45786</v>
      </c>
      <c r="E308" s="1" t="n">
        <v>46236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31.8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46236</v>
      </c>
      <c r="F309" t="inlineStr">
        <is>
          <t>VÄSTERNORRLANDS LÄN</t>
        </is>
      </c>
      <c r="G309" t="inlineStr">
        <is>
          <t>HÄRNÖSAND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46236</v>
      </c>
      <c r="F310" t="inlineStr">
        <is>
          <t>VÄSTERNORRLANDS LÄN</t>
        </is>
      </c>
      <c r="G310" t="inlineStr">
        <is>
          <t>HÄRNÖSAND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46236</v>
      </c>
      <c r="F311" t="inlineStr">
        <is>
          <t>VÄSTERNORRLANDS LÄN</t>
        </is>
      </c>
      <c r="G311" t="inlineStr">
        <is>
          <t>HÄRNÖSAND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46236</v>
      </c>
      <c r="F312" t="inlineStr">
        <is>
          <t>VÄSTERNORRLANDS LÄN</t>
        </is>
      </c>
      <c r="G312" t="inlineStr">
        <is>
          <t>HÄRNÖSAND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44603</v>
      </c>
      <c r="E313" s="1" t="n">
        <v>46236</v>
      </c>
      <c r="F313" t="inlineStr">
        <is>
          <t>VÄSTERNORRLANDS LÄN</t>
        </is>
      </c>
      <c r="G313" t="inlineStr">
        <is>
          <t>HÄRNÖSAND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45790</v>
      </c>
      <c r="E314" s="1" t="n">
        <v>46236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31.8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46236</v>
      </c>
      <c r="F315" t="inlineStr">
        <is>
          <t>VÄSTERNORRLANDS LÄN</t>
        </is>
      </c>
      <c r="G315" t="inlineStr">
        <is>
          <t>HÄRNÖSAND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46236</v>
      </c>
      <c r="F316" t="inlineStr">
        <is>
          <t>VÄSTERNORRLANDS LÄN</t>
        </is>
      </c>
      <c r="G316" t="inlineStr">
        <is>
          <t>HÄRNÖSAND</t>
        </is>
      </c>
      <c r="I316" t="n">
        <v>9.199999999999999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47702-2021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44448</v>
      </c>
      <c r="E317" s="1" t="n">
        <v>46236</v>
      </c>
      <c r="F317" t="inlineStr">
        <is>
          <t>VÄSTERNORRLANDS LÄN</t>
        </is>
      </c>
      <c r="G317" t="inlineStr">
        <is>
          <t>HÄRNÖSAND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46236</v>
      </c>
      <c r="F318" t="inlineStr">
        <is>
          <t>VÄSTERNORRLANDS LÄN</t>
        </is>
      </c>
      <c r="G318" t="inlineStr">
        <is>
          <t>HÄRNÖSAND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46236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46236</v>
      </c>
      <c r="F320" t="inlineStr">
        <is>
          <t>VÄSTERNORRLANDS LÄN</t>
        </is>
      </c>
      <c r="G320" t="inlineStr">
        <is>
          <t>HÄRNÖSAND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46236</v>
      </c>
      <c r="F321" t="inlineStr">
        <is>
          <t>VÄSTERNORRLANDS LÄN</t>
        </is>
      </c>
      <c r="G321" t="inlineStr">
        <is>
          <t>HÄRNÖSAND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46236</v>
      </c>
      <c r="F322" t="inlineStr">
        <is>
          <t>VÄSTERNORRLANDS LÄN</t>
        </is>
      </c>
      <c r="G322" t="inlineStr">
        <is>
          <t>HÄRNÖSAND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46236</v>
      </c>
      <c r="F323" t="inlineStr">
        <is>
          <t>VÄSTERNORRLANDS LÄN</t>
        </is>
      </c>
      <c r="G323" t="inlineStr">
        <is>
          <t>HÄRNÖSAND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46236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46236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46205</v>
      </c>
      <c r="E326" s="1" t="n">
        <v>46236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46236</v>
      </c>
      <c r="F327" t="inlineStr">
        <is>
          <t>VÄSTERNORRLANDS LÄN</t>
        </is>
      </c>
      <c r="G327" t="inlineStr">
        <is>
          <t>HÄRNÖSAND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46236</v>
      </c>
      <c r="F328" t="inlineStr">
        <is>
          <t>VÄSTERNORRLANDS LÄN</t>
        </is>
      </c>
      <c r="G328" t="inlineStr">
        <is>
          <t>HÄRNÖSAND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46236</v>
      </c>
      <c r="F329" t="inlineStr">
        <is>
          <t>VÄSTERNORRLANDS LÄN</t>
        </is>
      </c>
      <c r="G329" t="inlineStr">
        <is>
          <t>HÄRNÖSAND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45580</v>
      </c>
      <c r="E330" s="1" t="n">
        <v>46236</v>
      </c>
      <c r="F330" t="inlineStr">
        <is>
          <t>VÄSTERNORRLANDS LÄN</t>
        </is>
      </c>
      <c r="G330" t="inlineStr">
        <is>
          <t>HÄRNÖSAND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46236</v>
      </c>
      <c r="F331" t="inlineStr">
        <is>
          <t>VÄSTERNORRLANDS LÄN</t>
        </is>
      </c>
      <c r="G331" t="inlineStr">
        <is>
          <t>HÄRNÖSAND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46273-2021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44442</v>
      </c>
      <c r="E332" s="1" t="n">
        <v>46236</v>
      </c>
      <c r="F332" t="inlineStr">
        <is>
          <t>VÄSTERNORRLANDS LÄN</t>
        </is>
      </c>
      <c r="G332" t="inlineStr">
        <is>
          <t>HÄRNÖSAND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46236</v>
      </c>
      <c r="F333" t="inlineStr">
        <is>
          <t>VÄSTERNORRLANDS LÄN</t>
        </is>
      </c>
      <c r="G333" t="inlineStr">
        <is>
          <t>HÄRNÖSAND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46236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44596</v>
      </c>
      <c r="E335" s="1" t="n">
        <v>46236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Övriga statliga verk och myndigheter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46236</v>
      </c>
      <c r="F336" t="inlineStr">
        <is>
          <t>VÄSTERNORRLANDS LÄN</t>
        </is>
      </c>
      <c r="G336" t="inlineStr">
        <is>
          <t>HÄRNÖSAND</t>
        </is>
      </c>
      <c r="I336" t="n">
        <v>14.6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46236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46236</v>
      </c>
      <c r="F338" t="inlineStr">
        <is>
          <t>VÄSTERNORRLANDS LÄN</t>
        </is>
      </c>
      <c r="G338" t="inlineStr">
        <is>
          <t>HÄRNÖSAND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46236</v>
      </c>
      <c r="F339" t="inlineStr">
        <is>
          <t>VÄSTERNORRLANDS LÄN</t>
        </is>
      </c>
      <c r="G339" t="inlineStr">
        <is>
          <t>HÄRNÖSAND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46236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46236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46236</v>
      </c>
      <c r="F342" t="inlineStr">
        <is>
          <t>VÄSTERNORRLANDS LÄN</t>
        </is>
      </c>
      <c r="G342" t="inlineStr">
        <is>
          <t>HÄRNÖSAND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46236</v>
      </c>
      <c r="F343" t="inlineStr">
        <is>
          <t>VÄSTERNORRLANDS LÄN</t>
        </is>
      </c>
      <c r="G343" t="inlineStr">
        <is>
          <t>HÄRNÖSAND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46236</v>
      </c>
      <c r="F344" t="inlineStr">
        <is>
          <t>VÄSTERNORRLANDS LÄN</t>
        </is>
      </c>
      <c r="G344" t="inlineStr">
        <is>
          <t>HÄRNÖSAND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46236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46236</v>
      </c>
      <c r="F346" t="inlineStr">
        <is>
          <t>VÄSTERNORRLANDS LÄN</t>
        </is>
      </c>
      <c r="G346" t="inlineStr">
        <is>
          <t>HÄRNÖSAND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46236</v>
      </c>
      <c r="F347" t="inlineStr">
        <is>
          <t>VÄSTERNORRLANDS LÄN</t>
        </is>
      </c>
      <c r="G347" t="inlineStr">
        <is>
          <t>HÄRNÖSAND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59591-2024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46236</v>
      </c>
      <c r="F348" t="inlineStr">
        <is>
          <t>VÄSTERNORRLANDS LÄN</t>
        </is>
      </c>
      <c r="G348" t="inlineStr">
        <is>
          <t>HÄRNÖSAND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46236</v>
      </c>
      <c r="F349" t="inlineStr">
        <is>
          <t>VÄSTERNORRLANDS LÄN</t>
        </is>
      </c>
      <c r="G349" t="inlineStr">
        <is>
          <t>HÄRNÖSAND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46236</v>
      </c>
      <c r="F350" t="inlineStr">
        <is>
          <t>VÄSTERNORRLANDS LÄN</t>
        </is>
      </c>
      <c r="G350" t="inlineStr">
        <is>
          <t>HÄRNÖSAND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46236</v>
      </c>
      <c r="F351" t="inlineStr">
        <is>
          <t>VÄSTERNORRLANDS LÄN</t>
        </is>
      </c>
      <c r="G351" t="inlineStr">
        <is>
          <t>HÄRNÖSAND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46236</v>
      </c>
      <c r="F352" t="inlineStr">
        <is>
          <t>VÄSTERNORRLANDS LÄN</t>
        </is>
      </c>
      <c r="G352" t="inlineStr">
        <is>
          <t>HÄRNÖSAND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46236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46236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46236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46165</v>
      </c>
      <c r="E356" s="1" t="n">
        <v>46236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46236</v>
      </c>
      <c r="F357" t="inlineStr">
        <is>
          <t>VÄSTERNORRLANDS LÄN</t>
        </is>
      </c>
      <c r="G357" t="inlineStr">
        <is>
          <t>HÄRNÖSAND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46236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46236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46236</v>
      </c>
      <c r="F360" t="inlineStr">
        <is>
          <t>VÄSTERNORRLANDS LÄN</t>
        </is>
      </c>
      <c r="G360" t="inlineStr">
        <is>
          <t>HÄRNÖSAND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46236</v>
      </c>
      <c r="F361" t="inlineStr">
        <is>
          <t>VÄSTERNORRLANDS LÄN</t>
        </is>
      </c>
      <c r="G361" t="inlineStr">
        <is>
          <t>HÄRNÖSAND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46236</v>
      </c>
      <c r="F362" t="inlineStr">
        <is>
          <t>VÄSTERNORRLANDS LÄN</t>
        </is>
      </c>
      <c r="G362" t="inlineStr">
        <is>
          <t>HÄRNÖSAND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46236</v>
      </c>
      <c r="F363" t="inlineStr">
        <is>
          <t>VÄSTERNORRLANDS LÄN</t>
        </is>
      </c>
      <c r="G363" t="inlineStr">
        <is>
          <t>HÄRNÖSAND</t>
        </is>
      </c>
      <c r="I363" t="n">
        <v>13.6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46236</v>
      </c>
      <c r="F364" t="inlineStr">
        <is>
          <t>VÄSTERNORRLANDS LÄN</t>
        </is>
      </c>
      <c r="G364" t="inlineStr">
        <is>
          <t>HÄRNÖSAND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46236</v>
      </c>
      <c r="F365" t="inlineStr">
        <is>
          <t>VÄSTERNORRLANDS LÄN</t>
        </is>
      </c>
      <c r="G365" t="inlineStr">
        <is>
          <t>HÄRNÖSAND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46236</v>
      </c>
      <c r="F366" t="inlineStr">
        <is>
          <t>VÄSTERNORRLANDS LÄN</t>
        </is>
      </c>
      <c r="G366" t="inlineStr">
        <is>
          <t>HÄRNÖSAND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46213</v>
      </c>
      <c r="E367" s="1" t="n">
        <v>46236</v>
      </c>
      <c r="F367" t="inlineStr">
        <is>
          <t>VÄSTERNORRLANDS LÄN</t>
        </is>
      </c>
      <c r="G367" t="inlineStr">
        <is>
          <t>HÄRNÖSAND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46215</v>
      </c>
      <c r="E368" s="1" t="n">
        <v>46236</v>
      </c>
      <c r="F368" t="inlineStr">
        <is>
          <t>VÄSTERNORRLANDS LÄN</t>
        </is>
      </c>
      <c r="G368" t="inlineStr">
        <is>
          <t>HÄRNÖSAND</t>
        </is>
      </c>
      <c r="I368" t="n">
        <v>12.7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46215</v>
      </c>
      <c r="E369" s="1" t="n">
        <v>46236</v>
      </c>
      <c r="F369" t="inlineStr">
        <is>
          <t>VÄSTERNORRLANDS LÄN</t>
        </is>
      </c>
      <c r="G369" t="inlineStr">
        <is>
          <t>HÄRNÖSAND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46236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61574-2021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44497</v>
      </c>
      <c r="E371" s="1" t="n">
        <v>46236</v>
      </c>
      <c r="F371" t="inlineStr">
        <is>
          <t>VÄSTERNORRLANDS LÄN</t>
        </is>
      </c>
      <c r="G371" t="inlineStr">
        <is>
          <t>HÄRNÖSAND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46236</v>
      </c>
      <c r="F372" t="inlineStr">
        <is>
          <t>VÄSTERNORRLANDS LÄN</t>
        </is>
      </c>
      <c r="G372" t="inlineStr">
        <is>
          <t>HÄRNÖSAND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46236</v>
      </c>
      <c r="F373" t="inlineStr">
        <is>
          <t>VÄSTERNORRLANDS LÄN</t>
        </is>
      </c>
      <c r="G373" t="inlineStr">
        <is>
          <t>HÄRNÖSAND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46236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46236</v>
      </c>
      <c r="F375" t="inlineStr">
        <is>
          <t>VÄSTERNORRLANDS LÄN</t>
        </is>
      </c>
      <c r="G375" t="inlineStr">
        <is>
          <t>HÄRNÖSAND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46236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46023</v>
      </c>
      <c r="E377" s="1" t="n">
        <v>46236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46236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46023</v>
      </c>
      <c r="E379" s="1" t="n">
        <v>46236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46023</v>
      </c>
      <c r="E380" s="1" t="n">
        <v>46236</v>
      </c>
      <c r="F380" t="inlineStr">
        <is>
          <t>VÄSTERNORRLANDS LÄN</t>
        </is>
      </c>
      <c r="G380" t="inlineStr">
        <is>
          <t>HÄRNÖSAND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46236</v>
      </c>
      <c r="F381" t="inlineStr">
        <is>
          <t>VÄSTERNORRLANDS LÄN</t>
        </is>
      </c>
      <c r="G381" t="inlineStr">
        <is>
          <t>HÄRNÖSAND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46236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46236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46236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46236</v>
      </c>
      <c r="F385" t="inlineStr">
        <is>
          <t>VÄSTERNORRLANDS LÄN</t>
        </is>
      </c>
      <c r="G385" t="inlineStr">
        <is>
          <t>HÄRNÖSAND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46026</v>
      </c>
      <c r="E386" s="1" t="n">
        <v>46236</v>
      </c>
      <c r="F386" t="inlineStr">
        <is>
          <t>VÄSTERNORRLANDS LÄN</t>
        </is>
      </c>
      <c r="G386" t="inlineStr">
        <is>
          <t>HÄRNÖSAND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46029</v>
      </c>
      <c r="E387" s="1" t="n">
        <v>46236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46236</v>
      </c>
      <c r="F388" t="inlineStr">
        <is>
          <t>VÄSTERNORRLANDS LÄN</t>
        </is>
      </c>
      <c r="G388" t="inlineStr">
        <is>
          <t>HÄRNÖSAND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46236</v>
      </c>
      <c r="F389" t="inlineStr">
        <is>
          <t>VÄSTERNORRLANDS LÄN</t>
        </is>
      </c>
      <c r="G389" t="inlineStr">
        <is>
          <t>HÄRNÖSAND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45352</v>
      </c>
      <c r="E390" s="1" t="n">
        <v>46236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46236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46236</v>
      </c>
      <c r="F392" t="inlineStr">
        <is>
          <t>VÄSTERNORRLANDS LÄN</t>
        </is>
      </c>
      <c r="G392" t="inlineStr">
        <is>
          <t>HÄRNÖSAND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46236</v>
      </c>
      <c r="F393" t="inlineStr">
        <is>
          <t>VÄSTERNORRLANDS LÄN</t>
        </is>
      </c>
      <c r="G393" t="inlineStr">
        <is>
          <t>HÄRNÖSAND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46236</v>
      </c>
      <c r="F394" t="inlineStr">
        <is>
          <t>VÄSTERNORRLANDS LÄN</t>
        </is>
      </c>
      <c r="G394" t="inlineStr">
        <is>
          <t>HÄRNÖSAND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46236</v>
      </c>
      <c r="F395" t="inlineStr">
        <is>
          <t>VÄSTERNORRLANDS LÄN</t>
        </is>
      </c>
      <c r="G395" t="inlineStr">
        <is>
          <t>HÄRNÖSAND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46236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46236</v>
      </c>
      <c r="F397" t="inlineStr">
        <is>
          <t>VÄSTERNORRLANDS LÄN</t>
        </is>
      </c>
      <c r="G397" t="inlineStr">
        <is>
          <t>HÄRNÖSAND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45281</v>
      </c>
      <c r="E398" s="1" t="n">
        <v>46236</v>
      </c>
      <c r="F398" t="inlineStr">
        <is>
          <t>VÄSTERNORRLANDS LÄN</t>
        </is>
      </c>
      <c r="G398" t="inlineStr">
        <is>
          <t>HÄRNÖSAND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46236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46236</v>
      </c>
      <c r="F400" t="inlineStr">
        <is>
          <t>VÄSTERNORRLANDS LÄN</t>
        </is>
      </c>
      <c r="G400" t="inlineStr">
        <is>
          <t>HÄRNÖSAND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46236</v>
      </c>
      <c r="F401" t="inlineStr">
        <is>
          <t>VÄSTERNORRLANDS LÄN</t>
        </is>
      </c>
      <c r="G401" t="inlineStr">
        <is>
          <t>HÄRNÖSAND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46236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46236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46236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46038</v>
      </c>
      <c r="E405" s="1" t="n">
        <v>46236</v>
      </c>
      <c r="F405" t="inlineStr">
        <is>
          <t>VÄSTERNORRLANDS LÄN</t>
        </is>
      </c>
      <c r="G405" t="inlineStr">
        <is>
          <t>HÄRNÖSAND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46236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46236</v>
      </c>
      <c r="F407" t="inlineStr">
        <is>
          <t>VÄSTERNORRLANDS LÄN</t>
        </is>
      </c>
      <c r="G407" t="inlineStr">
        <is>
          <t>HÄRNÖSAND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46177</v>
      </c>
      <c r="E408" s="1" t="n">
        <v>46236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46236</v>
      </c>
      <c r="F409" t="inlineStr">
        <is>
          <t>VÄSTERNORRLANDS LÄN</t>
        </is>
      </c>
      <c r="G409" t="inlineStr">
        <is>
          <t>HÄRNÖSAND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46236</v>
      </c>
      <c r="F410" t="inlineStr">
        <is>
          <t>VÄSTERNORRLANDS LÄN</t>
        </is>
      </c>
      <c r="G410" t="inlineStr">
        <is>
          <t>HÄRNÖSAND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44819</v>
      </c>
      <c r="E411" s="1" t="n">
        <v>46236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64023-2023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45278</v>
      </c>
      <c r="E412" s="1" t="n">
        <v>46236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46236</v>
      </c>
      <c r="F413" t="inlineStr">
        <is>
          <t>VÄSTERNORRLANDS LÄN</t>
        </is>
      </c>
      <c r="G413" t="inlineStr">
        <is>
          <t>HÄRNÖSAND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48047-2022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46236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46236</v>
      </c>
      <c r="F415" t="inlineStr">
        <is>
          <t>VÄSTERNORRLANDS LÄN</t>
        </is>
      </c>
      <c r="G415" t="inlineStr">
        <is>
          <t>HÄRNÖSAND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46236</v>
      </c>
      <c r="F416" t="inlineStr">
        <is>
          <t>VÄSTERNORRLANDS LÄN</t>
        </is>
      </c>
      <c r="G416" t="inlineStr">
        <is>
          <t>HÄRNÖSAND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46219</v>
      </c>
      <c r="E417" s="1" t="n">
        <v>46236</v>
      </c>
      <c r="F417" t="inlineStr">
        <is>
          <t>VÄSTERNORRLANDS LÄN</t>
        </is>
      </c>
      <c r="G417" t="inlineStr">
        <is>
          <t>HÄRNÖSAND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46236</v>
      </c>
      <c r="F418" t="inlineStr">
        <is>
          <t>VÄSTERNORRLANDS LÄN</t>
        </is>
      </c>
      <c r="G418" t="inlineStr">
        <is>
          <t>HÄRNÖSAND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46236</v>
      </c>
      <c r="F419" t="inlineStr">
        <is>
          <t>VÄSTERNORRLANDS LÄN</t>
        </is>
      </c>
      <c r="G419" t="inlineStr">
        <is>
          <t>HÄRNÖSAND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44791</v>
      </c>
      <c r="E420" s="1" t="n">
        <v>46236</v>
      </c>
      <c r="F420" t="inlineStr">
        <is>
          <t>VÄSTERNORRLANDS LÄN</t>
        </is>
      </c>
      <c r="G420" t="inlineStr">
        <is>
          <t>HÄRNÖSAND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46236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46236</v>
      </c>
      <c r="F422" t="inlineStr">
        <is>
          <t>VÄSTERNORRLANDS LÄN</t>
        </is>
      </c>
      <c r="G422" t="inlineStr">
        <is>
          <t>HÄRNÖSAND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45418</v>
      </c>
      <c r="E423" s="1" t="n">
        <v>46236</v>
      </c>
      <c r="F423" t="inlineStr">
        <is>
          <t>VÄSTERNORRLANDS LÄN</t>
        </is>
      </c>
      <c r="G423" t="inlineStr">
        <is>
          <t>HÄRNÖSAND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46236</v>
      </c>
      <c r="F424" t="inlineStr">
        <is>
          <t>VÄSTERNORRLANDS LÄN</t>
        </is>
      </c>
      <c r="G424" t="inlineStr">
        <is>
          <t>HÄRNÖSAND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46219</v>
      </c>
      <c r="E425" s="1" t="n">
        <v>46236</v>
      </c>
      <c r="F425" t="inlineStr">
        <is>
          <t>VÄSTERNORRLANDS LÄN</t>
        </is>
      </c>
      <c r="G425" t="inlineStr">
        <is>
          <t>HÄRNÖSAND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46236</v>
      </c>
      <c r="F426" t="inlineStr">
        <is>
          <t>VÄSTERNORRLANDS LÄN</t>
        </is>
      </c>
      <c r="G426" t="inlineStr">
        <is>
          <t>HÄRNÖSAND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46236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46236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46236</v>
      </c>
      <c r="F429" t="inlineStr">
        <is>
          <t>VÄSTERNORRLANDS LÄN</t>
        </is>
      </c>
      <c r="G429" t="inlineStr">
        <is>
          <t>HÄRNÖSAND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46236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46236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45228</v>
      </c>
      <c r="E432" s="1" t="n">
        <v>46236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46236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46236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46054</v>
      </c>
      <c r="E435" s="1" t="n">
        <v>46236</v>
      </c>
      <c r="F435" t="inlineStr">
        <is>
          <t>VÄSTERNORRLANDS LÄN</t>
        </is>
      </c>
      <c r="G435" t="inlineStr">
        <is>
          <t>HÄRNÖSAND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46236</v>
      </c>
      <c r="F436" t="inlineStr">
        <is>
          <t>VÄSTERNORRLANDS LÄN</t>
        </is>
      </c>
      <c r="G436" t="inlineStr">
        <is>
          <t>HÄRNÖSAND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46236</v>
      </c>
      <c r="F437" t="inlineStr">
        <is>
          <t>VÄSTERNORRLANDS LÄN</t>
        </is>
      </c>
      <c r="G437" t="inlineStr">
        <is>
          <t>HÄRNÖSAND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45390</v>
      </c>
      <c r="E438" s="1" t="n">
        <v>46236</v>
      </c>
      <c r="F438" t="inlineStr">
        <is>
          <t>VÄSTERNORRLANDS LÄN</t>
        </is>
      </c>
      <c r="G438" t="inlineStr">
        <is>
          <t>HÄRNÖSAND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46236</v>
      </c>
      <c r="F439" t="inlineStr">
        <is>
          <t>VÄSTERNORRLANDS LÄN</t>
        </is>
      </c>
      <c r="G439" t="inlineStr">
        <is>
          <t>HÄRNÖSAND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41147-2023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46236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46236</v>
      </c>
      <c r="F441" t="inlineStr">
        <is>
          <t>VÄSTERNORRLANDS LÄN</t>
        </is>
      </c>
      <c r="G441" t="inlineStr">
        <is>
          <t>HÄRNÖSAND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46236</v>
      </c>
      <c r="F442" t="inlineStr">
        <is>
          <t>VÄSTERNORRLANDS LÄN</t>
        </is>
      </c>
      <c r="G442" t="inlineStr">
        <is>
          <t>HÄRNÖSAND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45342</v>
      </c>
      <c r="E443" s="1" t="n">
        <v>46236</v>
      </c>
      <c r="F443" t="inlineStr">
        <is>
          <t>VÄSTERNORRLANDS LÄN</t>
        </is>
      </c>
      <c r="G443" t="inlineStr">
        <is>
          <t>HÄRNÖSAND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60970-2021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44496</v>
      </c>
      <c r="E444" s="1" t="n">
        <v>46236</v>
      </c>
      <c r="F444" t="inlineStr">
        <is>
          <t>VÄSTERNORRLANDS LÄN</t>
        </is>
      </c>
      <c r="G444" t="inlineStr">
        <is>
          <t>HÄRNÖSAND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45323</v>
      </c>
      <c r="E445" s="1" t="n">
        <v>46236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46236</v>
      </c>
      <c r="F446" t="inlineStr">
        <is>
          <t>VÄSTERNORRLANDS LÄN</t>
        </is>
      </c>
      <c r="G446" t="inlineStr">
        <is>
          <t>HÄRNÖSAND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45578</v>
      </c>
      <c r="E447" s="1" t="n">
        <v>46236</v>
      </c>
      <c r="F447" t="inlineStr">
        <is>
          <t>VÄSTERNORRLANDS LÄN</t>
        </is>
      </c>
      <c r="G447" t="inlineStr">
        <is>
          <t>HÄRNÖSAND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45578</v>
      </c>
      <c r="E448" s="1" t="n">
        <v>46236</v>
      </c>
      <c r="F448" t="inlineStr">
        <is>
          <t>VÄSTERNORRLANDS LÄN</t>
        </is>
      </c>
      <c r="G448" t="inlineStr">
        <is>
          <t>HÄRNÖSAND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46236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46236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46236</v>
      </c>
      <c r="F451" t="inlineStr">
        <is>
          <t>VÄSTERNORRLANDS LÄN</t>
        </is>
      </c>
      <c r="G451" t="inlineStr">
        <is>
          <t>HÄRNÖSAND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46236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Kyrkan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46236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46236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46236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45409</v>
      </c>
      <c r="E456" s="1" t="n">
        <v>46236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46236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46236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46236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46236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46236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46236</v>
      </c>
      <c r="F462" t="inlineStr">
        <is>
          <t>VÄSTERNORRLANDS LÄN</t>
        </is>
      </c>
      <c r="G462" t="inlineStr">
        <is>
          <t>HÄRNÖSAND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46236</v>
      </c>
      <c r="F463" t="inlineStr">
        <is>
          <t>VÄSTERNORRLANDS LÄN</t>
        </is>
      </c>
      <c r="G463" t="inlineStr">
        <is>
          <t>HÄRNÖSAND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46236</v>
      </c>
      <c r="F464" t="inlineStr">
        <is>
          <t>VÄSTERNORRLANDS LÄN</t>
        </is>
      </c>
      <c r="G464" t="inlineStr">
        <is>
          <t>HÄRNÖSAND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46236</v>
      </c>
      <c r="F465" t="inlineStr">
        <is>
          <t>VÄSTERNORRLANDS LÄN</t>
        </is>
      </c>
      <c r="G465" t="inlineStr">
        <is>
          <t>HÄRNÖSAND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46236</v>
      </c>
      <c r="F466" t="inlineStr">
        <is>
          <t>VÄSTERNORRLANDS LÄN</t>
        </is>
      </c>
      <c r="G466" t="inlineStr">
        <is>
          <t>HÄRNÖSAND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46236</v>
      </c>
      <c r="F467" t="inlineStr">
        <is>
          <t>VÄSTERNORRLANDS LÄN</t>
        </is>
      </c>
      <c r="G467" t="inlineStr">
        <is>
          <t>HÄRNÖSAND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46232</v>
      </c>
      <c r="E468" s="1" t="n">
        <v>46236</v>
      </c>
      <c r="F468" t="inlineStr">
        <is>
          <t>VÄSTERNORRLANDS LÄN</t>
        </is>
      </c>
      <c r="G468" t="inlineStr">
        <is>
          <t>HÄRNÖSAND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46236</v>
      </c>
      <c r="F469" t="inlineStr">
        <is>
          <t>VÄSTERNORRLANDS LÄN</t>
        </is>
      </c>
      <c r="G469" t="inlineStr">
        <is>
          <t>HÄRNÖSAND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46236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46236</v>
      </c>
      <c r="F471" t="inlineStr">
        <is>
          <t>VÄSTERNORRLANDS LÄN</t>
        </is>
      </c>
      <c r="G471" t="inlineStr">
        <is>
          <t>HÄRNÖSAND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30201-2026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46236</v>
      </c>
      <c r="F472" t="inlineStr">
        <is>
          <t>VÄSTERNORRLANDS LÄN</t>
        </is>
      </c>
      <c r="G472" t="inlineStr">
        <is>
          <t>HÄRNÖSAND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46236</v>
      </c>
      <c r="F473" t="inlineStr">
        <is>
          <t>VÄSTERNORRLANDS LÄN</t>
        </is>
      </c>
      <c r="G473" t="inlineStr">
        <is>
          <t>HÄRNÖSAND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46236</v>
      </c>
      <c r="F474" t="inlineStr">
        <is>
          <t>VÄSTERNORRLANDS LÄN</t>
        </is>
      </c>
      <c r="G474" t="inlineStr">
        <is>
          <t>HÄRNÖSAND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46236</v>
      </c>
      <c r="F475" t="inlineStr">
        <is>
          <t>VÄSTERNORRLANDS LÄN</t>
        </is>
      </c>
      <c r="G475" t="inlineStr">
        <is>
          <t>HÄRNÖSAND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46236</v>
      </c>
      <c r="F476" t="inlineStr">
        <is>
          <t>VÄSTERNORRLANDS LÄN</t>
        </is>
      </c>
      <c r="G476" t="inlineStr">
        <is>
          <t>HÄRNÖSAND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46236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46236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46236</v>
      </c>
      <c r="F479" t="inlineStr">
        <is>
          <t>VÄSTERNORRLANDS LÄN</t>
        </is>
      </c>
      <c r="G479" t="inlineStr">
        <is>
          <t>HÄRNÖSAND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46189</v>
      </c>
      <c r="E480" s="1" t="n">
        <v>46236</v>
      </c>
      <c r="F480" t="inlineStr">
        <is>
          <t>VÄSTERNORRLANDS LÄN</t>
        </is>
      </c>
      <c r="G480" t="inlineStr">
        <is>
          <t>HÄRNÖSAND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45512</v>
      </c>
      <c r="E481" s="1" t="n">
        <v>46236</v>
      </c>
      <c r="F481" t="inlineStr">
        <is>
          <t>VÄSTERNORRLANDS LÄN</t>
        </is>
      </c>
      <c r="G481" t="inlineStr">
        <is>
          <t>HÄRNÖSAND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12750-2022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44641</v>
      </c>
      <c r="E482" s="1" t="n">
        <v>46236</v>
      </c>
      <c r="F482" t="inlineStr">
        <is>
          <t>VÄSTERNORRLANDS LÄN</t>
        </is>
      </c>
      <c r="G482" t="inlineStr">
        <is>
          <t>HÄRNÖSAND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46236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46236</v>
      </c>
      <c r="F484" t="inlineStr">
        <is>
          <t>VÄSTERNORRLANDS LÄN</t>
        </is>
      </c>
      <c r="G484" t="inlineStr">
        <is>
          <t>HÄRNÖSAND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46236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46236</v>
      </c>
      <c r="F486" t="inlineStr">
        <is>
          <t>VÄSTERNORRLANDS LÄN</t>
        </is>
      </c>
      <c r="G486" t="inlineStr">
        <is>
          <t>HÄRNÖSAND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46236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46236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46236</v>
      </c>
      <c r="F489" t="inlineStr">
        <is>
          <t>VÄSTERNORRLANDS LÄN</t>
        </is>
      </c>
      <c r="G489" t="inlineStr">
        <is>
          <t>HÄRNÖSAND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46236</v>
      </c>
      <c r="F490" t="inlineStr">
        <is>
          <t>VÄSTERNORRLANDS LÄN</t>
        </is>
      </c>
      <c r="G490" t="inlineStr">
        <is>
          <t>HÄRNÖSAND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46236</v>
      </c>
      <c r="F491" t="inlineStr">
        <is>
          <t>VÄSTERNORRLANDS LÄN</t>
        </is>
      </c>
      <c r="G491" t="inlineStr">
        <is>
          <t>HÄRNÖSAND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46236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46236</v>
      </c>
      <c r="F493" t="inlineStr">
        <is>
          <t>VÄSTERNORRLANDS LÄN</t>
        </is>
      </c>
      <c r="G493" t="inlineStr">
        <is>
          <t>HÄRNÖSAND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46077</v>
      </c>
      <c r="E494" s="1" t="n">
        <v>46236</v>
      </c>
      <c r="F494" t="inlineStr">
        <is>
          <t>VÄSTERNORRLANDS LÄN</t>
        </is>
      </c>
      <c r="G494" t="inlineStr">
        <is>
          <t>HÄRNÖSAND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46236</v>
      </c>
      <c r="F495" t="inlineStr">
        <is>
          <t>VÄSTERNORRLANDS LÄN</t>
        </is>
      </c>
      <c r="G495" t="inlineStr">
        <is>
          <t>HÄRNÖSAND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46236</v>
      </c>
      <c r="F496" t="inlineStr">
        <is>
          <t>VÄSTERNORRLANDS LÄN</t>
        </is>
      </c>
      <c r="G496" t="inlineStr">
        <is>
          <t>HÄRNÖSAND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46236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46236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54091-2024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45616</v>
      </c>
      <c r="E499" s="1" t="n">
        <v>46236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46236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11202-2026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46080</v>
      </c>
      <c r="E501" s="1" t="n">
        <v>46236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16979-2022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44676</v>
      </c>
      <c r="E502" s="1" t="n">
        <v>46236</v>
      </c>
      <c r="F502" t="inlineStr">
        <is>
          <t>VÄSTERNORRLANDS LÄN</t>
        </is>
      </c>
      <c r="G502" t="inlineStr">
        <is>
          <t>HÄRNÖSAND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45729</v>
      </c>
      <c r="E503" s="1" t="n">
        <v>46236</v>
      </c>
      <c r="F503" t="inlineStr">
        <is>
          <t>VÄSTERNORRLANDS LÄN</t>
        </is>
      </c>
      <c r="G503" t="inlineStr">
        <is>
          <t>HÄRNÖSAND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46236</v>
      </c>
      <c r="F504" t="inlineStr">
        <is>
          <t>VÄSTERNORRLANDS LÄN</t>
        </is>
      </c>
      <c r="G504" t="inlineStr">
        <is>
          <t>HÄRNÖSAND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46236</v>
      </c>
      <c r="F505" t="inlineStr">
        <is>
          <t>VÄSTERNORRLANDS LÄN</t>
        </is>
      </c>
      <c r="G505" t="inlineStr">
        <is>
          <t>HÄRNÖSAND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46086</v>
      </c>
      <c r="E506" s="1" t="n">
        <v>46236</v>
      </c>
      <c r="F506" t="inlineStr">
        <is>
          <t>VÄSTERNORRLANDS LÄN</t>
        </is>
      </c>
      <c r="G506" t="inlineStr">
        <is>
          <t>HÄRNÖSAND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46236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Övriga statliga verk och myndigheter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12650-2026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46091</v>
      </c>
      <c r="E508" s="1" t="n">
        <v>46236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46091</v>
      </c>
      <c r="E509" s="1" t="n">
        <v>46236</v>
      </c>
      <c r="F509" t="inlineStr">
        <is>
          <t>VÄSTERNORRLANDS LÄN</t>
        </is>
      </c>
      <c r="G509" t="inlineStr">
        <is>
          <t>HÄRNÖSAND</t>
        </is>
      </c>
      <c r="I509" t="n">
        <v>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19827-2022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46236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46236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46236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46091</v>
      </c>
      <c r="E513" s="1" t="n">
        <v>46236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46236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46236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9727-2022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44617</v>
      </c>
      <c r="E516" s="1" t="n">
        <v>46236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45428</v>
      </c>
      <c r="E517" s="1" t="n">
        <v>46236</v>
      </c>
      <c r="F517" t="inlineStr">
        <is>
          <t>VÄSTERNORRLANDS LÄN</t>
        </is>
      </c>
      <c r="G517" t="inlineStr">
        <is>
          <t>HÄRNÖSAND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45163</v>
      </c>
      <c r="E518" s="1" t="n">
        <v>46236</v>
      </c>
      <c r="F518" t="inlineStr">
        <is>
          <t>VÄSTERNORRLANDS LÄN</t>
        </is>
      </c>
      <c r="G518" t="inlineStr">
        <is>
          <t>HÄRNÖSAND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45376</v>
      </c>
      <c r="E519" s="1" t="n">
        <v>46236</v>
      </c>
      <c r="F519" t="inlineStr">
        <is>
          <t>VÄSTERNORRLANDS LÄN</t>
        </is>
      </c>
      <c r="G519" t="inlineStr">
        <is>
          <t>HÄRNÖSAND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46236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46236</v>
      </c>
      <c r="F521" t="inlineStr">
        <is>
          <t>VÄSTERNORRLANDS LÄN</t>
        </is>
      </c>
      <c r="G521" t="inlineStr">
        <is>
          <t>HÄRNÖSAND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46236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44858</v>
      </c>
      <c r="E523" s="1" t="n">
        <v>46236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45730</v>
      </c>
      <c r="E524" s="1" t="n">
        <v>46236</v>
      </c>
      <c r="F524" t="inlineStr">
        <is>
          <t>VÄSTERNORRLANDS LÄN</t>
        </is>
      </c>
      <c r="G524" t="inlineStr">
        <is>
          <t>HÄRNÖSAND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46236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46236</v>
      </c>
      <c r="F526" t="inlineStr">
        <is>
          <t>VÄSTERNORRLANDS LÄN</t>
        </is>
      </c>
      <c r="G526" t="inlineStr">
        <is>
          <t>HÄRNÖSAND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46236</v>
      </c>
      <c r="F527" t="inlineStr">
        <is>
          <t>VÄSTERNORRLANDS LÄN</t>
        </is>
      </c>
      <c r="G527" t="inlineStr">
        <is>
          <t>HÄRNÖSAND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15160-2026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46236</v>
      </c>
      <c r="F528" t="inlineStr">
        <is>
          <t>VÄSTERNORRLANDS LÄN</t>
        </is>
      </c>
      <c r="G528" t="inlineStr">
        <is>
          <t>HÄRNÖSAND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46236</v>
      </c>
      <c r="F529" t="inlineStr">
        <is>
          <t>VÄSTERNORRLANDS LÄN</t>
        </is>
      </c>
      <c r="G529" t="inlineStr">
        <is>
          <t>HÄRNÖSAND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44706</v>
      </c>
      <c r="E530" s="1" t="n">
        <v>46236</v>
      </c>
      <c r="F530" t="inlineStr">
        <is>
          <t>VÄSTERNORRLANDS LÄN</t>
        </is>
      </c>
      <c r="G530" t="inlineStr">
        <is>
          <t>HÄRNÖSAND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46105</v>
      </c>
      <c r="E531" s="1" t="n">
        <v>46236</v>
      </c>
      <c r="F531" t="inlineStr">
        <is>
          <t>VÄSTERNORRLANDS LÄN</t>
        </is>
      </c>
      <c r="G531" t="inlineStr">
        <is>
          <t>HÄRNÖSAND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44728</v>
      </c>
      <c r="E532" s="1" t="n">
        <v>46236</v>
      </c>
      <c r="F532" t="inlineStr">
        <is>
          <t>VÄSTERNORRLANDS LÄN</t>
        </is>
      </c>
      <c r="G532" t="inlineStr">
        <is>
          <t>HÄRNÖSAND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46105</v>
      </c>
      <c r="E533" s="1" t="n">
        <v>46236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46236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46236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15930-2026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46236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46236</v>
      </c>
      <c r="F537" t="inlineStr">
        <is>
          <t>VÄSTERNORRLANDS LÄN</t>
        </is>
      </c>
      <c r="G537" t="inlineStr">
        <is>
          <t>HÄRNÖSAND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46236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46236</v>
      </c>
      <c r="F539" t="inlineStr">
        <is>
          <t>VÄSTERNORRLANDS LÄN</t>
        </is>
      </c>
      <c r="G539" t="inlineStr">
        <is>
          <t>HÄRNÖSAND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45776</v>
      </c>
      <c r="E540" s="1" t="n">
        <v>46236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46236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46236</v>
      </c>
      <c r="F542" t="inlineStr">
        <is>
          <t>VÄSTERNORRLANDS LÄN</t>
        </is>
      </c>
      <c r="G542" t="inlineStr">
        <is>
          <t>HÄRNÖSAND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46236</v>
      </c>
      <c r="F543" t="inlineStr">
        <is>
          <t>VÄSTERNORRLANDS LÄN</t>
        </is>
      </c>
      <c r="G543" t="inlineStr">
        <is>
          <t>HÄRNÖSAND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25007-2022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44728</v>
      </c>
      <c r="E544" s="1" t="n">
        <v>46236</v>
      </c>
      <c r="F544" t="inlineStr">
        <is>
          <t>VÄSTERNORRLANDS LÄN</t>
        </is>
      </c>
      <c r="G544" t="inlineStr">
        <is>
          <t>HÄRNÖSAND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46236</v>
      </c>
      <c r="F545" t="inlineStr">
        <is>
          <t>VÄSTERNORRLANDS LÄN</t>
        </is>
      </c>
      <c r="G545" t="inlineStr">
        <is>
          <t>HÄRNÖSAND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46236</v>
      </c>
      <c r="F546" t="inlineStr">
        <is>
          <t>VÄSTERNORRLANDS LÄN</t>
        </is>
      </c>
      <c r="G546" t="inlineStr">
        <is>
          <t>HÄRNÖSAND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46236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32.1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46236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46236</v>
      </c>
      <c r="F549" t="inlineStr">
        <is>
          <t>VÄSTERNORRLANDS LÄN</t>
        </is>
      </c>
      <c r="G549" t="inlineStr">
        <is>
          <t>HÄRNÖSAND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46236</v>
      </c>
      <c r="F550" t="inlineStr">
        <is>
          <t>VÄSTERNORRLANDS LÄN</t>
        </is>
      </c>
      <c r="G550" t="inlineStr">
        <is>
          <t>HÄRNÖSAND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46236</v>
      </c>
      <c r="F551" t="inlineStr">
        <is>
          <t>VÄSTERNORRLANDS LÄN</t>
        </is>
      </c>
      <c r="G551" t="inlineStr">
        <is>
          <t>HÄRNÖSAND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46236</v>
      </c>
      <c r="F552" t="inlineStr">
        <is>
          <t>VÄSTERNORRLANDS LÄN</t>
        </is>
      </c>
      <c r="G552" t="inlineStr">
        <is>
          <t>HÄRNÖSAND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46236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31.9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46236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42343-2024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46236</v>
      </c>
      <c r="F555" t="inlineStr">
        <is>
          <t>VÄSTERNORRLANDS LÄN</t>
        </is>
      </c>
      <c r="G555" t="inlineStr">
        <is>
          <t>HÄRNÖSAND</t>
        </is>
      </c>
      <c r="I555" t="n">
        <v>15.6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44726</v>
      </c>
      <c r="E556" s="1" t="n">
        <v>46236</v>
      </c>
      <c r="F556" t="inlineStr">
        <is>
          <t>VÄSTERNORRLANDS LÄN</t>
        </is>
      </c>
      <c r="G556" t="inlineStr">
        <is>
          <t>HÄRNÖSAND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46236</v>
      </c>
      <c r="F557" t="inlineStr">
        <is>
          <t>VÄSTERNORRLANDS LÄN</t>
        </is>
      </c>
      <c r="G557" t="inlineStr">
        <is>
          <t>HÄRNÖSAND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45723</v>
      </c>
      <c r="E558" s="1" t="n">
        <v>46236</v>
      </c>
      <c r="F558" t="inlineStr">
        <is>
          <t>VÄSTERNORRLANDS LÄN</t>
        </is>
      </c>
      <c r="G558" t="inlineStr">
        <is>
          <t>HÄRNÖSAND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46236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59155-2023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46236</v>
      </c>
      <c r="F560" t="inlineStr">
        <is>
          <t>VÄSTERNORRLANDS LÄN</t>
        </is>
      </c>
      <c r="G560" t="inlineStr">
        <is>
          <t>HÄRNÖSAND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46236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46236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46236</v>
      </c>
      <c r="F563" t="inlineStr">
        <is>
          <t>VÄSTERNORRLANDS LÄN</t>
        </is>
      </c>
      <c r="G563" t="inlineStr">
        <is>
          <t>HÄRNÖSAND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46236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46236</v>
      </c>
      <c r="F565" t="inlineStr">
        <is>
          <t>VÄSTERNORRLANDS LÄN</t>
        </is>
      </c>
      <c r="G565" t="inlineStr">
        <is>
          <t>HÄRNÖSAND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45231</v>
      </c>
      <c r="E566" s="1" t="n">
        <v>46236</v>
      </c>
      <c r="F566" t="inlineStr">
        <is>
          <t>VÄSTERNORRLANDS LÄN</t>
        </is>
      </c>
      <c r="G566" t="inlineStr">
        <is>
          <t>HÄRNÖSAND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44747</v>
      </c>
      <c r="E567" s="1" t="n">
        <v>46236</v>
      </c>
      <c r="F567" t="inlineStr">
        <is>
          <t>VÄSTERNORRLANDS LÄN</t>
        </is>
      </c>
      <c r="G567" t="inlineStr">
        <is>
          <t>HÄRNÖSAND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45348</v>
      </c>
      <c r="E568" s="1" t="n">
        <v>46236</v>
      </c>
      <c r="F568" t="inlineStr">
        <is>
          <t>VÄSTERNORRLANDS LÄN</t>
        </is>
      </c>
      <c r="G568" t="inlineStr">
        <is>
          <t>HÄRNÖSAND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46236</v>
      </c>
      <c r="F569" t="inlineStr">
        <is>
          <t>VÄSTERNORRLANDS LÄN</t>
        </is>
      </c>
      <c r="G569" t="inlineStr">
        <is>
          <t>HÄRNÖSAND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45578</v>
      </c>
      <c r="E570" s="1" t="n">
        <v>46236</v>
      </c>
      <c r="F570" t="inlineStr">
        <is>
          <t>VÄSTERNORRLANDS LÄN</t>
        </is>
      </c>
      <c r="G570" t="inlineStr">
        <is>
          <t>HÄRNÖSAND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45313</v>
      </c>
      <c r="E571" s="1" t="n">
        <v>46236</v>
      </c>
      <c r="F571" t="inlineStr">
        <is>
          <t>VÄSTERNORRLANDS LÄN</t>
        </is>
      </c>
      <c r="G571" t="inlineStr">
        <is>
          <t>HÄRNÖSAND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45366</v>
      </c>
      <c r="E572" s="1" t="n">
        <v>46236</v>
      </c>
      <c r="F572" t="inlineStr">
        <is>
          <t>VÄSTERNORRLANDS LÄN</t>
        </is>
      </c>
      <c r="G572" t="inlineStr">
        <is>
          <t>HÄRNÖSAND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44853</v>
      </c>
      <c r="E573" s="1" t="n">
        <v>46236</v>
      </c>
      <c r="F573" t="inlineStr">
        <is>
          <t>VÄSTERNORRLANDS LÄN</t>
        </is>
      </c>
      <c r="G573" t="inlineStr">
        <is>
          <t>HÄRNÖSAND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46236</v>
      </c>
      <c r="F574" t="inlineStr">
        <is>
          <t>VÄSTERNORRLANDS LÄN</t>
        </is>
      </c>
      <c r="G574" t="inlineStr">
        <is>
          <t>HÄRNÖSAND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46236</v>
      </c>
      <c r="F575" t="inlineStr">
        <is>
          <t>VÄSTERNORRLANDS LÄN</t>
        </is>
      </c>
      <c r="G575" t="inlineStr">
        <is>
          <t>HÄRNÖSAND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45757</v>
      </c>
      <c r="E576" s="1" t="n">
        <v>46236</v>
      </c>
      <c r="F576" t="inlineStr">
        <is>
          <t>VÄSTERNORRLANDS LÄN</t>
        </is>
      </c>
      <c r="G576" t="inlineStr">
        <is>
          <t>HÄRNÖSAND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34513-2022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44792</v>
      </c>
      <c r="E577" s="1" t="n">
        <v>46236</v>
      </c>
      <c r="F577" t="inlineStr">
        <is>
          <t>VÄSTERNORRLANDS LÄN</t>
        </is>
      </c>
      <c r="G577" t="inlineStr">
        <is>
          <t>HÄRNÖSAND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46236</v>
      </c>
      <c r="F578" t="inlineStr">
        <is>
          <t>VÄSTERNORRLANDS LÄN</t>
        </is>
      </c>
      <c r="G578" t="inlineStr">
        <is>
          <t>HÄRNÖSAND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45496</v>
      </c>
      <c r="E579" s="1" t="n">
        <v>46236</v>
      </c>
      <c r="F579" t="inlineStr">
        <is>
          <t>VÄSTERNORRLANDS LÄN</t>
        </is>
      </c>
      <c r="G579" t="inlineStr">
        <is>
          <t>HÄRNÖSAND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46236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45091</v>
      </c>
      <c r="E581" s="1" t="n">
        <v>46236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64377-2023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45280</v>
      </c>
      <c r="E582" s="1" t="n">
        <v>46236</v>
      </c>
      <c r="F582" t="inlineStr">
        <is>
          <t>VÄSTERNORRLANDS LÄN</t>
        </is>
      </c>
      <c r="G582" t="inlineStr">
        <is>
          <t>HÄRNÖSAND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46236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46236</v>
      </c>
      <c r="F584" t="inlineStr">
        <is>
          <t>VÄSTERNORRLANDS LÄN</t>
        </is>
      </c>
      <c r="G584" t="inlineStr">
        <is>
          <t>HÄRNÖSAND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46236</v>
      </c>
      <c r="F585" t="inlineStr">
        <is>
          <t>VÄSTERNORRLANDS LÄN</t>
        </is>
      </c>
      <c r="G585" t="inlineStr">
        <is>
          <t>HÄRNÖSAND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45433</v>
      </c>
      <c r="E586" s="1" t="n">
        <v>46236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8475-2024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45351</v>
      </c>
      <c r="E587" s="1" t="n">
        <v>46236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46236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52987-2022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44875</v>
      </c>
      <c r="E589" s="1" t="n">
        <v>46236</v>
      </c>
      <c r="F589" t="inlineStr">
        <is>
          <t>VÄSTERNORRLANDS LÄN</t>
        </is>
      </c>
      <c r="G589" t="inlineStr">
        <is>
          <t>HÄRNÖSAND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45482</v>
      </c>
      <c r="E590" s="1" t="n">
        <v>46236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44571</v>
      </c>
      <c r="E591" s="1" t="n">
        <v>46236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45585-2024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46236</v>
      </c>
      <c r="F592" t="inlineStr">
        <is>
          <t>VÄSTERNORRLANDS LÄN</t>
        </is>
      </c>
      <c r="G592" t="inlineStr">
        <is>
          <t>HÄRNÖSAND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46236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46236</v>
      </c>
      <c r="F594" t="inlineStr">
        <is>
          <t>VÄSTERNORRLANDS LÄN</t>
        </is>
      </c>
      <c r="G594" t="inlineStr">
        <is>
          <t>HÄRNÖSAND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45516</v>
      </c>
      <c r="E595" s="1" t="n">
        <v>46236</v>
      </c>
      <c r="F595" t="inlineStr">
        <is>
          <t>VÄSTERNORRLANDS LÄN</t>
        </is>
      </c>
      <c r="G595" t="inlineStr">
        <is>
          <t>HÄRNÖSAND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45496</v>
      </c>
      <c r="E596" s="1" t="n">
        <v>46236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46236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46236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46236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59034-2022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44903</v>
      </c>
      <c r="E600" s="1" t="n">
        <v>46236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46236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46236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25541-2025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46236</v>
      </c>
      <c r="F603" t="inlineStr">
        <is>
          <t>VÄSTERNORRLANDS LÄN</t>
        </is>
      </c>
      <c r="G603" t="inlineStr">
        <is>
          <t>HÄRNÖSAND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46236</v>
      </c>
      <c r="F604" t="inlineStr">
        <is>
          <t>VÄSTERNORRLANDS LÄN</t>
        </is>
      </c>
      <c r="G604" t="inlineStr">
        <is>
          <t>HÄRNÖSAND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45681-2021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44441</v>
      </c>
      <c r="E605" s="1" t="n">
        <v>46236</v>
      </c>
      <c r="F605" t="inlineStr">
        <is>
          <t>VÄSTERNORRLANDS LÄN</t>
        </is>
      </c>
      <c r="G605" t="inlineStr">
        <is>
          <t>HÄRNÖSAND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46236</v>
      </c>
      <c r="F606" t="inlineStr">
        <is>
          <t>VÄSTERNORRLANDS LÄN</t>
        </is>
      </c>
      <c r="G606" t="inlineStr">
        <is>
          <t>HÄRNÖSAND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57685-2024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45630</v>
      </c>
      <c r="E607" s="1" t="n">
        <v>46236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46236</v>
      </c>
      <c r="F608" t="inlineStr">
        <is>
          <t>VÄSTERNORRLANDS LÄN</t>
        </is>
      </c>
      <c r="G608" t="inlineStr">
        <is>
          <t>HÄRNÖSAND</t>
        </is>
      </c>
      <c r="I608" t="n">
        <v>7.9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45811</v>
      </c>
      <c r="E609" s="1" t="n">
        <v>46236</v>
      </c>
      <c r="F609" t="inlineStr">
        <is>
          <t>VÄSTERNORRLANDS LÄN</t>
        </is>
      </c>
      <c r="G609" t="inlineStr">
        <is>
          <t>HÄRNÖSAND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46236</v>
      </c>
      <c r="F610" t="inlineStr">
        <is>
          <t>VÄSTERNORRLANDS LÄN</t>
        </is>
      </c>
      <c r="G610" t="inlineStr">
        <is>
          <t>HÄRNÖSAND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46236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28389-2025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45819</v>
      </c>
      <c r="E612" s="1" t="n">
        <v>46236</v>
      </c>
      <c r="F612" t="inlineStr">
        <is>
          <t>VÄSTERNORRLANDS LÄN</t>
        </is>
      </c>
      <c r="G612" t="inlineStr">
        <is>
          <t>HÄRNÖSAND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29233-2025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46236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29542-2025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46236</v>
      </c>
      <c r="F614" t="inlineStr">
        <is>
          <t>VÄSTERNORRLANDS LÄN</t>
        </is>
      </c>
      <c r="G614" t="inlineStr">
        <is>
          <t>HÄRNÖSAND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45825</v>
      </c>
      <c r="E615" s="1" t="n">
        <v>46236</v>
      </c>
      <c r="F615" t="inlineStr">
        <is>
          <t>VÄSTERNORRLANDS LÄN</t>
        </is>
      </c>
      <c r="G615" t="inlineStr">
        <is>
          <t>HÄRNÖSAND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46236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46236</v>
      </c>
      <c r="F617" t="inlineStr">
        <is>
          <t>VÄSTERNORRLANDS LÄN</t>
        </is>
      </c>
      <c r="G617" t="inlineStr">
        <is>
          <t>HÄRNÖSAND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46236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Kyrkan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46236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32.5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46236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46236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46236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46236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46236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46236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46236</v>
      </c>
      <c r="F626" t="inlineStr">
        <is>
          <t>VÄSTERNORRLANDS LÄN</t>
        </is>
      </c>
      <c r="G626" t="inlineStr">
        <is>
          <t>HÄRNÖSAND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46236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46236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32365-2025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45837</v>
      </c>
      <c r="E629" s="1" t="n">
        <v>46236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45840</v>
      </c>
      <c r="E630" s="1" t="n">
        <v>46236</v>
      </c>
      <c r="F630" t="inlineStr">
        <is>
          <t>VÄSTERNORRLANDS LÄN</t>
        </is>
      </c>
      <c r="G630" t="inlineStr">
        <is>
          <t>HÄRNÖSAND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46236</v>
      </c>
      <c r="F631" t="inlineStr">
        <is>
          <t>VÄSTERNORRLANDS LÄN</t>
        </is>
      </c>
      <c r="G631" t="inlineStr">
        <is>
          <t>HÄRNÖSAND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45848</v>
      </c>
      <c r="E632" s="1" t="n">
        <v>46236</v>
      </c>
      <c r="F632" t="inlineStr">
        <is>
          <t>VÄSTERNORRLANDS LÄN</t>
        </is>
      </c>
      <c r="G632" t="inlineStr">
        <is>
          <t>HÄRNÖSAND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34751-2025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45848</v>
      </c>
      <c r="E633" s="1" t="n">
        <v>46236</v>
      </c>
      <c r="F633" t="inlineStr">
        <is>
          <t>VÄSTERNORRLANDS LÄN</t>
        </is>
      </c>
      <c r="G633" t="inlineStr">
        <is>
          <t>HÄRNÖSAND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45749</v>
      </c>
      <c r="E634" s="1" t="n">
        <v>46236</v>
      </c>
      <c r="F634" t="inlineStr">
        <is>
          <t>VÄSTERNORRLANDS LÄN</t>
        </is>
      </c>
      <c r="G634" t="inlineStr">
        <is>
          <t>HÄRNÖSAND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45853</v>
      </c>
      <c r="E635" s="1" t="n">
        <v>46236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45793</v>
      </c>
      <c r="E636" s="1" t="n">
        <v>46236</v>
      </c>
      <c r="F636" t="inlineStr">
        <is>
          <t>VÄSTERNORRLANDS LÄN</t>
        </is>
      </c>
      <c r="G636" t="inlineStr">
        <is>
          <t>HÄRNÖSAND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45729</v>
      </c>
      <c r="E637" s="1" t="n">
        <v>46236</v>
      </c>
      <c r="F637" t="inlineStr">
        <is>
          <t>VÄSTERNORRLANDS LÄN</t>
        </is>
      </c>
      <c r="G637" t="inlineStr">
        <is>
          <t>HÄRNÖSAND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45741</v>
      </c>
      <c r="E638" s="1" t="n">
        <v>46236</v>
      </c>
      <c r="F638" t="inlineStr">
        <is>
          <t>VÄSTERNORRLANDS LÄN</t>
        </is>
      </c>
      <c r="G638" t="inlineStr">
        <is>
          <t>HÄRNÖSAND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44973</v>
      </c>
      <c r="E639" s="1" t="n">
        <v>46236</v>
      </c>
      <c r="F639" t="inlineStr">
        <is>
          <t>VÄSTERNORRLANDS LÄN</t>
        </is>
      </c>
      <c r="G639" t="inlineStr">
        <is>
          <t>HÄRNÖSAND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45574</v>
      </c>
      <c r="E640" s="1" t="n">
        <v>46236</v>
      </c>
      <c r="F640" t="inlineStr">
        <is>
          <t>VÄSTERNORRLANDS LÄN</t>
        </is>
      </c>
      <c r="G640" t="inlineStr">
        <is>
          <t>HÄRNÖSAND</t>
        </is>
      </c>
      <c r="I640" t="n">
        <v>9.5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46236</v>
      </c>
      <c r="F641" t="inlineStr">
        <is>
          <t>VÄSTERNORRLANDS LÄN</t>
        </is>
      </c>
      <c r="G641" t="inlineStr">
        <is>
          <t>HÄRNÖSAND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36960-2025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45874</v>
      </c>
      <c r="E642" s="1" t="n">
        <v>46236</v>
      </c>
      <c r="F642" t="inlineStr">
        <is>
          <t>VÄSTERNORRLANDS LÄN</t>
        </is>
      </c>
      <c r="G642" t="inlineStr">
        <is>
          <t>HÄRNÖSAND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36993-2025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45874</v>
      </c>
      <c r="E643" s="1" t="n">
        <v>46236</v>
      </c>
      <c r="F643" t="inlineStr">
        <is>
          <t>VÄSTERNORRLANDS LÄN</t>
        </is>
      </c>
      <c r="G643" t="inlineStr">
        <is>
          <t>HÄRNÖSAND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45874</v>
      </c>
      <c r="E644" s="1" t="n">
        <v>46236</v>
      </c>
      <c r="F644" t="inlineStr">
        <is>
          <t>VÄSTERNORRLANDS LÄN</t>
        </is>
      </c>
      <c r="G644" t="inlineStr">
        <is>
          <t>HÄRNÖSAND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45874</v>
      </c>
      <c r="E645" s="1" t="n">
        <v>46236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46236</v>
      </c>
      <c r="F646" t="inlineStr">
        <is>
          <t>VÄSTERNORRLANDS LÄN</t>
        </is>
      </c>
      <c r="G646" t="inlineStr">
        <is>
          <t>HÄRNÖSAND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46236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46236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46236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46236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46236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46236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46236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46236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46236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2026-08-02T01:57:02Z</dcterms:created>
  <dcterms:modified xmlns:dcterms="http://purl.org/dc/terms/" xmlns:xsi="http://www.w3.org/2001/XMLSchema-instance" xsi:type="dcterms:W3CDTF">2026-08-02T01:57:03Z</dcterms:modified>
</cp:coreProperties>
</file>