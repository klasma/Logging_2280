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46292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46292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46292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46292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46292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46292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46292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46292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46292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46292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46292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46292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46292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46292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46292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46292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46292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46292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46292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46292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46292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46292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46292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46292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46292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46292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46292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46292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46292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46292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46292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46292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29814-2022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46292</v>
      </c>
      <c r="F53" t="inlineStr">
        <is>
          <t>VÄSTERNORRLANDS LÄN</t>
        </is>
      </c>
      <c r="G53" t="inlineStr">
        <is>
          <t>HÄRNÖSAND</t>
        </is>
      </c>
      <c r="I53" t="n">
        <v>2.7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Sotvaxskivling
Sotriska
Svavelriska</t>
        </is>
      </c>
      <c r="W53">
        <f>HYPERLINK("https://klasma.github.io/Logging_2280/artfynd/A 29814-2022 artfynd.xlsx", "A 29814-2022")</f>
        <v/>
      </c>
      <c r="X53">
        <f>HYPERLINK("https://klasma.github.io/Logging_2280/kartor/A 29814-2022 karta.png", "A 29814-2022")</f>
        <v/>
      </c>
      <c r="Y53">
        <f>HYPERLINK("https://klasma.github.io/Logging_2280/kartor_geotiff/A 29814-2022 georefererad karta.tif", "A 29814-2022")</f>
        <v/>
      </c>
      <c r="AA53">
        <f>HYPERLINK("https://klasma.github.io/Logging_2280/klagomål/A 29814-2022 FSC-klagomål.docx", "A 29814-2022")</f>
        <v/>
      </c>
      <c r="AB53">
        <f>HYPERLINK("https://klasma.github.io/Logging_2280/klagomålsmail/A 29814-2022 FSC-klagomål mail.docx", "A 29814-2022")</f>
        <v/>
      </c>
      <c r="AC53">
        <f>HYPERLINK("https://klasma.github.io/Logging_2280/tillsyn/A 29814-2022 tillsynsbegäran.docx", "A 29814-2022")</f>
        <v/>
      </c>
      <c r="AD53">
        <f>HYPERLINK("https://klasma.github.io/Logging_2280/tillsynsmail/A 29814-2022 tillsynsbegäran mail.docx", "A 29814-2022")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46292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46292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46292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46292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46292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46292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46292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46292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46292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46292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46292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46292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46292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46292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46292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46292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1190-2026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46292</v>
      </c>
      <c r="F71" t="inlineStr">
        <is>
          <t>VÄSTERNORRLANDS LÄN</t>
        </is>
      </c>
      <c r="G71" t="inlineStr">
        <is>
          <t>HÄRNÖSAND</t>
        </is>
      </c>
      <c r="I71" t="n">
        <v>3.5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Tretåig hackspett</t>
        </is>
      </c>
      <c r="W71">
        <f>HYPERLINK("https://klasma.github.io/Logging_2280/artfynd/A 1190-2026 artfynd.xlsx", "A 1190-2026")</f>
        <v/>
      </c>
      <c r="X71">
        <f>HYPERLINK("https://klasma.github.io/Logging_2280/kartor/A 1190-2026 karta.png", "A 1190-2026")</f>
        <v/>
      </c>
      <c r="Y71">
        <f>HYPERLINK("https://klasma.github.io/Logging_2280/kartor_geotiff/A 1190-2026 georefererad karta.tif", "A 1190-2026")</f>
        <v/>
      </c>
      <c r="AA71">
        <f>HYPERLINK("https://klasma.github.io/Logging_2280/klagomål/A 1190-2026 FSC-klagomål.docx", "A 1190-2026")</f>
        <v/>
      </c>
      <c r="AB71">
        <f>HYPERLINK("https://klasma.github.io/Logging_2280/klagomålsmail/A 1190-2026 FSC-klagomål mail.docx", "A 1190-2026")</f>
        <v/>
      </c>
      <c r="AC71">
        <f>HYPERLINK("https://klasma.github.io/Logging_2280/tillsyn/A 1190-2026 tillsynsbegäran.docx", "A 1190-2026")</f>
        <v/>
      </c>
      <c r="AD71">
        <f>HYPERLINK("https://klasma.github.io/Logging_2280/tillsynsmail/A 1190-2026 tillsynsbegäran mail.docx", "A 1190-2026")</f>
        <v/>
      </c>
      <c r="AE71">
        <f>HYPERLINK("https://klasma.github.io/Logging_2280/fåglar/A 1190-2026 prioriterade fågelarter.docx", "A 1190-2026")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46292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46292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46292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46292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46292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46292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46292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43541-2022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44837</v>
      </c>
      <c r="E79" s="1" t="n">
        <v>46292</v>
      </c>
      <c r="F79" t="inlineStr">
        <is>
          <t>VÄSTERNORRLANDS LÄN</t>
        </is>
      </c>
      <c r="G79" t="inlineStr">
        <is>
          <t>HÄRNÖSAND</t>
        </is>
      </c>
      <c r="I79" t="n">
        <v>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Sötgräs</t>
        </is>
      </c>
      <c r="W79">
        <f>HYPERLINK("https://klasma.github.io/Logging_2280/artfynd/A 43541-2022 artfynd.xlsx", "A 43541-2022")</f>
        <v/>
      </c>
      <c r="X79">
        <f>HYPERLINK("https://klasma.github.io/Logging_2280/kartor/A 43541-2022 karta.png", "A 43541-2022")</f>
        <v/>
      </c>
      <c r="Y79">
        <f>HYPERLINK("https://klasma.github.io/Logging_2280/kartor_geotiff/A 43541-2022 georefererad karta.tif", "A 43541-2022")</f>
        <v/>
      </c>
      <c r="AA79">
        <f>HYPERLINK("https://klasma.github.io/Logging_2280/klagomål/A 43541-2022 FSC-klagomål.docx", "A 43541-2022")</f>
        <v/>
      </c>
      <c r="AB79">
        <f>HYPERLINK("https://klasma.github.io/Logging_2280/klagomålsmail/A 43541-2022 FSC-klagomål mail.docx", "A 43541-2022")</f>
        <v/>
      </c>
      <c r="AC79">
        <f>HYPERLINK("https://klasma.github.io/Logging_2280/tillsyn/A 43541-2022 tillsynsbegäran.docx", "A 43541-2022")</f>
        <v/>
      </c>
      <c r="AD79">
        <f>HYPERLINK("https://klasma.github.io/Logging_2280/tillsynsmail/A 43541-2022 tillsynsbegäran mail.docx", "A 43541-2022")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46292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46292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25340-2026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46176</v>
      </c>
      <c r="E82" s="1" t="n">
        <v>46292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Garnlav</t>
        </is>
      </c>
      <c r="W82">
        <f>HYPERLINK("https://klasma.github.io/Logging_2280/artfynd/A 25340-2026 artfynd.xlsx", "A 25340-2026")</f>
        <v/>
      </c>
      <c r="X82">
        <f>HYPERLINK("https://klasma.github.io/Logging_2280/kartor/A 25340-2026 karta.png", "A 25340-2026")</f>
        <v/>
      </c>
      <c r="Y82">
        <f>HYPERLINK("https://klasma.github.io/Logging_2280/kartor_geotiff/A 25340-2026 georefererad karta.tif", "A 25340-2026")</f>
        <v/>
      </c>
      <c r="AA82">
        <f>HYPERLINK("https://klasma.github.io/Logging_2280/klagomål/A 25340-2026 FSC-klagomål.docx", "A 25340-2026")</f>
        <v/>
      </c>
      <c r="AB82">
        <f>HYPERLINK("https://klasma.github.io/Logging_2280/klagomålsmail/A 25340-2026 FSC-klagomål mail.docx", "A 25340-2026")</f>
        <v/>
      </c>
      <c r="AC82">
        <f>HYPERLINK("https://klasma.github.io/Logging_2280/tillsyn/A 25340-2026 tillsynsbegäran.docx", "A 25340-2026")</f>
        <v/>
      </c>
      <c r="AD82">
        <f>HYPERLINK("https://klasma.github.io/Logging_2280/tillsynsmail/A 25340-2026 tillsynsbegäran mail.docx", "A 25340-2026")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46292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27457-2026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46292</v>
      </c>
      <c r="F84" t="inlineStr">
        <is>
          <t>VÄSTERNORRLANDS LÄN</t>
        </is>
      </c>
      <c r="G84" t="inlineStr">
        <is>
          <t>HÄRNÖSAND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HYPERLINK("https://klasma.github.io/Logging_2280/artfynd/A 27457-2026 artfynd.xlsx", "A 27457-2026")</f>
        <v/>
      </c>
      <c r="X84">
        <f>HYPERLINK("https://klasma.github.io/Logging_2280/kartor/A 27457-2026 karta.png", "A 27457-2026")</f>
        <v/>
      </c>
      <c r="Y84">
        <f>HYPERLINK("https://klasma.github.io/Logging_2280/kartor_geotiff/A 27457-2026 georefererad karta.tif", "A 27457-2026")</f>
        <v/>
      </c>
      <c r="AA84">
        <f>HYPERLINK("https://klasma.github.io/Logging_2280/klagomål/A 27457-2026 FSC-klagomål.docx", "A 27457-2026")</f>
        <v/>
      </c>
      <c r="AB84">
        <f>HYPERLINK("https://klasma.github.io/Logging_2280/klagomålsmail/A 27457-2026 FSC-klagomål mail.docx", "A 27457-2026")</f>
        <v/>
      </c>
      <c r="AC84">
        <f>HYPERLINK("https://klasma.github.io/Logging_2280/tillsyn/A 27457-2026 tillsynsbegäran.docx", "A 27457-2026")</f>
        <v/>
      </c>
      <c r="AD84">
        <f>HYPERLINK("https://klasma.github.io/Logging_2280/tillsynsmail/A 27457-2026 tillsynsbegäran mail.docx", "A 27457-2026")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46292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26664-2026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46292</v>
      </c>
      <c r="F86" t="inlineStr">
        <is>
          <t>VÄSTERNORRLANDS LÄN</t>
        </is>
      </c>
      <c r="G86" t="inlineStr">
        <is>
          <t>HÄRNÖSAND</t>
        </is>
      </c>
      <c r="I86" t="n">
        <v>4.8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Duvhök</t>
        </is>
      </c>
      <c r="W86">
        <f>HYPERLINK("https://klasma.github.io/Logging_2280/artfynd/A 26664-2026 artfynd.xlsx", "A 26664-2026")</f>
        <v/>
      </c>
      <c r="X86">
        <f>HYPERLINK("https://klasma.github.io/Logging_2280/kartor/A 26664-2026 karta.png", "A 26664-2026")</f>
        <v/>
      </c>
      <c r="Y86">
        <f>HYPERLINK("https://klasma.github.io/Logging_2280/kartor_geotiff/A 26664-2026 georefererad karta.tif", "A 26664-2026")</f>
        <v/>
      </c>
      <c r="AA86">
        <f>HYPERLINK("https://klasma.github.io/Logging_2280/klagomål/A 26664-2026 FSC-klagomål.docx", "A 26664-2026")</f>
        <v/>
      </c>
      <c r="AB86">
        <f>HYPERLINK("https://klasma.github.io/Logging_2280/klagomålsmail/A 26664-2026 FSC-klagomål mail.docx", "A 26664-2026")</f>
        <v/>
      </c>
      <c r="AC86">
        <f>HYPERLINK("https://klasma.github.io/Logging_2280/tillsyn/A 26664-2026 tillsynsbegäran.docx", "A 26664-2026")</f>
        <v/>
      </c>
      <c r="AD86">
        <f>HYPERLINK("https://klasma.github.io/Logging_2280/tillsynsmail/A 26664-2026 tillsynsbegäran mail.docx", "A 26664-2026")</f>
        <v/>
      </c>
      <c r="AE86">
        <f>HYPERLINK("https://klasma.github.io/Logging_2280/fåglar/A 26664-2026 prioriterade fågelarter.docx", "A 26664-2026")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46292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46292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46292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46292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46292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46292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46292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46292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46292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46292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46292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46292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46292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46292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46292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46292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46292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46292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46292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46292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46292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46292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46292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46292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46292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46292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46292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46292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46292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46292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46292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46292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46292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46292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46292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46292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46292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46292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46292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46292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46292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46292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46292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46292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46292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46292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46292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46292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46292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46292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46292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45409</v>
      </c>
      <c r="E138" s="1" t="n">
        <v>46292</v>
      </c>
      <c r="F138" t="inlineStr">
        <is>
          <t>VÄSTERNORRLANDS LÄN</t>
        </is>
      </c>
      <c r="G138" t="inlineStr">
        <is>
          <t>HÄRNÖSAND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46292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46292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46292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46292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46292</v>
      </c>
      <c r="F143" t="inlineStr">
        <is>
          <t>VÄSTERNORRLANDS LÄN</t>
        </is>
      </c>
      <c r="G143" t="inlineStr">
        <is>
          <t>HÄRNÖSAND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46292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46292</v>
      </c>
      <c r="F145" t="inlineStr">
        <is>
          <t>VÄSTERNORRLANDS LÄN</t>
        </is>
      </c>
      <c r="G145" t="inlineStr">
        <is>
          <t>HÄRNÖSAND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45489</v>
      </c>
      <c r="E146" s="1" t="n">
        <v>46292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46292</v>
      </c>
      <c r="F147" t="inlineStr">
        <is>
          <t>VÄSTERNORRLANDS LÄN</t>
        </is>
      </c>
      <c r="G147" t="inlineStr">
        <is>
          <t>HÄRNÖSAND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46292</v>
      </c>
      <c r="F148" t="inlineStr">
        <is>
          <t>VÄSTERNORRLANDS LÄN</t>
        </is>
      </c>
      <c r="G148" t="inlineStr">
        <is>
          <t>HÄRNÖSAND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46024</v>
      </c>
      <c r="E149" s="1" t="n">
        <v>46292</v>
      </c>
      <c r="F149" t="inlineStr">
        <is>
          <t>VÄSTERNORRLANDS LÄN</t>
        </is>
      </c>
      <c r="G149" t="inlineStr">
        <is>
          <t>HÄRNÖSAND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46292</v>
      </c>
      <c r="F150" t="inlineStr">
        <is>
          <t>VÄSTERNORRLANDS LÄN</t>
        </is>
      </c>
      <c r="G150" t="inlineStr">
        <is>
          <t>HÄRNÖSAND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46023</v>
      </c>
      <c r="E151" s="1" t="n">
        <v>46292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46024</v>
      </c>
      <c r="E152" s="1" t="n">
        <v>46292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46292</v>
      </c>
      <c r="F153" t="inlineStr">
        <is>
          <t>VÄSTERNORRLANDS LÄN</t>
        </is>
      </c>
      <c r="G153" t="inlineStr">
        <is>
          <t>HÄRNÖSAND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46292</v>
      </c>
      <c r="F154" t="inlineStr">
        <is>
          <t>VÄSTERNORRLANDS LÄN</t>
        </is>
      </c>
      <c r="G154" t="inlineStr">
        <is>
          <t>HÄRNÖSAND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46026</v>
      </c>
      <c r="E155" s="1" t="n">
        <v>46292</v>
      </c>
      <c r="F155" t="inlineStr">
        <is>
          <t>VÄSTERNORRLANDS LÄN</t>
        </is>
      </c>
      <c r="G155" t="inlineStr">
        <is>
          <t>HÄRNÖSAND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46292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780-2026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46029</v>
      </c>
      <c r="E157" s="1" t="n">
        <v>46292</v>
      </c>
      <c r="F157" t="inlineStr">
        <is>
          <t>VÄSTERNORRLANDS LÄN</t>
        </is>
      </c>
      <c r="G157" t="inlineStr">
        <is>
          <t>HÄRNÖSAND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46292</v>
      </c>
      <c r="F158" t="inlineStr">
        <is>
          <t>VÄSTERNORRLANDS LÄN</t>
        </is>
      </c>
      <c r="G158" t="inlineStr">
        <is>
          <t>HÄRNÖSAND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46292</v>
      </c>
      <c r="F159" t="inlineStr">
        <is>
          <t>VÄSTERNORRLANDS LÄN</t>
        </is>
      </c>
      <c r="G159" t="inlineStr">
        <is>
          <t>HÄRNÖSAND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46292</v>
      </c>
      <c r="F160" t="inlineStr">
        <is>
          <t>VÄSTERNORRLANDS LÄN</t>
        </is>
      </c>
      <c r="G160" t="inlineStr">
        <is>
          <t>HÄRNÖSAND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46292</v>
      </c>
      <c r="F161" t="inlineStr">
        <is>
          <t>VÄSTERNORRLANDS LÄN</t>
        </is>
      </c>
      <c r="G161" t="inlineStr">
        <is>
          <t>HÄRNÖSAND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46292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46292</v>
      </c>
      <c r="F164" t="inlineStr">
        <is>
          <t>VÄSTERNORRLANDS LÄN</t>
        </is>
      </c>
      <c r="G164" t="inlineStr">
        <is>
          <t>HÄRNÖSAND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46292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46292</v>
      </c>
      <c r="F166" t="inlineStr">
        <is>
          <t>VÄSTERNORRLANDS LÄN</t>
        </is>
      </c>
      <c r="G166" t="inlineStr">
        <is>
          <t>HÄRNÖSAND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46292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50338-2022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44865</v>
      </c>
      <c r="E168" s="1" t="n">
        <v>46292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45516</v>
      </c>
      <c r="E169" s="1" t="n">
        <v>46292</v>
      </c>
      <c r="F169" t="inlineStr">
        <is>
          <t>VÄSTERNORRLANDS LÄN</t>
        </is>
      </c>
      <c r="G169" t="inlineStr">
        <is>
          <t>HÄRNÖSAND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45139</v>
      </c>
      <c r="E170" s="1" t="n">
        <v>46292</v>
      </c>
      <c r="F170" t="inlineStr">
        <is>
          <t>VÄSTERNORRLANDS LÄN</t>
        </is>
      </c>
      <c r="G170" t="inlineStr">
        <is>
          <t>HÄRNÖSAND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46292</v>
      </c>
      <c r="F171" t="inlineStr">
        <is>
          <t>VÄSTERNORRLANDS LÄN</t>
        </is>
      </c>
      <c r="G171" t="inlineStr">
        <is>
          <t>HÄRNÖSAND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46292</v>
      </c>
      <c r="F172" t="inlineStr">
        <is>
          <t>VÄSTERNORRLANDS LÄN</t>
        </is>
      </c>
      <c r="G172" t="inlineStr">
        <is>
          <t>HÄRNÖSAND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46292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44937</v>
      </c>
      <c r="E174" s="1" t="n">
        <v>46292</v>
      </c>
      <c r="F174" t="inlineStr">
        <is>
          <t>VÄSTERNORRLANDS LÄN</t>
        </is>
      </c>
      <c r="G174" t="inlineStr">
        <is>
          <t>HÄRNÖSAND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46292</v>
      </c>
      <c r="F175" t="inlineStr">
        <is>
          <t>VÄSTERNORRLANDS LÄN</t>
        </is>
      </c>
      <c r="G175" t="inlineStr">
        <is>
          <t>HÄRNÖSAND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46292</v>
      </c>
      <c r="F176" t="inlineStr">
        <is>
          <t>VÄSTERNORRLANDS LÄN</t>
        </is>
      </c>
      <c r="G176" t="inlineStr">
        <is>
          <t>HÄRNÖSAND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46292</v>
      </c>
      <c r="F177" t="inlineStr">
        <is>
          <t>VÄSTERNORRLANDS LÄN</t>
        </is>
      </c>
      <c r="G177" t="inlineStr">
        <is>
          <t>HÄRNÖSAND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46292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46292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46292</v>
      </c>
      <c r="F180" t="inlineStr">
        <is>
          <t>VÄSTERNORRLANDS LÄN</t>
        </is>
      </c>
      <c r="G180" t="inlineStr">
        <is>
          <t>HÄRNÖSAND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46292</v>
      </c>
      <c r="F181" t="inlineStr">
        <is>
          <t>VÄSTERNORRLANDS LÄN</t>
        </is>
      </c>
      <c r="G181" t="inlineStr">
        <is>
          <t>HÄRNÖSAND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46292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46292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46292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44498</v>
      </c>
      <c r="E185" s="1" t="n">
        <v>46292</v>
      </c>
      <c r="F185" t="inlineStr">
        <is>
          <t>VÄSTERNORRLANDS LÄN</t>
        </is>
      </c>
      <c r="G185" t="inlineStr">
        <is>
          <t>HÄRNÖSAND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46292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46292</v>
      </c>
      <c r="F187" t="inlineStr">
        <is>
          <t>VÄSTERNORRLANDS LÄN</t>
        </is>
      </c>
      <c r="G187" t="inlineStr">
        <is>
          <t>HÄRNÖSAND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46292</v>
      </c>
      <c r="F188" t="inlineStr">
        <is>
          <t>VÄSTERNORRLANDS LÄN</t>
        </is>
      </c>
      <c r="G188" t="inlineStr">
        <is>
          <t>HÄRNÖSAND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46292</v>
      </c>
      <c r="F189" t="inlineStr">
        <is>
          <t>VÄSTERNORRLANDS LÄN</t>
        </is>
      </c>
      <c r="G189" t="inlineStr">
        <is>
          <t>HÄRNÖSAND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46292</v>
      </c>
      <c r="F190" t="inlineStr">
        <is>
          <t>VÄSTERNORRLANDS LÄN</t>
        </is>
      </c>
      <c r="G190" t="inlineStr">
        <is>
          <t>HÄRNÖSAND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46292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46292</v>
      </c>
      <c r="F192" t="inlineStr">
        <is>
          <t>VÄSTERNORRLANDS LÄN</t>
        </is>
      </c>
      <c r="G192" t="inlineStr">
        <is>
          <t>HÄRNÖSAND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46292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46292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46292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46292</v>
      </c>
      <c r="F196" t="inlineStr">
        <is>
          <t>VÄSTERNORRLANDS LÄN</t>
        </is>
      </c>
      <c r="G196" t="inlineStr">
        <is>
          <t>HÄRNÖSAND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46292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46292</v>
      </c>
      <c r="F198" t="inlineStr">
        <is>
          <t>VÄSTERNORRLANDS LÄN</t>
        </is>
      </c>
      <c r="G198" t="inlineStr">
        <is>
          <t>HÄRNÖSAND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46049</v>
      </c>
      <c r="E199" s="1" t="n">
        <v>46292</v>
      </c>
      <c r="F199" t="inlineStr">
        <is>
          <t>VÄSTERNORRLANDS LÄN</t>
        </is>
      </c>
      <c r="G199" t="inlineStr">
        <is>
          <t>HÄRNÖSAND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46292</v>
      </c>
      <c r="F200" t="inlineStr">
        <is>
          <t>VÄSTERNORRLANDS LÄN</t>
        </is>
      </c>
      <c r="G200" t="inlineStr">
        <is>
          <t>HÄRNÖSAND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46292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46292</v>
      </c>
      <c r="F202" t="inlineStr">
        <is>
          <t>VÄSTERNORRLANDS LÄN</t>
        </is>
      </c>
      <c r="G202" t="inlineStr">
        <is>
          <t>HÄRNÖSAND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46292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49039-2023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45209</v>
      </c>
      <c r="E204" s="1" t="n">
        <v>46292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46292</v>
      </c>
      <c r="F205" t="inlineStr">
        <is>
          <t>VÄSTERNORRLANDS LÄN</t>
        </is>
      </c>
      <c r="G205" t="inlineStr">
        <is>
          <t>HÄRNÖSAND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46292</v>
      </c>
      <c r="F206" t="inlineStr">
        <is>
          <t>VÄSTERNORRLANDS LÄN</t>
        </is>
      </c>
      <c r="G206" t="inlineStr">
        <is>
          <t>HÄRNÖSAND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46292</v>
      </c>
      <c r="F207" t="inlineStr">
        <is>
          <t>VÄSTERNORRLANDS LÄN</t>
        </is>
      </c>
      <c r="G207" t="inlineStr">
        <is>
          <t>HÄRNÖSAND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46292</v>
      </c>
      <c r="F208" t="inlineStr">
        <is>
          <t>VÄSTERNORRLANDS LÄN</t>
        </is>
      </c>
      <c r="G208" t="inlineStr">
        <is>
          <t>HÄRNÖSAND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46292</v>
      </c>
      <c r="F209" t="inlineStr">
        <is>
          <t>VÄSTERNORRLANDS LÄN</t>
        </is>
      </c>
      <c r="G209" t="inlineStr">
        <is>
          <t>HÄRNÖSAND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46292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46292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46292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46292</v>
      </c>
      <c r="F213" t="inlineStr">
        <is>
          <t>VÄSTERNORRLANDS LÄN</t>
        </is>
      </c>
      <c r="G213" t="inlineStr">
        <is>
          <t>HÄRNÖSAND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54251-2022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44881</v>
      </c>
      <c r="E214" s="1" t="n">
        <v>46292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46292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46292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Kyrkan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46292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45341-2025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46292</v>
      </c>
      <c r="F218" t="inlineStr">
        <is>
          <t>VÄSTERNORRLANDS LÄN</t>
        </is>
      </c>
      <c r="G218" t="inlineStr">
        <is>
          <t>HÄRNÖSAND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46292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46292</v>
      </c>
      <c r="F220" t="inlineStr">
        <is>
          <t>VÄSTERNORRLANDS LÄN</t>
        </is>
      </c>
      <c r="G220" t="inlineStr">
        <is>
          <t>HÄRNÖSAND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46065</v>
      </c>
      <c r="E221" s="1" t="n">
        <v>46292</v>
      </c>
      <c r="F221" t="inlineStr">
        <is>
          <t>VÄSTERNORRLANDS LÄN</t>
        </is>
      </c>
      <c r="G221" t="inlineStr">
        <is>
          <t>HÄRNÖSAND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46292</v>
      </c>
      <c r="F222" t="inlineStr">
        <is>
          <t>VÄSTERNORRLANDS LÄN</t>
        </is>
      </c>
      <c r="G222" t="inlineStr">
        <is>
          <t>HÄRNÖSAND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46292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46292</v>
      </c>
      <c r="F224" t="inlineStr">
        <is>
          <t>VÄSTERNORRLANDS LÄN</t>
        </is>
      </c>
      <c r="G224" t="inlineStr">
        <is>
          <t>HÄRNÖSAND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46292</v>
      </c>
      <c r="F225" t="inlineStr">
        <is>
          <t>VÄSTERNORRLANDS LÄN</t>
        </is>
      </c>
      <c r="G225" t="inlineStr">
        <is>
          <t>HÄRNÖSAND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46292</v>
      </c>
      <c r="F226" t="inlineStr">
        <is>
          <t>VÄSTERNORRLANDS LÄN</t>
        </is>
      </c>
      <c r="G226" t="inlineStr">
        <is>
          <t>HÄRNÖSAND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46292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46292</v>
      </c>
      <c r="F228" t="inlineStr">
        <is>
          <t>VÄSTERNORRLANDS LÄN</t>
        </is>
      </c>
      <c r="G228" t="inlineStr">
        <is>
          <t>HÄRNÖSAND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46292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46292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46292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46292</v>
      </c>
      <c r="F232" t="inlineStr">
        <is>
          <t>VÄSTERNORRLANDS LÄN</t>
        </is>
      </c>
      <c r="G232" t="inlineStr">
        <is>
          <t>HÄRNÖSAND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44894</v>
      </c>
      <c r="E233" s="1" t="n">
        <v>46292</v>
      </c>
      <c r="F233" t="inlineStr">
        <is>
          <t>VÄSTERNORRLANDS LÄN</t>
        </is>
      </c>
      <c r="G233" t="inlineStr">
        <is>
          <t>HÄRNÖSAND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46292</v>
      </c>
      <c r="F234" t="inlineStr">
        <is>
          <t>VÄSTERNORRLANDS LÄN</t>
        </is>
      </c>
      <c r="G234" t="inlineStr">
        <is>
          <t>HÄRNÖSAND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46292</v>
      </c>
      <c r="F235" t="inlineStr">
        <is>
          <t>VÄSTERNORRLANDS LÄN</t>
        </is>
      </c>
      <c r="G235" t="inlineStr">
        <is>
          <t>HÄRNÖSAND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46292</v>
      </c>
      <c r="F236" t="inlineStr">
        <is>
          <t>VÄSTERNORRLANDS LÄN</t>
        </is>
      </c>
      <c r="G236" t="inlineStr">
        <is>
          <t>HÄRNÖSAND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46292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Övriga statliga verk och myndigheter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45805</v>
      </c>
      <c r="E238" s="1" t="n">
        <v>46292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46292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46292</v>
      </c>
      <c r="F240" t="inlineStr">
        <is>
          <t>VÄSTERNORRLANDS LÄN</t>
        </is>
      </c>
      <c r="G240" t="inlineStr">
        <is>
          <t>HÄRNÖSAND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46292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11202-2026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46080</v>
      </c>
      <c r="E242" s="1" t="n">
        <v>46292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45630</v>
      </c>
      <c r="E243" s="1" t="n">
        <v>46292</v>
      </c>
      <c r="F243" t="inlineStr">
        <is>
          <t>VÄSTERNORRLANDS LÄN</t>
        </is>
      </c>
      <c r="G243" t="inlineStr">
        <is>
          <t>HÄRNÖSAND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46292</v>
      </c>
      <c r="F244" t="inlineStr">
        <is>
          <t>VÄSTERNORRLANDS LÄN</t>
        </is>
      </c>
      <c r="G244" t="inlineStr">
        <is>
          <t>HÄRNÖSAND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46292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46292</v>
      </c>
      <c r="F246" t="inlineStr">
        <is>
          <t>VÄSTERNORRLANDS LÄN</t>
        </is>
      </c>
      <c r="G246" t="inlineStr">
        <is>
          <t>HÄRNÖSAND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46292</v>
      </c>
      <c r="F247" t="inlineStr">
        <is>
          <t>VÄSTERNORRLANDS LÄN</t>
        </is>
      </c>
      <c r="G247" t="inlineStr">
        <is>
          <t>HÄRNÖSAND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46292</v>
      </c>
      <c r="F248" t="inlineStr">
        <is>
          <t>VÄSTERNORRLANDS LÄN</t>
        </is>
      </c>
      <c r="G248" t="inlineStr">
        <is>
          <t>HÄRNÖSAND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46292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Övriga statliga verk och myndigheter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12650-2026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46091</v>
      </c>
      <c r="E250" s="1" t="n">
        <v>46292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46292</v>
      </c>
      <c r="F251" t="inlineStr">
        <is>
          <t>VÄSTERNORRLANDS LÄN</t>
        </is>
      </c>
      <c r="G251" t="inlineStr">
        <is>
          <t>HÄRNÖSAND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46292</v>
      </c>
      <c r="F252" t="inlineStr">
        <is>
          <t>VÄSTERNORRLANDS LÄN</t>
        </is>
      </c>
      <c r="G252" t="inlineStr">
        <is>
          <t>HÄRNÖSAND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46292</v>
      </c>
      <c r="F253" t="inlineStr">
        <is>
          <t>VÄSTERNORRLANDS LÄN</t>
        </is>
      </c>
      <c r="G253" t="inlineStr">
        <is>
          <t>HÄRNÖSAND</t>
        </is>
      </c>
      <c r="I253" t="n">
        <v>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46292</v>
      </c>
      <c r="F254" t="inlineStr">
        <is>
          <t>VÄSTERNORRLANDS LÄN</t>
        </is>
      </c>
      <c r="G254" t="inlineStr">
        <is>
          <t>HÄRNÖSAND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46292</v>
      </c>
      <c r="F255" t="inlineStr">
        <is>
          <t>VÄSTERNORRLANDS LÄN</t>
        </is>
      </c>
      <c r="G255" t="inlineStr">
        <is>
          <t>HÄRNÖSAND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46292</v>
      </c>
      <c r="F256" t="inlineStr">
        <is>
          <t>VÄSTERNORRLANDS LÄN</t>
        </is>
      </c>
      <c r="G256" t="inlineStr">
        <is>
          <t>HÄRNÖSAND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46292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46292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46292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45390</v>
      </c>
      <c r="E260" s="1" t="n">
        <v>46292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46292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45505</v>
      </c>
      <c r="E262" s="1" t="n">
        <v>46292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46292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46292</v>
      </c>
      <c r="F264" t="inlineStr">
        <is>
          <t>VÄSTERNORRLANDS LÄN</t>
        </is>
      </c>
      <c r="G264" t="inlineStr">
        <is>
          <t>HÄRNÖSAND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46292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46292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16.2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46104</v>
      </c>
      <c r="E267" s="1" t="n">
        <v>46292</v>
      </c>
      <c r="F267" t="inlineStr">
        <is>
          <t>VÄSTERNORRLANDS LÄN</t>
        </is>
      </c>
      <c r="G267" t="inlineStr">
        <is>
          <t>HÄRNÖSAND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46292</v>
      </c>
      <c r="F268" t="inlineStr">
        <is>
          <t>VÄSTERNORRLANDS LÄN</t>
        </is>
      </c>
      <c r="G268" t="inlineStr">
        <is>
          <t>HÄRNÖSAND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46292</v>
      </c>
      <c r="F269" t="inlineStr">
        <is>
          <t>VÄSTERNORRLANDS LÄN</t>
        </is>
      </c>
      <c r="G269" t="inlineStr">
        <is>
          <t>HÄRNÖSAND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44747</v>
      </c>
      <c r="E270" s="1" t="n">
        <v>46292</v>
      </c>
      <c r="F270" t="inlineStr">
        <is>
          <t>VÄSTERNORRLANDS LÄN</t>
        </is>
      </c>
      <c r="G270" t="inlineStr">
        <is>
          <t>HÄRNÖSAND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46292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46292</v>
      </c>
      <c r="F272" t="inlineStr">
        <is>
          <t>VÄSTERNORRLANDS LÄN</t>
        </is>
      </c>
      <c r="G272" t="inlineStr">
        <is>
          <t>HÄRNÖSAND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46292</v>
      </c>
      <c r="F273" t="inlineStr">
        <is>
          <t>VÄSTERNORRLANDS LÄN</t>
        </is>
      </c>
      <c r="G273" t="inlineStr">
        <is>
          <t>HÄRNÖSAND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46292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46292</v>
      </c>
      <c r="F275" t="inlineStr">
        <is>
          <t>VÄSTERNORRLANDS LÄN</t>
        </is>
      </c>
      <c r="G275" t="inlineStr">
        <is>
          <t>HÄRNÖSAND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46292</v>
      </c>
      <c r="F276" t="inlineStr">
        <is>
          <t>VÄSTERNORRLANDS LÄN</t>
        </is>
      </c>
      <c r="G276" t="inlineStr">
        <is>
          <t>HÄRNÖSAND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46292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46292</v>
      </c>
      <c r="F278" t="inlineStr">
        <is>
          <t>VÄSTERNORRLANDS LÄN</t>
        </is>
      </c>
      <c r="G278" t="inlineStr">
        <is>
          <t>HÄRNÖSAND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46292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25430-2022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44732</v>
      </c>
      <c r="E280" s="1" t="n">
        <v>46292</v>
      </c>
      <c r="F280" t="inlineStr">
        <is>
          <t>VÄSTERNORRLANDS LÄN</t>
        </is>
      </c>
      <c r="G280" t="inlineStr">
        <is>
          <t>HÄRNÖSAND</t>
        </is>
      </c>
      <c r="I280" t="n">
        <v>18.7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46292</v>
      </c>
      <c r="F281" t="inlineStr">
        <is>
          <t>VÄSTERNORRLANDS LÄN</t>
        </is>
      </c>
      <c r="G281" t="inlineStr">
        <is>
          <t>HÄRNÖSAND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46292</v>
      </c>
      <c r="F282" t="inlineStr">
        <is>
          <t>VÄSTERNORRLANDS LÄN</t>
        </is>
      </c>
      <c r="G282" t="inlineStr">
        <is>
          <t>HÄRNÖSAND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46292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46292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46292</v>
      </c>
      <c r="F285" t="inlineStr">
        <is>
          <t>VÄSTERNORRLANDS LÄN</t>
        </is>
      </c>
      <c r="G285" t="inlineStr">
        <is>
          <t>HÄRNÖSAND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46292</v>
      </c>
      <c r="F286" t="inlineStr">
        <is>
          <t>VÄSTERNORRLANDS LÄN</t>
        </is>
      </c>
      <c r="G286" t="inlineStr">
        <is>
          <t>HÄRNÖSAND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46292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46292</v>
      </c>
      <c r="F288" t="inlineStr">
        <is>
          <t>VÄSTERNORRLANDS LÄN</t>
        </is>
      </c>
      <c r="G288" t="inlineStr">
        <is>
          <t>HÄRNÖSAND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46292</v>
      </c>
      <c r="F289" t="inlineStr">
        <is>
          <t>VÄSTERNORRLANDS LÄN</t>
        </is>
      </c>
      <c r="G289" t="inlineStr">
        <is>
          <t>HÄRNÖSAND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46292</v>
      </c>
      <c r="F290" t="inlineStr">
        <is>
          <t>VÄSTERNORRLANDS LÄN</t>
        </is>
      </c>
      <c r="G290" t="inlineStr">
        <is>
          <t>HÄRNÖSAND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46292</v>
      </c>
      <c r="F291" t="inlineStr">
        <is>
          <t>VÄSTERNORRLANDS LÄN</t>
        </is>
      </c>
      <c r="G291" t="inlineStr">
        <is>
          <t>HÄRNÖSAND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46292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46292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46292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31.9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46292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46292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59408-2024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45638</v>
      </c>
      <c r="E297" s="1" t="n">
        <v>46292</v>
      </c>
      <c r="F297" t="inlineStr">
        <is>
          <t>VÄSTERNORRLANDS LÄN</t>
        </is>
      </c>
      <c r="G297" t="inlineStr">
        <is>
          <t>HÄRNÖSAND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46292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46292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46292</v>
      </c>
      <c r="F300" t="inlineStr">
        <is>
          <t>VÄSTERNORRLANDS LÄN</t>
        </is>
      </c>
      <c r="G300" t="inlineStr">
        <is>
          <t>HÄRNÖSAND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46292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46292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46292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46292</v>
      </c>
      <c r="F304" t="inlineStr">
        <is>
          <t>VÄSTERNORRLANDS LÄN</t>
        </is>
      </c>
      <c r="G304" t="inlineStr">
        <is>
          <t>HÄRNÖSAND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46292</v>
      </c>
      <c r="F305" t="inlineStr">
        <is>
          <t>VÄSTERNORRLANDS LÄN</t>
        </is>
      </c>
      <c r="G305" t="inlineStr">
        <is>
          <t>HÄRNÖSAND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46292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46292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46292</v>
      </c>
      <c r="F308" t="inlineStr">
        <is>
          <t>VÄSTERNORRLANDS LÄN</t>
        </is>
      </c>
      <c r="G308" t="inlineStr">
        <is>
          <t>HÄRNÖSAND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46292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46292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46292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27912-2022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44743</v>
      </c>
      <c r="E312" s="1" t="n">
        <v>46292</v>
      </c>
      <c r="F312" t="inlineStr">
        <is>
          <t>VÄSTERNORRLANDS LÄN</t>
        </is>
      </c>
      <c r="G312" t="inlineStr">
        <is>
          <t>HÄRNÖSAND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46292</v>
      </c>
      <c r="F313" t="inlineStr">
        <is>
          <t>VÄSTERNORRLANDS LÄN</t>
        </is>
      </c>
      <c r="G313" t="inlineStr">
        <is>
          <t>HÄRNÖSAND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46320-2022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46292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45987</v>
      </c>
      <c r="E315" s="1" t="n">
        <v>46292</v>
      </c>
      <c r="F315" t="inlineStr">
        <is>
          <t>VÄSTERNORRLANDS LÄN</t>
        </is>
      </c>
      <c r="G315" t="inlineStr">
        <is>
          <t>HÄRNÖSAND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46292</v>
      </c>
      <c r="F316" t="inlineStr">
        <is>
          <t>VÄSTERNORRLANDS LÄN</t>
        </is>
      </c>
      <c r="G316" t="inlineStr">
        <is>
          <t>HÄRNÖSAND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46292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46292</v>
      </c>
      <c r="F318" t="inlineStr">
        <is>
          <t>VÄSTERNORRLANDS LÄN</t>
        </is>
      </c>
      <c r="G318" t="inlineStr">
        <is>
          <t>HÄRNÖSAND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46292</v>
      </c>
      <c r="F319" t="inlineStr">
        <is>
          <t>VÄSTERNORRLANDS LÄN</t>
        </is>
      </c>
      <c r="G319" t="inlineStr">
        <is>
          <t>HÄRNÖSAND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40452-2023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45168</v>
      </c>
      <c r="E320" s="1" t="n">
        <v>46292</v>
      </c>
      <c r="F320" t="inlineStr">
        <is>
          <t>VÄSTERNORRLANDS LÄN</t>
        </is>
      </c>
      <c r="G320" t="inlineStr">
        <is>
          <t>HÄRNÖSAND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46292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46292</v>
      </c>
      <c r="F322" t="inlineStr">
        <is>
          <t>VÄSTERNORRLANDS LÄN</t>
        </is>
      </c>
      <c r="G322" t="inlineStr">
        <is>
          <t>HÄRNÖSAND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45138</v>
      </c>
      <c r="E323" s="1" t="n">
        <v>46292</v>
      </c>
      <c r="F323" t="inlineStr">
        <is>
          <t>VÄSTERNORRLANDS LÄN</t>
        </is>
      </c>
      <c r="G323" t="inlineStr">
        <is>
          <t>HÄRNÖSAND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46292</v>
      </c>
      <c r="F324" t="inlineStr">
        <is>
          <t>VÄSTERNORRLANDS LÄN</t>
        </is>
      </c>
      <c r="G324" t="inlineStr">
        <is>
          <t>HÄRNÖSAND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46292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46292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46292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45526</v>
      </c>
      <c r="E328" s="1" t="n">
        <v>46292</v>
      </c>
      <c r="F328" t="inlineStr">
        <is>
          <t>VÄSTERNORRLANDS LÄN</t>
        </is>
      </c>
      <c r="G328" t="inlineStr">
        <is>
          <t>HÄRNÖSAND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46065</v>
      </c>
      <c r="E329" s="1" t="n">
        <v>46292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Kyrkan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46292</v>
      </c>
      <c r="F330" t="inlineStr">
        <is>
          <t>VÄSTERNORRLANDS LÄN</t>
        </is>
      </c>
      <c r="G330" t="inlineStr">
        <is>
          <t>HÄRNÖSAND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46292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46292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46292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44971</v>
      </c>
      <c r="E334" s="1" t="n">
        <v>46292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46292</v>
      </c>
      <c r="F335" t="inlineStr">
        <is>
          <t>VÄSTERNORRLANDS LÄN</t>
        </is>
      </c>
      <c r="G335" t="inlineStr">
        <is>
          <t>HÄRNÖSAND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46292</v>
      </c>
      <c r="F336" t="inlineStr">
        <is>
          <t>VÄSTERNORRLANDS LÄN</t>
        </is>
      </c>
      <c r="G336" t="inlineStr">
        <is>
          <t>HÄRNÖSAND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45824</v>
      </c>
      <c r="E337" s="1" t="n">
        <v>46292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46292</v>
      </c>
      <c r="F338" t="inlineStr">
        <is>
          <t>VÄSTERNORRLANDS LÄN</t>
        </is>
      </c>
      <c r="G338" t="inlineStr">
        <is>
          <t>HÄRNÖSAND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46292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46292</v>
      </c>
      <c r="F340" t="inlineStr">
        <is>
          <t>VÄSTERNORRLANDS LÄN</t>
        </is>
      </c>
      <c r="G340" t="inlineStr">
        <is>
          <t>HÄRNÖSAND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46292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45825</v>
      </c>
      <c r="E342" s="1" t="n">
        <v>46292</v>
      </c>
      <c r="F342" t="inlineStr">
        <is>
          <t>VÄSTERNORRLANDS LÄN</t>
        </is>
      </c>
      <c r="G342" t="inlineStr">
        <is>
          <t>HÄRNÖSAND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46292</v>
      </c>
      <c r="F343" t="inlineStr">
        <is>
          <t>VÄSTERNORRLANDS LÄN</t>
        </is>
      </c>
      <c r="G343" t="inlineStr">
        <is>
          <t>HÄRNÖSAND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46292</v>
      </c>
      <c r="F344" t="inlineStr">
        <is>
          <t>VÄSTERNORRLANDS LÄN</t>
        </is>
      </c>
      <c r="G344" t="inlineStr">
        <is>
          <t>HÄRNÖSAND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46292</v>
      </c>
      <c r="F345" t="inlineStr">
        <is>
          <t>VÄSTERNORRLANDS LÄN</t>
        </is>
      </c>
      <c r="G345" t="inlineStr">
        <is>
          <t>HÄRNÖSAND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46292</v>
      </c>
      <c r="F346" t="inlineStr">
        <is>
          <t>VÄSTERNORRLANDS LÄN</t>
        </is>
      </c>
      <c r="G346" t="inlineStr">
        <is>
          <t>HÄRNÖSAND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46292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46292</v>
      </c>
      <c r="F348" t="inlineStr">
        <is>
          <t>VÄSTERNORRLANDS LÄN</t>
        </is>
      </c>
      <c r="G348" t="inlineStr">
        <is>
          <t>HÄRNÖSAND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46292</v>
      </c>
      <c r="F349" t="inlineStr">
        <is>
          <t>VÄSTERNORRLANDS LÄN</t>
        </is>
      </c>
      <c r="G349" t="inlineStr">
        <is>
          <t>HÄRNÖSAND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46292</v>
      </c>
      <c r="F350" t="inlineStr">
        <is>
          <t>VÄSTERNORRLANDS LÄN</t>
        </is>
      </c>
      <c r="G350" t="inlineStr">
        <is>
          <t>HÄRNÖSAND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46292</v>
      </c>
      <c r="F351" t="inlineStr">
        <is>
          <t>VÄSTERNORRLANDS LÄN</t>
        </is>
      </c>
      <c r="G351" t="inlineStr">
        <is>
          <t>HÄRNÖSAND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46292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46292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46292</v>
      </c>
      <c r="F354" t="inlineStr">
        <is>
          <t>VÄSTERNORRLANDS LÄN</t>
        </is>
      </c>
      <c r="G354" t="inlineStr">
        <is>
          <t>HÄRNÖSAND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46292</v>
      </c>
      <c r="F355" t="inlineStr">
        <is>
          <t>VÄSTERNORRLANDS LÄN</t>
        </is>
      </c>
      <c r="G355" t="inlineStr">
        <is>
          <t>HÄRNÖSAND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46292</v>
      </c>
      <c r="F356" t="inlineStr">
        <is>
          <t>VÄSTERNORRLANDS LÄN</t>
        </is>
      </c>
      <c r="G356" t="inlineStr">
        <is>
          <t>HÄRNÖSAND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46292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46292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46292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45714</v>
      </c>
      <c r="E360" s="1" t="n">
        <v>46292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44596</v>
      </c>
      <c r="E361" s="1" t="n">
        <v>46292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46292</v>
      </c>
      <c r="F362" t="inlineStr">
        <is>
          <t>VÄSTERNORRLANDS LÄN</t>
        </is>
      </c>
      <c r="G362" t="inlineStr">
        <is>
          <t>HÄRNÖSAND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46292</v>
      </c>
      <c r="F363" t="inlineStr">
        <is>
          <t>VÄSTERNORRLANDS LÄN</t>
        </is>
      </c>
      <c r="G363" t="inlineStr">
        <is>
          <t>HÄRNÖSAND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46292</v>
      </c>
      <c r="F364" t="inlineStr">
        <is>
          <t>VÄSTERNORRLANDS LÄN</t>
        </is>
      </c>
      <c r="G364" t="inlineStr">
        <is>
          <t>HÄRNÖSAND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46292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46292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45834</v>
      </c>
      <c r="E367" s="1" t="n">
        <v>46292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46292</v>
      </c>
      <c r="F368" t="inlineStr">
        <is>
          <t>VÄSTERNORRLANDS LÄN</t>
        </is>
      </c>
      <c r="G368" t="inlineStr">
        <is>
          <t>HÄRNÖSAND</t>
        </is>
      </c>
      <c r="I368" t="n">
        <v>16.7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46292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46292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46292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46292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45834</v>
      </c>
      <c r="E373" s="1" t="n">
        <v>46292</v>
      </c>
      <c r="F373" t="inlineStr">
        <is>
          <t>VÄSTERNORRLANDS LÄN</t>
        </is>
      </c>
      <c r="G373" t="inlineStr">
        <is>
          <t>HÄRNÖSAND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22548-2026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46292</v>
      </c>
      <c r="F374" t="inlineStr">
        <is>
          <t>VÄSTERNORRLANDS LÄN</t>
        </is>
      </c>
      <c r="G374" t="inlineStr">
        <is>
          <t>HÄRNÖSAND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45837</v>
      </c>
      <c r="E375" s="1" t="n">
        <v>46292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46292</v>
      </c>
      <c r="F376" t="inlineStr">
        <is>
          <t>VÄSTERNORRLANDS LÄN</t>
        </is>
      </c>
      <c r="G376" t="inlineStr">
        <is>
          <t>HÄRNÖSAND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46292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46292</v>
      </c>
      <c r="F378" t="inlineStr">
        <is>
          <t>VÄSTERNORRLANDS LÄN</t>
        </is>
      </c>
      <c r="G378" t="inlineStr">
        <is>
          <t>HÄRNÖSAND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45723</v>
      </c>
      <c r="E379" s="1" t="n">
        <v>46292</v>
      </c>
      <c r="F379" t="inlineStr">
        <is>
          <t>VÄSTERNORRLANDS LÄN</t>
        </is>
      </c>
      <c r="G379" t="inlineStr">
        <is>
          <t>HÄRNÖSAND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46292</v>
      </c>
      <c r="F380" t="inlineStr">
        <is>
          <t>VÄSTERNORRLANDS LÄN</t>
        </is>
      </c>
      <c r="G380" t="inlineStr">
        <is>
          <t>HÄRNÖSAND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46292</v>
      </c>
      <c r="F381" t="inlineStr">
        <is>
          <t>VÄSTERNORRLANDS LÄN</t>
        </is>
      </c>
      <c r="G381" t="inlineStr">
        <is>
          <t>HÄRNÖSAND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46292</v>
      </c>
      <c r="F382" t="inlineStr">
        <is>
          <t>VÄSTERNORRLANDS LÄN</t>
        </is>
      </c>
      <c r="G382" t="inlineStr">
        <is>
          <t>HÄRNÖSAND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45837</v>
      </c>
      <c r="E383" s="1" t="n">
        <v>46292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46292</v>
      </c>
      <c r="F384" t="inlineStr">
        <is>
          <t>VÄSTERNORRLANDS LÄN</t>
        </is>
      </c>
      <c r="G384" t="inlineStr">
        <is>
          <t>HÄRNÖSAND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46292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46292</v>
      </c>
      <c r="F386" t="inlineStr">
        <is>
          <t>VÄSTERNORRLANDS LÄN</t>
        </is>
      </c>
      <c r="G386" t="inlineStr">
        <is>
          <t>HÄRNÖSAND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46292</v>
      </c>
      <c r="F387" t="inlineStr">
        <is>
          <t>VÄSTERNORRLANDS LÄN</t>
        </is>
      </c>
      <c r="G387" t="inlineStr">
        <is>
          <t>HÄRNÖSAND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44991</v>
      </c>
      <c r="E388" s="1" t="n">
        <v>46292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46292</v>
      </c>
      <c r="F389" t="inlineStr">
        <is>
          <t>VÄSTERNORRLANDS LÄN</t>
        </is>
      </c>
      <c r="G389" t="inlineStr">
        <is>
          <t>HÄRNÖSAND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46292</v>
      </c>
      <c r="F390" t="inlineStr">
        <is>
          <t>VÄSTERNORRLANDS LÄN</t>
        </is>
      </c>
      <c r="G390" t="inlineStr">
        <is>
          <t>HÄRNÖSAND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46292</v>
      </c>
      <c r="F391" t="inlineStr">
        <is>
          <t>VÄSTERNORRLANDS LÄN</t>
        </is>
      </c>
      <c r="G391" t="inlineStr">
        <is>
          <t>HÄRNÖSAND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46292</v>
      </c>
      <c r="F392" t="inlineStr">
        <is>
          <t>VÄSTERNORRLANDS LÄN</t>
        </is>
      </c>
      <c r="G392" t="inlineStr">
        <is>
          <t>HÄRNÖSAND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45786</v>
      </c>
      <c r="E393" s="1" t="n">
        <v>46292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31.8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46292</v>
      </c>
      <c r="F394" t="inlineStr">
        <is>
          <t>VÄSTERNORRLANDS LÄN</t>
        </is>
      </c>
      <c r="G394" t="inlineStr">
        <is>
          <t>HÄRNÖSAND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23233-2026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46292</v>
      </c>
      <c r="F395" t="inlineStr">
        <is>
          <t>VÄSTERNORRLANDS LÄN</t>
        </is>
      </c>
      <c r="G395" t="inlineStr">
        <is>
          <t>HÄRNÖSAND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46292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31.8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46292</v>
      </c>
      <c r="F397" t="inlineStr">
        <is>
          <t>VÄSTERNORRLANDS LÄN</t>
        </is>
      </c>
      <c r="G397" t="inlineStr">
        <is>
          <t>HÄRNÖSAND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46292</v>
      </c>
      <c r="F398" t="inlineStr">
        <is>
          <t>VÄSTERNORRLANDS LÄN</t>
        </is>
      </c>
      <c r="G398" t="inlineStr">
        <is>
          <t>HÄRNÖSAND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45293</v>
      </c>
      <c r="E399" s="1" t="n">
        <v>46292</v>
      </c>
      <c r="F399" t="inlineStr">
        <is>
          <t>VÄSTERNORRLANDS LÄN</t>
        </is>
      </c>
      <c r="G399" t="inlineStr">
        <is>
          <t>HÄRNÖSAND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61574-2021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44497</v>
      </c>
      <c r="E400" s="1" t="n">
        <v>46292</v>
      </c>
      <c r="F400" t="inlineStr">
        <is>
          <t>VÄSTERNORRLANDS LÄN</t>
        </is>
      </c>
      <c r="G400" t="inlineStr">
        <is>
          <t>HÄRNÖSAND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46292</v>
      </c>
      <c r="F401" t="inlineStr">
        <is>
          <t>VÄSTERNORRLANDS LÄN</t>
        </is>
      </c>
      <c r="G401" t="inlineStr">
        <is>
          <t>HÄRNÖSAND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45848</v>
      </c>
      <c r="E402" s="1" t="n">
        <v>46292</v>
      </c>
      <c r="F402" t="inlineStr">
        <is>
          <t>VÄSTERNORRLANDS LÄN</t>
        </is>
      </c>
      <c r="G402" t="inlineStr">
        <is>
          <t>HÄRNÖSAND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34751-2025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45848</v>
      </c>
      <c r="E403" s="1" t="n">
        <v>46292</v>
      </c>
      <c r="F403" t="inlineStr">
        <is>
          <t>VÄSTERNORRLANDS LÄN</t>
        </is>
      </c>
      <c r="G403" t="inlineStr">
        <is>
          <t>HÄRNÖSAND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46292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46292</v>
      </c>
      <c r="F405" t="inlineStr">
        <is>
          <t>VÄSTERNORRLANDS LÄN</t>
        </is>
      </c>
      <c r="G405" t="inlineStr">
        <is>
          <t>HÄRNÖSAND</t>
        </is>
      </c>
      <c r="I405" t="n">
        <v>12.3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46292</v>
      </c>
      <c r="F406" t="inlineStr">
        <is>
          <t>VÄSTERNORRLANDS LÄN</t>
        </is>
      </c>
      <c r="G406" t="inlineStr">
        <is>
          <t>HÄRNÖSAND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46319-2022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44847</v>
      </c>
      <c r="E407" s="1" t="n">
        <v>46292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Kyrkan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45749</v>
      </c>
      <c r="E408" s="1" t="n">
        <v>46292</v>
      </c>
      <c r="F408" t="inlineStr">
        <is>
          <t>VÄSTERNORRLANDS LÄN</t>
        </is>
      </c>
      <c r="G408" t="inlineStr">
        <is>
          <t>HÄRNÖSAND</t>
        </is>
      </c>
      <c r="I408" t="n">
        <v>10.3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59591-2024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46292</v>
      </c>
      <c r="F409" t="inlineStr">
        <is>
          <t>VÄSTERNORRLANDS LÄN</t>
        </is>
      </c>
      <c r="G409" t="inlineStr">
        <is>
          <t>HÄRNÖSAND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46292</v>
      </c>
      <c r="F410" t="inlineStr">
        <is>
          <t>VÄSTERNORRLANDS LÄN</t>
        </is>
      </c>
      <c r="G410" t="inlineStr">
        <is>
          <t>HÄRNÖSAND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46292</v>
      </c>
      <c r="F411" t="inlineStr">
        <is>
          <t>VÄSTERNORRLANDS LÄN</t>
        </is>
      </c>
      <c r="G411" t="inlineStr">
        <is>
          <t>HÄRNÖSAND</t>
        </is>
      </c>
      <c r="I411" t="n">
        <v>13.8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46292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46292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45793</v>
      </c>
      <c r="E414" s="1" t="n">
        <v>46292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46292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46165</v>
      </c>
      <c r="E416" s="1" t="n">
        <v>46292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46292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45729</v>
      </c>
      <c r="E418" s="1" t="n">
        <v>46292</v>
      </c>
      <c r="F418" t="inlineStr">
        <is>
          <t>VÄSTERNORRLANDS LÄN</t>
        </is>
      </c>
      <c r="G418" t="inlineStr">
        <is>
          <t>HÄRNÖSAND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45741</v>
      </c>
      <c r="E419" s="1" t="n">
        <v>46292</v>
      </c>
      <c r="F419" t="inlineStr">
        <is>
          <t>VÄSTERNORRLANDS LÄN</t>
        </is>
      </c>
      <c r="G419" t="inlineStr">
        <is>
          <t>HÄRNÖSAND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64749-2023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46292</v>
      </c>
      <c r="F420" t="inlineStr">
        <is>
          <t>VÄSTERNORRLANDS LÄN</t>
        </is>
      </c>
      <c r="G420" t="inlineStr">
        <is>
          <t>HÄRNÖSAND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46292</v>
      </c>
      <c r="F421" t="inlineStr">
        <is>
          <t>VÄSTERNORRLANDS LÄN</t>
        </is>
      </c>
      <c r="G421" t="inlineStr">
        <is>
          <t>HÄRNÖSAND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46292</v>
      </c>
      <c r="F422" t="inlineStr">
        <is>
          <t>VÄSTERNORRLANDS LÄN</t>
        </is>
      </c>
      <c r="G422" t="inlineStr">
        <is>
          <t>HÄRNÖSAND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46292</v>
      </c>
      <c r="F423" t="inlineStr">
        <is>
          <t>VÄSTERNORRLANDS LÄN</t>
        </is>
      </c>
      <c r="G423" t="inlineStr">
        <is>
          <t>HÄRNÖSAND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44459-2024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45574</v>
      </c>
      <c r="E424" s="1" t="n">
        <v>46292</v>
      </c>
      <c r="F424" t="inlineStr">
        <is>
          <t>VÄSTERNORRLANDS LÄN</t>
        </is>
      </c>
      <c r="G424" t="inlineStr">
        <is>
          <t>HÄRNÖSAND</t>
        </is>
      </c>
      <c r="I424" t="n">
        <v>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46292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46292</v>
      </c>
      <c r="F426" t="inlineStr">
        <is>
          <t>VÄSTERNORRLANDS LÄN</t>
        </is>
      </c>
      <c r="G426" t="inlineStr">
        <is>
          <t>HÄRNÖSAND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46292</v>
      </c>
      <c r="F427" t="inlineStr">
        <is>
          <t>VÄSTERNORRLANDS LÄN</t>
        </is>
      </c>
      <c r="G427" t="inlineStr">
        <is>
          <t>HÄRNÖSAND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46292</v>
      </c>
      <c r="F428" t="inlineStr">
        <is>
          <t>VÄSTERNORRLANDS LÄN</t>
        </is>
      </c>
      <c r="G428" t="inlineStr">
        <is>
          <t>HÄRNÖSAND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46292</v>
      </c>
      <c r="F429" t="inlineStr">
        <is>
          <t>VÄSTERNORRLANDS LÄN</t>
        </is>
      </c>
      <c r="G429" t="inlineStr">
        <is>
          <t>HÄRNÖSAND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45409</v>
      </c>
      <c r="E430" s="1" t="n">
        <v>46292</v>
      </c>
      <c r="F430" t="inlineStr">
        <is>
          <t>VÄSTERNORRLANDS LÄN</t>
        </is>
      </c>
      <c r="G430" t="inlineStr">
        <is>
          <t>HÄRNÖSAND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39954-2022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46292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64023-2023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45278</v>
      </c>
      <c r="E432" s="1" t="n">
        <v>46292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46292</v>
      </c>
      <c r="F433" t="inlineStr">
        <is>
          <t>VÄSTERNORRLANDS LÄN</t>
        </is>
      </c>
      <c r="G433" t="inlineStr">
        <is>
          <t>HÄRNÖSAND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46177</v>
      </c>
      <c r="E434" s="1" t="n">
        <v>46292</v>
      </c>
      <c r="F434" t="inlineStr">
        <is>
          <t>VÄSTERNORRLANDS LÄN</t>
        </is>
      </c>
      <c r="G434" t="inlineStr">
        <is>
          <t>HÄRNÖSAND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46292</v>
      </c>
      <c r="F435" t="inlineStr">
        <is>
          <t>VÄSTERNORRLANDS LÄN</t>
        </is>
      </c>
      <c r="G435" t="inlineStr">
        <is>
          <t>HÄRNÖSAND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46292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25439-2026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46292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25452-2026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46292</v>
      </c>
      <c r="F438" t="inlineStr">
        <is>
          <t>VÄSTERNORRLANDS LÄN</t>
        </is>
      </c>
      <c r="G438" t="inlineStr">
        <is>
          <t>HÄRNÖSAND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46292</v>
      </c>
      <c r="F439" t="inlineStr">
        <is>
          <t>VÄSTERNORRLANDS LÄN</t>
        </is>
      </c>
      <c r="G439" t="inlineStr">
        <is>
          <t>HÄRNÖSAND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46292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46292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44791</v>
      </c>
      <c r="E442" s="1" t="n">
        <v>46292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46292</v>
      </c>
      <c r="F443" t="inlineStr">
        <is>
          <t>VÄSTERNORRLANDS LÄN</t>
        </is>
      </c>
      <c r="G443" t="inlineStr">
        <is>
          <t>HÄRNÖSAND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46292</v>
      </c>
      <c r="F444" t="inlineStr">
        <is>
          <t>VÄSTERNORRLANDS LÄN</t>
        </is>
      </c>
      <c r="G444" t="inlineStr">
        <is>
          <t>HÄRNÖSAND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46292</v>
      </c>
      <c r="F445" t="inlineStr">
        <is>
          <t>VÄSTERNORRLANDS LÄN</t>
        </is>
      </c>
      <c r="G445" t="inlineStr">
        <is>
          <t>HÄRNÖSAND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62333-2021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44502</v>
      </c>
      <c r="E446" s="1" t="n">
        <v>46292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45126</v>
      </c>
      <c r="E447" s="1" t="n">
        <v>46292</v>
      </c>
      <c r="F447" t="inlineStr">
        <is>
          <t>VÄSTERNORRLANDS LÄN</t>
        </is>
      </c>
      <c r="G447" t="inlineStr">
        <is>
          <t>HÄRNÖSAND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45874</v>
      </c>
      <c r="E448" s="1" t="n">
        <v>46292</v>
      </c>
      <c r="F448" t="inlineStr">
        <is>
          <t>VÄSTERNORRLANDS LÄN</t>
        </is>
      </c>
      <c r="G448" t="inlineStr">
        <is>
          <t>HÄRNÖSAND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53107-2023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45228</v>
      </c>
      <c r="E449" s="1" t="n">
        <v>46292</v>
      </c>
      <c r="F449" t="inlineStr">
        <is>
          <t>VÄSTERNORRLANDS LÄN</t>
        </is>
      </c>
      <c r="G449" t="inlineStr">
        <is>
          <t>HÄRNÖSAND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46292</v>
      </c>
      <c r="F450" t="inlineStr">
        <is>
          <t>VÄSTERNORRLANDS LÄN</t>
        </is>
      </c>
      <c r="G450" t="inlineStr">
        <is>
          <t>HÄRNÖSAND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46184</v>
      </c>
      <c r="E451" s="1" t="n">
        <v>46292</v>
      </c>
      <c r="F451" t="inlineStr">
        <is>
          <t>VÄSTERNORRLANDS LÄN</t>
        </is>
      </c>
      <c r="G451" t="inlineStr">
        <is>
          <t>HÄRNÖSAND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46292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45390</v>
      </c>
      <c r="E453" s="1" t="n">
        <v>46292</v>
      </c>
      <c r="F453" t="inlineStr">
        <is>
          <t>VÄSTERNORRLANDS LÄN</t>
        </is>
      </c>
      <c r="G453" t="inlineStr">
        <is>
          <t>HÄRNÖSAND</t>
        </is>
      </c>
      <c r="I453" t="n">
        <v>14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46292</v>
      </c>
      <c r="F454" t="inlineStr">
        <is>
          <t>VÄSTERNORRLANDS LÄN</t>
        </is>
      </c>
      <c r="G454" t="inlineStr">
        <is>
          <t>HÄRNÖSAND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45173</v>
      </c>
      <c r="E455" s="1" t="n">
        <v>46292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45342</v>
      </c>
      <c r="E456" s="1" t="n">
        <v>46292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60970-2021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44496</v>
      </c>
      <c r="E457" s="1" t="n">
        <v>46292</v>
      </c>
      <c r="F457" t="inlineStr">
        <is>
          <t>VÄSTERNORRLANDS LÄN</t>
        </is>
      </c>
      <c r="G457" t="inlineStr">
        <is>
          <t>HÄRNÖSAND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46292</v>
      </c>
      <c r="F458" t="inlineStr">
        <is>
          <t>VÄSTERNORRLANDS LÄN</t>
        </is>
      </c>
      <c r="G458" t="inlineStr">
        <is>
          <t>HÄRNÖSAND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46292</v>
      </c>
      <c r="F459" t="inlineStr">
        <is>
          <t>VÄSTERNORRLANDS LÄN</t>
        </is>
      </c>
      <c r="G459" t="inlineStr">
        <is>
          <t>HÄRNÖSAND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45874</v>
      </c>
      <c r="E460" s="1" t="n">
        <v>46292</v>
      </c>
      <c r="F460" t="inlineStr">
        <is>
          <t>VÄSTERNORRLANDS LÄN</t>
        </is>
      </c>
      <c r="G460" t="inlineStr">
        <is>
          <t>HÄRNÖSAND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46292</v>
      </c>
      <c r="F461" t="inlineStr">
        <is>
          <t>VÄSTERNORRLANDS LÄN</t>
        </is>
      </c>
      <c r="G461" t="inlineStr">
        <is>
          <t>HÄRNÖSAND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45405</v>
      </c>
      <c r="E462" s="1" t="n">
        <v>46292</v>
      </c>
      <c r="F462" t="inlineStr">
        <is>
          <t>VÄSTERNORRLANDS LÄN</t>
        </is>
      </c>
      <c r="G462" t="inlineStr">
        <is>
          <t>HÄRNÖSAND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46292</v>
      </c>
      <c r="F463" t="inlineStr">
        <is>
          <t>VÄSTERNORRLANDS LÄN</t>
        </is>
      </c>
      <c r="G463" t="inlineStr">
        <is>
          <t>HÄRNÖSAND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46189</v>
      </c>
      <c r="E464" s="1" t="n">
        <v>46292</v>
      </c>
      <c r="F464" t="inlineStr">
        <is>
          <t>VÄSTERNORRLANDS LÄN</t>
        </is>
      </c>
      <c r="G464" t="inlineStr">
        <is>
          <t>HÄRNÖSAND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46292</v>
      </c>
      <c r="F465" t="inlineStr">
        <is>
          <t>VÄSTERNORRLANDS LÄN</t>
        </is>
      </c>
      <c r="G465" t="inlineStr">
        <is>
          <t>HÄRNÖSAND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46189</v>
      </c>
      <c r="E466" s="1" t="n">
        <v>46292</v>
      </c>
      <c r="F466" t="inlineStr">
        <is>
          <t>VÄSTERNORRLANDS LÄN</t>
        </is>
      </c>
      <c r="G466" t="inlineStr">
        <is>
          <t>HÄRNÖSAND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46292</v>
      </c>
      <c r="F467" t="inlineStr">
        <is>
          <t>VÄSTERNORRLANDS LÄN</t>
        </is>
      </c>
      <c r="G467" t="inlineStr">
        <is>
          <t>HÄRNÖSAND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46292</v>
      </c>
      <c r="F468" t="inlineStr">
        <is>
          <t>VÄSTERNORRLANDS LÄN</t>
        </is>
      </c>
      <c r="G468" t="inlineStr">
        <is>
          <t>HÄRNÖSAND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27922-2026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46292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45409</v>
      </c>
      <c r="E470" s="1" t="n">
        <v>46292</v>
      </c>
      <c r="F470" t="inlineStr">
        <is>
          <t>VÄSTERNORRLANDS LÄN</t>
        </is>
      </c>
      <c r="G470" t="inlineStr">
        <is>
          <t>HÄRNÖSAND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45334</v>
      </c>
      <c r="E471" s="1" t="n">
        <v>46292</v>
      </c>
      <c r="F471" t="inlineStr">
        <is>
          <t>VÄSTERNORRLANDS LÄN</t>
        </is>
      </c>
      <c r="G471" t="inlineStr">
        <is>
          <t>HÄRNÖSAND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46292</v>
      </c>
      <c r="F472" t="inlineStr">
        <is>
          <t>VÄSTERNORRLANDS LÄN</t>
        </is>
      </c>
      <c r="G472" t="inlineStr">
        <is>
          <t>HÄRNÖSAND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46292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46292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46292</v>
      </c>
      <c r="F475" t="inlineStr">
        <is>
          <t>VÄSTERNORRLANDS LÄN</t>
        </is>
      </c>
      <c r="G475" t="inlineStr">
        <is>
          <t>HÄRNÖSAND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46292</v>
      </c>
      <c r="F476" t="inlineStr">
        <is>
          <t>VÄSTERNORRLANDS LÄN</t>
        </is>
      </c>
      <c r="G476" t="inlineStr">
        <is>
          <t>HÄRNÖSAND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46292</v>
      </c>
      <c r="F477" t="inlineStr">
        <is>
          <t>VÄSTERNORRLANDS LÄN</t>
        </is>
      </c>
      <c r="G477" t="inlineStr">
        <is>
          <t>HÄRNÖSAND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46292</v>
      </c>
      <c r="F478" t="inlineStr">
        <is>
          <t>VÄSTERNORRLANDS LÄN</t>
        </is>
      </c>
      <c r="G478" t="inlineStr">
        <is>
          <t>HÄRNÖSAND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46292</v>
      </c>
      <c r="F479" t="inlineStr">
        <is>
          <t>VÄSTERNORRLANDS LÄN</t>
        </is>
      </c>
      <c r="G479" t="inlineStr">
        <is>
          <t>HÄRNÖSAND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45880</v>
      </c>
      <c r="E480" s="1" t="n">
        <v>46292</v>
      </c>
      <c r="F480" t="inlineStr">
        <is>
          <t>VÄSTERNORRLANDS LÄN</t>
        </is>
      </c>
      <c r="G480" t="inlineStr">
        <is>
          <t>HÄRNÖSAND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12750-2022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44641</v>
      </c>
      <c r="E481" s="1" t="n">
        <v>46292</v>
      </c>
      <c r="F481" t="inlineStr">
        <is>
          <t>VÄSTERNORRLANDS LÄN</t>
        </is>
      </c>
      <c r="G481" t="inlineStr">
        <is>
          <t>HÄRNÖSAND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46292</v>
      </c>
      <c r="F482" t="inlineStr">
        <is>
          <t>VÄSTERNORRLANDS LÄN</t>
        </is>
      </c>
      <c r="G482" t="inlineStr">
        <is>
          <t>HÄRNÖSAND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45512</v>
      </c>
      <c r="E483" s="1" t="n">
        <v>46292</v>
      </c>
      <c r="F483" t="inlineStr">
        <is>
          <t>VÄSTERNORRLANDS LÄN</t>
        </is>
      </c>
      <c r="G483" t="inlineStr">
        <is>
          <t>HÄRNÖSAND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46292</v>
      </c>
      <c r="F484" t="inlineStr">
        <is>
          <t>VÄSTERNORRLANDS LÄN</t>
        </is>
      </c>
      <c r="G484" t="inlineStr">
        <is>
          <t>HÄRNÖSAND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46292</v>
      </c>
      <c r="F485" t="inlineStr">
        <is>
          <t>VÄSTERNORRLANDS LÄN</t>
        </is>
      </c>
      <c r="G485" t="inlineStr">
        <is>
          <t>HÄRNÖSAND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46292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46292</v>
      </c>
      <c r="F487" t="inlineStr">
        <is>
          <t>VÄSTERNORRLANDS LÄN</t>
        </is>
      </c>
      <c r="G487" t="inlineStr">
        <is>
          <t>HÄRNÖSAND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45595</v>
      </c>
      <c r="E488" s="1" t="n">
        <v>46292</v>
      </c>
      <c r="F488" t="inlineStr">
        <is>
          <t>VÄSTERNORRLANDS LÄN</t>
        </is>
      </c>
      <c r="G488" t="inlineStr">
        <is>
          <t>HÄRNÖSAND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54091-2024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45616</v>
      </c>
      <c r="E489" s="1" t="n">
        <v>46292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46292</v>
      </c>
      <c r="F490" t="inlineStr">
        <is>
          <t>VÄSTERNORRLANDS LÄN</t>
        </is>
      </c>
      <c r="G490" t="inlineStr">
        <is>
          <t>HÄRNÖSAND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46292</v>
      </c>
      <c r="F491" t="inlineStr">
        <is>
          <t>VÄSTERNORRLANDS LÄN</t>
        </is>
      </c>
      <c r="G491" t="inlineStr">
        <is>
          <t>HÄRNÖSAND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45884</v>
      </c>
      <c r="E492" s="1" t="n">
        <v>46292</v>
      </c>
      <c r="F492" t="inlineStr">
        <is>
          <t>VÄSTERNORRLANDS LÄN</t>
        </is>
      </c>
      <c r="G492" t="inlineStr">
        <is>
          <t>HÄRNÖSAND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46292</v>
      </c>
      <c r="F493" t="inlineStr">
        <is>
          <t>VÄSTERNORRLANDS LÄN</t>
        </is>
      </c>
      <c r="G493" t="inlineStr">
        <is>
          <t>HÄRNÖSAND</t>
        </is>
      </c>
      <c r="I493" t="n">
        <v>14.6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29742-2026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46292</v>
      </c>
      <c r="F494" t="inlineStr">
        <is>
          <t>VÄSTERNORRLANDS LÄN</t>
        </is>
      </c>
      <c r="G494" t="inlineStr">
        <is>
          <t>HÄRNÖSAND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46292</v>
      </c>
      <c r="F495" t="inlineStr">
        <is>
          <t>VÄSTERNORRLANDS LÄN</t>
        </is>
      </c>
      <c r="G495" t="inlineStr">
        <is>
          <t>HÄRNÖSAND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46292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46292</v>
      </c>
      <c r="F497" t="inlineStr">
        <is>
          <t>VÄSTERNORRLANDS LÄN</t>
        </is>
      </c>
      <c r="G497" t="inlineStr">
        <is>
          <t>HÄRNÖSAND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45800</v>
      </c>
      <c r="E498" s="1" t="n">
        <v>46292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16979-2022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44676</v>
      </c>
      <c r="E499" s="1" t="n">
        <v>46292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46292</v>
      </c>
      <c r="F500" t="inlineStr">
        <is>
          <t>VÄSTERNORRLANDS LÄN</t>
        </is>
      </c>
      <c r="G500" t="inlineStr">
        <is>
          <t>HÄRNÖSAND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46292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46292</v>
      </c>
      <c r="F502" t="inlineStr">
        <is>
          <t>VÄSTERNORRLANDS LÄN</t>
        </is>
      </c>
      <c r="G502" t="inlineStr">
        <is>
          <t>HÄRNÖSAND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46292</v>
      </c>
      <c r="F503" t="inlineStr">
        <is>
          <t>VÄSTERNORRLANDS LÄN</t>
        </is>
      </c>
      <c r="G503" t="inlineStr">
        <is>
          <t>HÄRNÖSAND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46252</v>
      </c>
      <c r="E504" s="1" t="n">
        <v>46292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46292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44694</v>
      </c>
      <c r="E506" s="1" t="n">
        <v>46292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30413-2026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46292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46292</v>
      </c>
      <c r="F508" t="inlineStr">
        <is>
          <t>VÄSTERNORRLANDS LÄN</t>
        </is>
      </c>
      <c r="G508" t="inlineStr">
        <is>
          <t>HÄRNÖSAND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54560-2024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46292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46292</v>
      </c>
      <c r="F510" t="inlineStr">
        <is>
          <t>VÄSTERNORRLANDS LÄN</t>
        </is>
      </c>
      <c r="G510" t="inlineStr">
        <is>
          <t>HÄRNÖSAND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46292</v>
      </c>
      <c r="F511" t="inlineStr">
        <is>
          <t>VÄSTERNORRLANDS LÄN</t>
        </is>
      </c>
      <c r="G511" t="inlineStr">
        <is>
          <t>HÄRNÖSAND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9727-2022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44617</v>
      </c>
      <c r="E512" s="1" t="n">
        <v>46292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45428</v>
      </c>
      <c r="E513" s="1" t="n">
        <v>46292</v>
      </c>
      <c r="F513" t="inlineStr">
        <is>
          <t>VÄSTERNORRLANDS LÄN</t>
        </is>
      </c>
      <c r="G513" t="inlineStr">
        <is>
          <t>HÄRNÖSAND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39044-2023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45163</v>
      </c>
      <c r="E514" s="1" t="n">
        <v>46292</v>
      </c>
      <c r="F514" t="inlineStr">
        <is>
          <t>VÄSTERNORRLANDS LÄN</t>
        </is>
      </c>
      <c r="G514" t="inlineStr">
        <is>
          <t>HÄRNÖSAND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45152</v>
      </c>
      <c r="E515" s="1" t="n">
        <v>46292</v>
      </c>
      <c r="F515" t="inlineStr">
        <is>
          <t>VÄSTERNORRLANDS LÄN</t>
        </is>
      </c>
      <c r="G515" t="inlineStr">
        <is>
          <t>HÄRNÖSAND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49261-2022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44858</v>
      </c>
      <c r="E516" s="1" t="n">
        <v>46292</v>
      </c>
      <c r="F516" t="inlineStr">
        <is>
          <t>VÄSTERNORRLANDS LÄN</t>
        </is>
      </c>
      <c r="G516" t="inlineStr">
        <is>
          <t>HÄRNÖSAND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46213</v>
      </c>
      <c r="E517" s="1" t="n">
        <v>46292</v>
      </c>
      <c r="F517" t="inlineStr">
        <is>
          <t>VÄSTERNORRLANDS LÄN</t>
        </is>
      </c>
      <c r="G517" t="inlineStr">
        <is>
          <t>HÄRNÖSAND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46292</v>
      </c>
      <c r="F518" t="inlineStr">
        <is>
          <t>VÄSTERNORRLANDS LÄN</t>
        </is>
      </c>
      <c r="G518" t="inlineStr">
        <is>
          <t>HÄRNÖSAND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7793-2024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45348</v>
      </c>
      <c r="E519" s="1" t="n">
        <v>46292</v>
      </c>
      <c r="F519" t="inlineStr">
        <is>
          <t>VÄSTERNORRLANDS LÄN</t>
        </is>
      </c>
      <c r="G519" t="inlineStr">
        <is>
          <t>HÄRNÖSAND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46213</v>
      </c>
      <c r="E520" s="1" t="n">
        <v>46292</v>
      </c>
      <c r="F520" t="inlineStr">
        <is>
          <t>VÄSTERNORRLANDS LÄN</t>
        </is>
      </c>
      <c r="G520" t="inlineStr">
        <is>
          <t>HÄRNÖSAND</t>
        </is>
      </c>
      <c r="I520" t="n">
        <v>13.6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46292</v>
      </c>
      <c r="F521" t="inlineStr">
        <is>
          <t>VÄSTERNORRLANDS LÄN</t>
        </is>
      </c>
      <c r="G521" t="inlineStr">
        <is>
          <t>HÄRNÖSAND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46292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46215</v>
      </c>
      <c r="E523" s="1" t="n">
        <v>46292</v>
      </c>
      <c r="F523" t="inlineStr">
        <is>
          <t>VÄSTERNORRLANDS LÄN</t>
        </is>
      </c>
      <c r="G523" t="inlineStr">
        <is>
          <t>HÄRNÖSAND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46215</v>
      </c>
      <c r="E524" s="1" t="n">
        <v>46292</v>
      </c>
      <c r="F524" t="inlineStr">
        <is>
          <t>VÄSTERNORRLANDS LÄN</t>
        </is>
      </c>
      <c r="G524" t="inlineStr">
        <is>
          <t>HÄRNÖSAND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44706</v>
      </c>
      <c r="E525" s="1" t="n">
        <v>46292</v>
      </c>
      <c r="F525" t="inlineStr">
        <is>
          <t>VÄSTERNORRLANDS LÄN</t>
        </is>
      </c>
      <c r="G525" t="inlineStr">
        <is>
          <t>HÄRNÖSAND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24813-2022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46292</v>
      </c>
      <c r="F526" t="inlineStr">
        <is>
          <t>VÄSTERNORRLANDS LÄN</t>
        </is>
      </c>
      <c r="G526" t="inlineStr">
        <is>
          <t>HÄRNÖSAND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46292</v>
      </c>
      <c r="F527" t="inlineStr">
        <is>
          <t>VÄSTERNORRLANDS LÄN</t>
        </is>
      </c>
      <c r="G527" t="inlineStr">
        <is>
          <t>HÄRNÖSAND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46262</v>
      </c>
      <c r="E528" s="1" t="n">
        <v>46292</v>
      </c>
      <c r="F528" t="inlineStr">
        <is>
          <t>VÄSTERNORRLANDS LÄN</t>
        </is>
      </c>
      <c r="G528" t="inlineStr">
        <is>
          <t>HÄRNÖSAND</t>
        </is>
      </c>
      <c r="I528" t="n">
        <v>7.9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45181</v>
      </c>
      <c r="E529" s="1" t="n">
        <v>46292</v>
      </c>
      <c r="F529" t="inlineStr">
        <is>
          <t>VÄSTERNORRLANDS LÄN</t>
        </is>
      </c>
      <c r="G529" t="inlineStr">
        <is>
          <t>HÄRNÖSAND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25007-2022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44728</v>
      </c>
      <c r="E530" s="1" t="n">
        <v>46292</v>
      </c>
      <c r="F530" t="inlineStr">
        <is>
          <t>VÄSTERNORRLANDS LÄN</t>
        </is>
      </c>
      <c r="G530" t="inlineStr">
        <is>
          <t>HÄRNÖSAND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46292</v>
      </c>
      <c r="F531" t="inlineStr">
        <is>
          <t>VÄSTERNORRLANDS LÄN</t>
        </is>
      </c>
      <c r="G531" t="inlineStr">
        <is>
          <t>HÄRNÖSAND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46219</v>
      </c>
      <c r="E532" s="1" t="n">
        <v>46292</v>
      </c>
      <c r="F532" t="inlineStr">
        <is>
          <t>VÄSTERNORRLANDS LÄN</t>
        </is>
      </c>
      <c r="G532" t="inlineStr">
        <is>
          <t>HÄRNÖSAND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46219</v>
      </c>
      <c r="E533" s="1" t="n">
        <v>46292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46219</v>
      </c>
      <c r="E534" s="1" t="n">
        <v>46292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45699</v>
      </c>
      <c r="E535" s="1" t="n">
        <v>46292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45168</v>
      </c>
      <c r="E536" s="1" t="n">
        <v>46292</v>
      </c>
      <c r="F536" t="inlineStr">
        <is>
          <t>VÄSTERNORRLANDS LÄN</t>
        </is>
      </c>
      <c r="G536" t="inlineStr">
        <is>
          <t>HÄRNÖSAND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44726</v>
      </c>
      <c r="E537" s="1" t="n">
        <v>46292</v>
      </c>
      <c r="F537" t="inlineStr">
        <is>
          <t>VÄSTERNORRLANDS LÄN</t>
        </is>
      </c>
      <c r="G537" t="inlineStr">
        <is>
          <t>HÄRNÖSAND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45723</v>
      </c>
      <c r="E538" s="1" t="n">
        <v>46292</v>
      </c>
      <c r="F538" t="inlineStr">
        <is>
          <t>VÄSTERNORRLANDS LÄN</t>
        </is>
      </c>
      <c r="G538" t="inlineStr">
        <is>
          <t>HÄRNÖSAND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46292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22.1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46292</v>
      </c>
      <c r="F540" t="inlineStr">
        <is>
          <t>VÄSTERNORRLANDS LÄN</t>
        </is>
      </c>
      <c r="G540" t="inlineStr">
        <is>
          <t>HÄRNÖSAND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46292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46292</v>
      </c>
      <c r="F542" t="inlineStr">
        <is>
          <t>VÄSTERNORRLANDS LÄN</t>
        </is>
      </c>
      <c r="G542" t="inlineStr">
        <is>
          <t>HÄRNÖSAND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46213</v>
      </c>
      <c r="E543" s="1" t="n">
        <v>46292</v>
      </c>
      <c r="F543" t="inlineStr">
        <is>
          <t>VÄSTERNORRLANDS LÄN</t>
        </is>
      </c>
      <c r="G543" t="inlineStr">
        <is>
          <t>HÄRNÖSAND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46292</v>
      </c>
      <c r="F544" t="inlineStr">
        <is>
          <t>VÄSTERNORRLANDS LÄN</t>
        </is>
      </c>
      <c r="G544" t="inlineStr">
        <is>
          <t>HÄRNÖSAND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45350</v>
      </c>
      <c r="E545" s="1" t="n">
        <v>46292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45293</v>
      </c>
      <c r="E546" s="1" t="n">
        <v>46292</v>
      </c>
      <c r="F546" t="inlineStr">
        <is>
          <t>VÄSTERNORRLANDS LÄN</t>
        </is>
      </c>
      <c r="G546" t="inlineStr">
        <is>
          <t>HÄRNÖSAND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45320</v>
      </c>
      <c r="E547" s="1" t="n">
        <v>46292</v>
      </c>
      <c r="F547" t="inlineStr">
        <is>
          <t>VÄSTERNORRLANDS LÄN</t>
        </is>
      </c>
      <c r="G547" t="inlineStr">
        <is>
          <t>HÄRNÖSAND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45231</v>
      </c>
      <c r="E548" s="1" t="n">
        <v>46292</v>
      </c>
      <c r="F548" t="inlineStr">
        <is>
          <t>VÄSTERNORRLANDS LÄN</t>
        </is>
      </c>
      <c r="G548" t="inlineStr">
        <is>
          <t>HÄRNÖSAND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28319-2022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44747</v>
      </c>
      <c r="E549" s="1" t="n">
        <v>46292</v>
      </c>
      <c r="F549" t="inlineStr">
        <is>
          <t>VÄSTERNORRLANDS LÄN</t>
        </is>
      </c>
      <c r="G549" t="inlineStr">
        <is>
          <t>HÄRNÖSAND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23547-2023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45072</v>
      </c>
      <c r="E550" s="1" t="n">
        <v>46292</v>
      </c>
      <c r="F550" t="inlineStr">
        <is>
          <t>VÄSTERNORRLANDS LÄN</t>
        </is>
      </c>
      <c r="G550" t="inlineStr">
        <is>
          <t>HÄRNÖSAND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45313</v>
      </c>
      <c r="E551" s="1" t="n">
        <v>46292</v>
      </c>
      <c r="F551" t="inlineStr">
        <is>
          <t>VÄSTERNORRLANDS LÄN</t>
        </is>
      </c>
      <c r="G551" t="inlineStr">
        <is>
          <t>HÄRNÖSAND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45366</v>
      </c>
      <c r="E552" s="1" t="n">
        <v>46292</v>
      </c>
      <c r="F552" t="inlineStr">
        <is>
          <t>VÄSTERNORRLANDS LÄN</t>
        </is>
      </c>
      <c r="G552" t="inlineStr">
        <is>
          <t>HÄRNÖSAND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46274</v>
      </c>
      <c r="E553" s="1" t="n">
        <v>46292</v>
      </c>
      <c r="F553" t="inlineStr">
        <is>
          <t>VÄSTERNORRLANDS LÄN</t>
        </is>
      </c>
      <c r="G553" t="inlineStr">
        <is>
          <t>HÄRNÖSAND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47944-2022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44853</v>
      </c>
      <c r="E554" s="1" t="n">
        <v>46292</v>
      </c>
      <c r="F554" t="inlineStr">
        <is>
          <t>VÄSTERNORRLANDS LÄN</t>
        </is>
      </c>
      <c r="G554" t="inlineStr">
        <is>
          <t>HÄRNÖSAND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45749</v>
      </c>
      <c r="E555" s="1" t="n">
        <v>46292</v>
      </c>
      <c r="F555" t="inlineStr">
        <is>
          <t>VÄSTERNORRLANDS LÄN</t>
        </is>
      </c>
      <c r="G555" t="inlineStr">
        <is>
          <t>HÄRNÖSAND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45757</v>
      </c>
      <c r="E556" s="1" t="n">
        <v>46292</v>
      </c>
      <c r="F556" t="inlineStr">
        <is>
          <t>VÄSTERNORRLANDS LÄN</t>
        </is>
      </c>
      <c r="G556" t="inlineStr">
        <is>
          <t>HÄRNÖSAND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44792</v>
      </c>
      <c r="E557" s="1" t="n">
        <v>46292</v>
      </c>
      <c r="F557" t="inlineStr">
        <is>
          <t>VÄSTERNORRLANDS LÄN</t>
        </is>
      </c>
      <c r="G557" t="inlineStr">
        <is>
          <t>HÄRNÖSAND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46292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46292</v>
      </c>
      <c r="F559" t="inlineStr">
        <is>
          <t>VÄSTERNORRLANDS LÄN</t>
        </is>
      </c>
      <c r="G559" t="inlineStr">
        <is>
          <t>HÄRNÖSAND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45496</v>
      </c>
      <c r="E560" s="1" t="n">
        <v>46292</v>
      </c>
      <c r="F560" t="inlineStr">
        <is>
          <t>VÄSTERNORRLANDS LÄN</t>
        </is>
      </c>
      <c r="G560" t="inlineStr">
        <is>
          <t>HÄRNÖSAND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46275</v>
      </c>
      <c r="E561" s="1" t="n">
        <v>46292</v>
      </c>
      <c r="F561" t="inlineStr">
        <is>
          <t>VÄSTERNORRLANDS LÄN</t>
        </is>
      </c>
      <c r="G561" t="inlineStr">
        <is>
          <t>HÄRNÖSAND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8411-2024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46292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26976-2023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46292</v>
      </c>
      <c r="F563" t="inlineStr">
        <is>
          <t>VÄSTERNORRLANDS LÄN</t>
        </is>
      </c>
      <c r="G563" t="inlineStr">
        <is>
          <t>HÄRNÖSAND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64377-2023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45280</v>
      </c>
      <c r="E564" s="1" t="n">
        <v>46292</v>
      </c>
      <c r="F564" t="inlineStr">
        <is>
          <t>VÄSTERNORRLANDS LÄN</t>
        </is>
      </c>
      <c r="G564" t="inlineStr">
        <is>
          <t>HÄRNÖSAND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32293-2026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46237</v>
      </c>
      <c r="E565" s="1" t="n">
        <v>46292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46292</v>
      </c>
      <c r="F566" t="inlineStr">
        <is>
          <t>VÄSTERNORRLANDS LÄN</t>
        </is>
      </c>
      <c r="G566" t="inlineStr">
        <is>
          <t>HÄRNÖSAND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46292</v>
      </c>
      <c r="F567" t="inlineStr">
        <is>
          <t>VÄSTERNORRLANDS LÄN</t>
        </is>
      </c>
      <c r="G567" t="inlineStr">
        <is>
          <t>HÄRNÖSAND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46292</v>
      </c>
      <c r="F568" t="inlineStr">
        <is>
          <t>VÄSTERNORRLANDS LÄN</t>
        </is>
      </c>
      <c r="G568" t="inlineStr">
        <is>
          <t>HÄRNÖSAND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52987-2022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44875</v>
      </c>
      <c r="E569" s="1" t="n">
        <v>46292</v>
      </c>
      <c r="F569" t="inlineStr">
        <is>
          <t>VÄSTERNORRLANDS LÄN</t>
        </is>
      </c>
      <c r="G569" t="inlineStr">
        <is>
          <t>HÄRNÖSAND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46292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46281</v>
      </c>
      <c r="E571" s="1" t="n">
        <v>46292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29279-2024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45482</v>
      </c>
      <c r="E572" s="1" t="n">
        <v>46292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45496</v>
      </c>
      <c r="E573" s="1" t="n">
        <v>46292</v>
      </c>
      <c r="F573" t="inlineStr">
        <is>
          <t>VÄSTERNORRLANDS LÄN</t>
        </is>
      </c>
      <c r="G573" t="inlineStr">
        <is>
          <t>HÄRNÖSAND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46292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46286</v>
      </c>
      <c r="E575" s="1" t="n">
        <v>46292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23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59034-2022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44903</v>
      </c>
      <c r="E576" s="1" t="n">
        <v>46292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44945</v>
      </c>
      <c r="E577" s="1" t="n">
        <v>46292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46292</v>
      </c>
      <c r="F578" t="inlineStr">
        <is>
          <t>VÄSTERNORRLANDS LÄN</t>
        </is>
      </c>
      <c r="G578" t="inlineStr">
        <is>
          <t>HÄRNÖSAND</t>
        </is>
      </c>
      <c r="I578" t="n">
        <v>8.6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46286</v>
      </c>
      <c r="E579" s="1" t="n">
        <v>46292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46292</v>
      </c>
      <c r="F580" t="inlineStr">
        <is>
          <t>VÄSTERNORRLANDS LÄN</t>
        </is>
      </c>
      <c r="G580" t="inlineStr">
        <is>
          <t>HÄRNÖSAND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46292</v>
      </c>
      <c r="F581" t="inlineStr">
        <is>
          <t>VÄSTERNORRLANDS LÄN</t>
        </is>
      </c>
      <c r="G581" t="inlineStr">
        <is>
          <t>HÄRNÖSAND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46292</v>
      </c>
      <c r="F582" t="inlineStr">
        <is>
          <t>VÄSTERNORRLANDS LÄN</t>
        </is>
      </c>
      <c r="G582" t="inlineStr">
        <is>
          <t>HÄRNÖSAND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45376</v>
      </c>
      <c r="E583" s="1" t="n">
        <v>46292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39369-2026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46292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39390-2026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46292</v>
      </c>
      <c r="F585" t="inlineStr">
        <is>
          <t>VÄSTERNORRLANDS LÄN</t>
        </is>
      </c>
      <c r="G585" t="inlineStr">
        <is>
          <t>HÄRNÖSAND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46292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Kyrkan</t>
        </is>
      </c>
      <c r="I586" t="n">
        <v>24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46292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46292</v>
      </c>
      <c r="F588" t="inlineStr">
        <is>
          <t>VÄSTERNORRLANDS LÄN</t>
        </is>
      </c>
      <c r="G588" t="inlineStr">
        <is>
          <t>HÄRNÖSAND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39395-2026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46288</v>
      </c>
      <c r="E589" s="1" t="n">
        <v>46292</v>
      </c>
      <c r="F589" t="inlineStr">
        <is>
          <t>VÄSTERNORRLANDS LÄN</t>
        </is>
      </c>
      <c r="G589" t="inlineStr">
        <is>
          <t>HÄRNÖSAND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56165-2022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44889</v>
      </c>
      <c r="E590" s="1" t="n">
        <v>46292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46292</v>
      </c>
      <c r="F591" t="inlineStr">
        <is>
          <t>VÄSTERNORRLANDS LÄN</t>
        </is>
      </c>
      <c r="G591" t="inlineStr">
        <is>
          <t>HÄRNÖSAND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65224-2023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45289</v>
      </c>
      <c r="E592" s="1" t="n">
        <v>46292</v>
      </c>
      <c r="F592" t="inlineStr">
        <is>
          <t>VÄSTERNORRLANDS LÄN</t>
        </is>
      </c>
      <c r="G592" t="inlineStr">
        <is>
          <t>HÄRNÖSAND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45687-2022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44845</v>
      </c>
      <c r="E593" s="1" t="n">
        <v>46292</v>
      </c>
      <c r="F593" t="inlineStr">
        <is>
          <t>VÄSTERNORRLANDS LÄN</t>
        </is>
      </c>
      <c r="G593" t="inlineStr">
        <is>
          <t>HÄRNÖSAND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45072</v>
      </c>
      <c r="E594" s="1" t="n">
        <v>46292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Kyrkan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46292</v>
      </c>
      <c r="F595" t="inlineStr">
        <is>
          <t>VÄSTERNORRLANDS LÄN</t>
        </is>
      </c>
      <c r="G595" t="inlineStr">
        <is>
          <t>HÄRNÖSAND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45289</v>
      </c>
      <c r="E596" s="1" t="n">
        <v>46292</v>
      </c>
      <c r="F596" t="inlineStr">
        <is>
          <t>VÄSTERNORRLANDS LÄN</t>
        </is>
      </c>
      <c r="G596" t="inlineStr">
        <is>
          <t>HÄRNÖSAND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44580</v>
      </c>
      <c r="E597" s="1" t="n">
        <v>46292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46292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13611-2023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45006</v>
      </c>
      <c r="E599" s="1" t="n">
        <v>46292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45300</v>
      </c>
      <c r="E600" s="1" t="n">
        <v>46292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45035</v>
      </c>
      <c r="E601" s="1" t="n">
        <v>46292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44987</v>
      </c>
      <c r="E602" s="1" t="n">
        <v>46292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52237-2022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44869</v>
      </c>
      <c r="E603" s="1" t="n">
        <v>46292</v>
      </c>
      <c r="F603" t="inlineStr">
        <is>
          <t>VÄSTERNORRLANDS LÄN</t>
        </is>
      </c>
      <c r="G603" t="inlineStr">
        <is>
          <t>HÄRNÖSAND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46292</v>
      </c>
      <c r="F604" t="inlineStr">
        <is>
          <t>VÄSTERNORRLANDS LÄN</t>
        </is>
      </c>
      <c r="G604" t="inlineStr">
        <is>
          <t>HÄRNÖSAND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45000</v>
      </c>
      <c r="E605" s="1" t="n">
        <v>46292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45000</v>
      </c>
      <c r="E606" s="1" t="n">
        <v>46292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58869-2023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45250</v>
      </c>
      <c r="E607" s="1" t="n">
        <v>46292</v>
      </c>
      <c r="F607" t="inlineStr">
        <is>
          <t>VÄSTERNORRLANDS LÄN</t>
        </is>
      </c>
      <c r="G607" t="inlineStr">
        <is>
          <t>HÄRNÖSAND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18979-2023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45044</v>
      </c>
      <c r="E608" s="1" t="n">
        <v>46292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45126</v>
      </c>
      <c r="E609" s="1" t="n">
        <v>46292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18345-2025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45762</v>
      </c>
      <c r="E610" s="1" t="n">
        <v>46292</v>
      </c>
      <c r="F610" t="inlineStr">
        <is>
          <t>VÄSTERNORRLANDS LÄN</t>
        </is>
      </c>
      <c r="G610" t="inlineStr">
        <is>
          <t>HÄRNÖSAND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46292</v>
      </c>
      <c r="F611" t="inlineStr">
        <is>
          <t>VÄSTERNORRLANDS LÄN</t>
        </is>
      </c>
      <c r="G611" t="inlineStr">
        <is>
          <t>HÄRNÖSAND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45580</v>
      </c>
      <c r="E612" s="1" t="n">
        <v>46292</v>
      </c>
      <c r="F612" t="inlineStr">
        <is>
          <t>VÄSTERNORRLANDS LÄN</t>
        </is>
      </c>
      <c r="G612" t="inlineStr">
        <is>
          <t>HÄRNÖSAND</t>
        </is>
      </c>
      <c r="I612" t="n">
        <v>14.2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46292</v>
      </c>
      <c r="F613" t="inlineStr">
        <is>
          <t>VÄSTERNORRLANDS LÄN</t>
        </is>
      </c>
      <c r="G613" t="inlineStr">
        <is>
          <t>HÄRNÖSAND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59121-2023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45251</v>
      </c>
      <c r="E614" s="1" t="n">
        <v>46292</v>
      </c>
      <c r="F614" t="inlineStr">
        <is>
          <t>VÄSTERNORRLANDS LÄN</t>
        </is>
      </c>
      <c r="G614" t="inlineStr">
        <is>
          <t>HÄRNÖSAND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29255-2024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45482</v>
      </c>
      <c r="E615" s="1" t="n">
        <v>46292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45769</v>
      </c>
      <c r="E616" s="1" t="n">
        <v>46292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61337-2024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45646</v>
      </c>
      <c r="E617" s="1" t="n">
        <v>46292</v>
      </c>
      <c r="F617" t="inlineStr">
        <is>
          <t>VÄSTERNORRLANDS LÄN</t>
        </is>
      </c>
      <c r="G617" t="inlineStr">
        <is>
          <t>HÄRNÖSAND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32140-2023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45107</v>
      </c>
      <c r="E618" s="1" t="n">
        <v>46292</v>
      </c>
      <c r="F618" t="inlineStr">
        <is>
          <t>VÄSTERNORRLANDS LÄN</t>
        </is>
      </c>
      <c r="G618" t="inlineStr">
        <is>
          <t>HÄRNÖSAND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11045-2025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46292</v>
      </c>
      <c r="F619" t="inlineStr">
        <is>
          <t>VÄSTERNORRLANDS LÄN</t>
        </is>
      </c>
      <c r="G619" t="inlineStr">
        <is>
          <t>HÄRNÖSAND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46292</v>
      </c>
      <c r="F620" t="inlineStr">
        <is>
          <t>VÄSTERNORRLANDS LÄN</t>
        </is>
      </c>
      <c r="G620" t="inlineStr">
        <is>
          <t>HÄRNÖSAND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48047-2022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44855</v>
      </c>
      <c r="E621" s="1" t="n">
        <v>46292</v>
      </c>
      <c r="F621" t="inlineStr">
        <is>
          <t>VÄSTERNORRLANDS LÄN</t>
        </is>
      </c>
      <c r="G621" t="inlineStr">
        <is>
          <t>HÄRNÖSAND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46292</v>
      </c>
      <c r="F622" t="inlineStr">
        <is>
          <t>VÄSTERNORRLANDS LÄN</t>
        </is>
      </c>
      <c r="G622" t="inlineStr">
        <is>
          <t>HÄRNÖSAND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45323</v>
      </c>
      <c r="E623" s="1" t="n">
        <v>46292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45578</v>
      </c>
      <c r="E624" s="1" t="n">
        <v>46292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45504-2024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45578</v>
      </c>
      <c r="E625" s="1" t="n">
        <v>46292</v>
      </c>
      <c r="F625" t="inlineStr">
        <is>
          <t>VÄSTERNORRLANDS LÄN</t>
        </is>
      </c>
      <c r="G625" t="inlineStr">
        <is>
          <t>HÄRNÖSAND</t>
        </is>
      </c>
      <c r="I625" t="n">
        <v>10.3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44951</v>
      </c>
      <c r="E626" s="1" t="n">
        <v>46292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45531</v>
      </c>
      <c r="E627" s="1" t="n">
        <v>46292</v>
      </c>
      <c r="F627" t="inlineStr">
        <is>
          <t>VÄSTERNORRLANDS LÄN</t>
        </is>
      </c>
      <c r="G627" t="inlineStr">
        <is>
          <t>HÄRNÖSAND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32418-2024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45512</v>
      </c>
      <c r="E628" s="1" t="n">
        <v>46292</v>
      </c>
      <c r="F628" t="inlineStr">
        <is>
          <t>VÄSTERNORRLANDS LÄN</t>
        </is>
      </c>
      <c r="G628" t="inlineStr">
        <is>
          <t>HÄRNÖSAND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51001-2022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44867</v>
      </c>
      <c r="E629" s="1" t="n">
        <v>46292</v>
      </c>
      <c r="F629" t="inlineStr">
        <is>
          <t>VÄSTERNORRLANDS LÄN</t>
        </is>
      </c>
      <c r="G629" t="inlineStr">
        <is>
          <t>HÄRNÖSAND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45729</v>
      </c>
      <c r="E630" s="1" t="n">
        <v>46292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11903-2024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45376</v>
      </c>
      <c r="E631" s="1" t="n">
        <v>46292</v>
      </c>
      <c r="F631" t="inlineStr">
        <is>
          <t>VÄSTERNORRLANDS LÄN</t>
        </is>
      </c>
      <c r="G631" t="inlineStr">
        <is>
          <t>HÄRNÖSAND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12497-2025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45730</v>
      </c>
      <c r="E632" s="1" t="n">
        <v>46292</v>
      </c>
      <c r="F632" t="inlineStr">
        <is>
          <t>VÄSTERNORRLANDS LÄN</t>
        </is>
      </c>
      <c r="G632" t="inlineStr">
        <is>
          <t>HÄRNÖSAND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46292</v>
      </c>
      <c r="F633" t="inlineStr">
        <is>
          <t>VÄSTERNORRLANDS LÄN</t>
        </is>
      </c>
      <c r="G633" t="inlineStr">
        <is>
          <t>HÄRNÖSAND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45776</v>
      </c>
      <c r="E634" s="1" t="n">
        <v>46292</v>
      </c>
      <c r="F634" t="inlineStr">
        <is>
          <t>VÄSTERNORRLANDS LÄN</t>
        </is>
      </c>
      <c r="G634" t="inlineStr">
        <is>
          <t>HÄRNÖSAND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45776</v>
      </c>
      <c r="E635" s="1" t="n">
        <v>46292</v>
      </c>
      <c r="F635" t="inlineStr">
        <is>
          <t>VÄSTERNORRLANDS LÄN</t>
        </is>
      </c>
      <c r="G635" t="inlineStr">
        <is>
          <t>HÄRNÖSAND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45782</v>
      </c>
      <c r="E636" s="1" t="n">
        <v>46292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32.1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45782</v>
      </c>
      <c r="E637" s="1" t="n">
        <v>46292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46292</v>
      </c>
      <c r="F638" t="inlineStr">
        <is>
          <t>VÄSTERNORRLANDS LÄN</t>
        </is>
      </c>
      <c r="G638" t="inlineStr">
        <is>
          <t>HÄRNÖSAND</t>
        </is>
      </c>
      <c r="I638" t="n">
        <v>15.6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45578</v>
      </c>
      <c r="E639" s="1" t="n">
        <v>46292</v>
      </c>
      <c r="F639" t="inlineStr">
        <is>
          <t>VÄSTERNORRLANDS LÄN</t>
        </is>
      </c>
      <c r="G639" t="inlineStr">
        <is>
          <t>HÄRNÖSAND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46292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45342</v>
      </c>
      <c r="E641" s="1" t="n">
        <v>46292</v>
      </c>
      <c r="F641" t="inlineStr">
        <is>
          <t>VÄSTERNORRLANDS LÄN</t>
        </is>
      </c>
      <c r="G641" t="inlineStr">
        <is>
          <t>HÄRNÖSAND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44590-2024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46292</v>
      </c>
      <c r="F642" t="inlineStr">
        <is>
          <t>VÄSTERNORRLANDS LÄN</t>
        </is>
      </c>
      <c r="G642" t="inlineStr">
        <is>
          <t>HÄRNÖSAND</t>
        </is>
      </c>
      <c r="I642" t="n">
        <v>11.9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19949-2024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45433</v>
      </c>
      <c r="E643" s="1" t="n">
        <v>46292</v>
      </c>
      <c r="F643" t="inlineStr">
        <is>
          <t>VÄSTERNORRLANDS LÄN</t>
        </is>
      </c>
      <c r="G643" t="inlineStr">
        <is>
          <t>HÄRNÖSAND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8475-2024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45351</v>
      </c>
      <c r="E644" s="1" t="n">
        <v>46292</v>
      </c>
      <c r="F644" t="inlineStr">
        <is>
          <t>VÄSTERNORRLANDS LÄN</t>
        </is>
      </c>
      <c r="G644" t="inlineStr">
        <is>
          <t>HÄRNÖSAND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4299-2021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44393</v>
      </c>
      <c r="E645" s="1" t="n">
        <v>46292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382-2024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45323</v>
      </c>
      <c r="E646" s="1" t="n">
        <v>46292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831-2025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45733</v>
      </c>
      <c r="E647" s="1" t="n">
        <v>46292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1148-2025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45755</v>
      </c>
      <c r="E648" s="1" t="n">
        <v>46292</v>
      </c>
      <c r="F648" t="inlineStr">
        <is>
          <t>VÄSTERNORRLANDS LÄN</t>
        </is>
      </c>
      <c r="G648" t="inlineStr">
        <is>
          <t>HÄRNÖSAND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1559-2025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45793</v>
      </c>
      <c r="E649" s="1" t="n">
        <v>46292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525-2026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46078</v>
      </c>
      <c r="E650" s="1" t="n">
        <v>46292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484-2026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46073</v>
      </c>
      <c r="E651" s="1" t="n">
        <v>46292</v>
      </c>
      <c r="F651" t="inlineStr">
        <is>
          <t>VÄSTERNORRLANDS LÄN</t>
        </is>
      </c>
      <c r="G651" t="inlineStr">
        <is>
          <t>HÄRNÖSAND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723-2026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46093</v>
      </c>
      <c r="E652" s="1" t="n">
        <v>46292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1428-2026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46156</v>
      </c>
      <c r="E653" s="1" t="n">
        <v>46292</v>
      </c>
      <c r="F653" t="inlineStr">
        <is>
          <t>VÄSTERNORRLANDS LÄN</t>
        </is>
      </c>
      <c r="G653" t="inlineStr">
        <is>
          <t>HÄRNÖSAND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2294-2026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46267</v>
      </c>
      <c r="E654" s="1" t="n">
        <v>46292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2026-09-27T02:02:07Z</dcterms:created>
  <dcterms:modified xmlns:dcterms="http://purl.org/dc/terms/" xmlns:xsi="http://www.w3.org/2001/XMLSchema-instance" xsi:type="dcterms:W3CDTF">2026-09-27T02:02:08Z</dcterms:modified>
</cp:coreProperties>
</file>