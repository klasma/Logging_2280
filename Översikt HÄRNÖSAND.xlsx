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46281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46281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46281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46281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49355-2025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45938</v>
      </c>
      <c r="E6" s="1" t="n">
        <v>46281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10.3</v>
      </c>
      <c r="J6" t="n">
        <v>3</v>
      </c>
      <c r="K6" t="n">
        <v>3</v>
      </c>
      <c r="L6" t="n">
        <v>6</v>
      </c>
      <c r="M6" t="n">
        <v>4</v>
      </c>
      <c r="N6" t="n">
        <v>0</v>
      </c>
      <c r="O6" t="n">
        <v>0</v>
      </c>
      <c r="P6" t="n">
        <v>0</v>
      </c>
      <c r="Q6" t="n">
        <v>10</v>
      </c>
      <c r="R6" t="n">
        <v>4</v>
      </c>
      <c r="S6" t="n">
        <v>14</v>
      </c>
      <c r="T6" t="n">
        <v>59</v>
      </c>
      <c r="U6" t="n">
        <v>38</v>
      </c>
      <c r="V6" s="2" t="inlineStr">
        <is>
          <t>Garnlav
Gränsticka
Knärot
Lappticka
Kötticka
Lunglav
Rosenticka
Rynkskinn
Tretåig hackspett
Ullticka
Korallblylav
Skinnlav
Vedticka
Revlummer</t>
        </is>
      </c>
      <c r="W6">
        <f>HYPERLINK("https://klasma.github.io/Logging_2280/artfynd/A 49355-2025 artfynd.xlsx", "A 49355-2025")</f>
        <v/>
      </c>
      <c r="X6">
        <f>HYPERLINK("https://klasma.github.io/Logging_2280/kartor/A 49355-2025 karta.png", "A 49355-2025")</f>
        <v/>
      </c>
      <c r="Y6">
        <f>HYPERLINK("https://klasma.github.io/Logging_2280/kartor_geotiff/A 49355-2025 georefererad karta.tif", "A 49355-2025")</f>
        <v/>
      </c>
      <c r="Z6">
        <f>HYPERLINK("https://klasma.github.io/Logging_2280/knärot/A 49355-2025 karta knärot.png", "A 49355-2025")</f>
        <v/>
      </c>
      <c r="AA6">
        <f>HYPERLINK("https://klasma.github.io/Logging_2280/klagomål/A 49355-2025 FSC-klagomål.docx", "A 49355-2025")</f>
        <v/>
      </c>
      <c r="AB6">
        <f>HYPERLINK("https://klasma.github.io/Logging_2280/klagomålsmail/A 49355-2025 FSC-klagomål mail.docx", "A 49355-2025")</f>
        <v/>
      </c>
      <c r="AC6">
        <f>HYPERLINK("https://klasma.github.io/Logging_2280/tillsyn/A 49355-2025 tillsynsbegäran.docx", "A 49355-2025")</f>
        <v/>
      </c>
      <c r="AD6">
        <f>HYPERLINK("https://klasma.github.io/Logging_2280/tillsynsmail/A 49355-2025 tillsynsbegäran mail.docx", "A 49355-2025")</f>
        <v/>
      </c>
      <c r="AE6">
        <f>HYPERLINK("https://klasma.github.io/Logging_2280/fåglar/A 49355-2025 prioriterade fågelarter.docx", "A 49355-2025")</f>
        <v/>
      </c>
    </row>
    <row r="7" ht="15" customHeight="1">
      <c r="A7" t="inlineStr">
        <is>
          <t>A 27496-2026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46189</v>
      </c>
      <c r="E7" s="1" t="n">
        <v>46281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4.2</v>
      </c>
      <c r="J7" t="n">
        <v>3</v>
      </c>
      <c r="K7" t="n">
        <v>4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17</v>
      </c>
      <c r="U7" t="n">
        <v>0</v>
      </c>
      <c r="V7" s="2" t="inlineStr">
        <is>
          <t>Aspfjädermossa
Lappticka
Kattfotslav
Lunglav
Rosenticka
Rynkskinn
Ullticka
Brandticka
Korallblylav
Luddlav
Trådticka
Blåsippa
Gråspett
Utter</t>
        </is>
      </c>
      <c r="W7">
        <f>HYPERLINK("https://klasma.github.io/Logging_2280/artfynd/A 27496-2026 artfynd.xlsx", "A 27496-2026")</f>
        <v/>
      </c>
      <c r="X7">
        <f>HYPERLINK("https://klasma.github.io/Logging_2280/kartor/A 27496-2026 karta.png", "A 27496-2026")</f>
        <v/>
      </c>
      <c r="Y7">
        <f>HYPERLINK("https://klasma.github.io/Logging_2280/kartor_geotiff/A 27496-2026 georefererad karta.tif", "A 27496-2026")</f>
        <v/>
      </c>
      <c r="AA7">
        <f>HYPERLINK("https://klasma.github.io/Logging_2280/klagomål/A 27496-2026 FSC-klagomål.docx", "A 27496-2026")</f>
        <v/>
      </c>
      <c r="AB7">
        <f>HYPERLINK("https://klasma.github.io/Logging_2280/klagomålsmail/A 27496-2026 FSC-klagomål mail.docx", "A 27496-2026")</f>
        <v/>
      </c>
      <c r="AC7">
        <f>HYPERLINK("https://klasma.github.io/Logging_2280/tillsyn/A 27496-2026 tillsynsbegäran.docx", "A 27496-2026")</f>
        <v/>
      </c>
      <c r="AD7">
        <f>HYPERLINK("https://klasma.github.io/Logging_2280/tillsynsmail/A 27496-2026 tillsynsbegäran mail.docx", "A 27496-2026")</f>
        <v/>
      </c>
      <c r="AE7">
        <f>HYPERLINK("https://klasma.github.io/Logging_2280/fåglar/A 27496-2026 prioriterade fågelarter.docx", "A 27496-2026")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46281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46281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46281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46281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46281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47711-2024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45588</v>
      </c>
      <c r="E13" s="1" t="n">
        <v>46281</v>
      </c>
      <c r="F13" t="inlineStr">
        <is>
          <t>VÄSTERNORRLANDS LÄN</t>
        </is>
      </c>
      <c r="G13" t="inlineStr">
        <is>
          <t>HÄRNÖSAND</t>
        </is>
      </c>
      <c r="I13" t="n">
        <v>39.5</v>
      </c>
      <c r="J13" t="n">
        <v>2</v>
      </c>
      <c r="K13" t="n">
        <v>2</v>
      </c>
      <c r="L13" t="n">
        <v>7</v>
      </c>
      <c r="M13" t="n">
        <v>1</v>
      </c>
      <c r="N13" t="n">
        <v>0</v>
      </c>
      <c r="O13" t="n">
        <v>0</v>
      </c>
      <c r="P13" t="n">
        <v>0</v>
      </c>
      <c r="Q13" t="n">
        <v>8</v>
      </c>
      <c r="R13" t="n">
        <v>1</v>
      </c>
      <c r="S13" t="n">
        <v>10</v>
      </c>
      <c r="T13" t="n">
        <v>27</v>
      </c>
      <c r="U13" t="n">
        <v>13</v>
      </c>
      <c r="V13" s="2" t="inlineStr">
        <is>
          <t>Knärot
Dropptaggsvamp
Kötticka
Motaggsvamp
Tallticka
Tretåig hackspett
Ullticka
Violettgrå tagellav
Nästlav
Vedticka</t>
        </is>
      </c>
      <c r="W13">
        <f>HYPERLINK("https://klasma.github.io/Logging_2280/artfynd/A 47711-2024 artfynd.xlsx", "A 47711-2024")</f>
        <v/>
      </c>
      <c r="X13">
        <f>HYPERLINK("https://klasma.github.io/Logging_2280/kartor/A 47711-2024 karta.png", "A 47711-2024")</f>
        <v/>
      </c>
      <c r="Y13">
        <f>HYPERLINK("https://klasma.github.io/Logging_2280/kartor_geotiff/A 47711-2024 georefererad karta.tif", "A 47711-2024")</f>
        <v/>
      </c>
      <c r="Z13">
        <f>HYPERLINK("https://klasma.github.io/Logging_2280/knärot/A 47711-2024 karta knärot.png", "A 47711-2024")</f>
        <v/>
      </c>
      <c r="AA13">
        <f>HYPERLINK("https://klasma.github.io/Logging_2280/klagomål/A 47711-2024 FSC-klagomål.docx", "A 47711-2024")</f>
        <v/>
      </c>
      <c r="AB13">
        <f>HYPERLINK("https://klasma.github.io/Logging_2280/klagomålsmail/A 47711-2024 FSC-klagomål mail.docx", "A 47711-2024")</f>
        <v/>
      </c>
      <c r="AC13">
        <f>HYPERLINK("https://klasma.github.io/Logging_2280/tillsyn/A 47711-2024 tillsynsbegäran.docx", "A 47711-2024")</f>
        <v/>
      </c>
      <c r="AD13">
        <f>HYPERLINK("https://klasma.github.io/Logging_2280/tillsynsmail/A 47711-2024 tillsynsbegäran mail.docx", "A 47711-2024")</f>
        <v/>
      </c>
      <c r="AE13">
        <f>HYPERLINK("https://klasma.github.io/Logging_2280/fåglar/A 47711-2024 prioriterade fågelarter.docx", "A 47711-2024")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46281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46281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46281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46281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46281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46281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46281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46281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46281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46281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46281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48667-2024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45593</v>
      </c>
      <c r="E25" s="1" t="n">
        <v>46281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0</v>
      </c>
      <c r="V25" s="2" t="inlineStr">
        <is>
          <t>Gränsticka
Kattfotslav
Bårdlav
Skinnlav
Vedticka</t>
        </is>
      </c>
      <c r="W25">
        <f>HYPERLINK("https://klasma.github.io/Logging_2280/artfynd/A 48667-2024 artfynd.xlsx", "A 48667-2024")</f>
        <v/>
      </c>
      <c r="X25">
        <f>HYPERLINK("https://klasma.github.io/Logging_2280/kartor/A 48667-2024 karta.png", "A 48667-2024")</f>
        <v/>
      </c>
      <c r="Y25">
        <f>HYPERLINK("https://klasma.github.io/Logging_2280/kartor_geotiff/A 48667-2024 georefererad karta.tif", "A 48667-2024")</f>
        <v/>
      </c>
      <c r="AA25">
        <f>HYPERLINK("https://klasma.github.io/Logging_2280/klagomål/A 48667-2024 FSC-klagomål.docx", "A 48667-2024")</f>
        <v/>
      </c>
      <c r="AB25">
        <f>HYPERLINK("https://klasma.github.io/Logging_2280/klagomålsmail/A 48667-2024 FSC-klagomål mail.docx", "A 48667-2024")</f>
        <v/>
      </c>
      <c r="AC25">
        <f>HYPERLINK("https://klasma.github.io/Logging_2280/tillsyn/A 48667-2024 tillsynsbegäran.docx", "A 48667-2024")</f>
        <v/>
      </c>
      <c r="AD25">
        <f>HYPERLINK("https://klasma.github.io/Logging_2280/tillsynsmail/A 48667-2024 tillsynsbegäran mail.docx", "A 48667-2024")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46281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46281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46281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46281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46281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46281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46281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46281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6</v>
      </c>
      <c r="V33" s="2" t="inlineStr">
        <is>
          <t>Garnlav
Ullticka
Vedflamlav
Stuplav</t>
        </is>
      </c>
      <c r="W33">
        <f>HYPERLINK("https://klasma.github.io/Logging_2280/artfynd/A 41592-2024 artfynd.xlsx", "A 41592-2024")</f>
        <v/>
      </c>
      <c r="X33">
        <f>HYPERLINK("https://klasma.github.io/Logging_2280/kartor/A 41592-2024 karta.png", "A 41592-2024")</f>
        <v/>
      </c>
      <c r="Y33">
        <f>HYPERLINK("https://klasma.github.io/Logging_2280/kartor_geotiff/A 41592-2024 georefererad karta.tif", "A 41592-2024")</f>
        <v/>
      </c>
      <c r="AA33">
        <f>HYPERLINK("https://klasma.github.io/Logging_2280/klagomål/A 41592-2024 FSC-klagomål.docx", "A 41592-2024")</f>
        <v/>
      </c>
      <c r="AB33">
        <f>HYPERLINK("https://klasma.github.io/Logging_2280/klagomålsmail/A 41592-2024 FSC-klagomål mail.docx", "A 41592-2024")</f>
        <v/>
      </c>
      <c r="AC33">
        <f>HYPERLINK("https://klasma.github.io/Logging_2280/tillsyn/A 41592-2024 tillsynsbegäran.docx", "A 41592-2024")</f>
        <v/>
      </c>
      <c r="AD33">
        <f>HYPERLINK("https://klasma.github.io/Logging_2280/tillsynsmail/A 41592-2024 tillsynsbegäran mail.docx", "A 41592-2024")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46281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46281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46281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33828-2026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46281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1.9</v>
      </c>
      <c r="J37" t="n">
        <v>1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Rosenticka
Ullticka
Stor aspticka
Blåsippa</t>
        </is>
      </c>
      <c r="W37">
        <f>HYPERLINK("https://klasma.github.io/Logging_2280/artfynd/A 33828-2026 artfynd.xlsx", "A 33828-2026")</f>
        <v/>
      </c>
      <c r="X37">
        <f>HYPERLINK("https://klasma.github.io/Logging_2280/kartor/A 33828-2026 karta.png", "A 33828-2026")</f>
        <v/>
      </c>
      <c r="Y37">
        <f>HYPERLINK("https://klasma.github.io/Logging_2280/kartor_geotiff/A 33828-2026 georefererad karta.tif", "A 33828-2026")</f>
        <v/>
      </c>
      <c r="AA37">
        <f>HYPERLINK("https://klasma.github.io/Logging_2280/klagomål/A 33828-2026 FSC-klagomål.docx", "A 33828-2026")</f>
        <v/>
      </c>
      <c r="AB37">
        <f>HYPERLINK("https://klasma.github.io/Logging_2280/klagomålsmail/A 33828-2026 FSC-klagomål mail.docx", "A 33828-2026")</f>
        <v/>
      </c>
      <c r="AC37">
        <f>HYPERLINK("https://klasma.github.io/Logging_2280/tillsyn/A 33828-2026 tillsynsbegäran.docx", "A 33828-2026")</f>
        <v/>
      </c>
      <c r="AD37">
        <f>HYPERLINK("https://klasma.github.io/Logging_2280/tillsynsmail/A 33828-2026 tillsynsbegäran mail.docx", "A 33828-2026")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46281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34647-2025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45848</v>
      </c>
      <c r="E39" s="1" t="n">
        <v>46281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4.7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3</v>
      </c>
      <c r="V39" s="2" t="inlineStr">
        <is>
          <t>Garnlav
Kolflarnlav
Lunglav
Korallblylav</t>
        </is>
      </c>
      <c r="W39">
        <f>HYPERLINK("https://klasma.github.io/Logging_2280/artfynd/A 34647-2025 artfynd.xlsx", "A 34647-2025")</f>
        <v/>
      </c>
      <c r="X39">
        <f>HYPERLINK("https://klasma.github.io/Logging_2280/kartor/A 34647-2025 karta.png", "A 34647-2025")</f>
        <v/>
      </c>
      <c r="Y39">
        <f>HYPERLINK("https://klasma.github.io/Logging_2280/kartor_geotiff/A 34647-2025 georefererad karta.tif", "A 34647-2025")</f>
        <v/>
      </c>
      <c r="AA39">
        <f>HYPERLINK("https://klasma.github.io/Logging_2280/klagomål/A 34647-2025 FSC-klagomål.docx", "A 34647-2025")</f>
        <v/>
      </c>
      <c r="AB39">
        <f>HYPERLINK("https://klasma.github.io/Logging_2280/klagomålsmail/A 34647-2025 FSC-klagomål mail.docx", "A 34647-2025")</f>
        <v/>
      </c>
      <c r="AC39">
        <f>HYPERLINK("https://klasma.github.io/Logging_2280/tillsyn/A 34647-2025 tillsynsbegäran.docx", "A 34647-2025")</f>
        <v/>
      </c>
      <c r="AD39">
        <f>HYPERLINK("https://klasma.github.io/Logging_2280/tillsynsmail/A 34647-2025 tillsynsbegäran mail.docx", "A 34647-2025")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46281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46281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46281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47484-2025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45930</v>
      </c>
      <c r="E43" s="1" t="n">
        <v>46281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2.7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Ullticka
Vedflamlav
Fläcknycklar</t>
        </is>
      </c>
      <c r="W43">
        <f>HYPERLINK("https://klasma.github.io/Logging_2280/artfynd/A 47484-2025 artfynd.xlsx", "A 47484-2025")</f>
        <v/>
      </c>
      <c r="X43">
        <f>HYPERLINK("https://klasma.github.io/Logging_2280/kartor/A 47484-2025 karta.png", "A 47484-2025")</f>
        <v/>
      </c>
      <c r="Y43">
        <f>HYPERLINK("https://klasma.github.io/Logging_2280/kartor_geotiff/A 47484-2025 georefererad karta.tif", "A 47484-2025")</f>
        <v/>
      </c>
      <c r="AA43">
        <f>HYPERLINK("https://klasma.github.io/Logging_2280/klagomål/A 47484-2025 FSC-klagomål.docx", "A 47484-2025")</f>
        <v/>
      </c>
      <c r="AB43">
        <f>HYPERLINK("https://klasma.github.io/Logging_2280/klagomålsmail/A 47484-2025 FSC-klagomål mail.docx", "A 47484-2025")</f>
        <v/>
      </c>
      <c r="AC43">
        <f>HYPERLINK("https://klasma.github.io/Logging_2280/tillsyn/A 47484-2025 tillsynsbegäran.docx", "A 47484-2025")</f>
        <v/>
      </c>
      <c r="AD43">
        <f>HYPERLINK("https://klasma.github.io/Logging_2280/tillsynsmail/A 47484-2025 tillsynsbegäran mail.docx", "A 47484-2025")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46281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45182</v>
      </c>
      <c r="E45" s="1" t="n">
        <v>46281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2.6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Ullticka
Vedflamlav
Fläcknycklar</t>
        </is>
      </c>
      <c r="W45">
        <f>HYPERLINK("https://klasma.github.io/Logging_2280/artfynd/A 43101-2023 artfynd.xlsx", "A 43101-2023")</f>
        <v/>
      </c>
      <c r="X45">
        <f>HYPERLINK("https://klasma.github.io/Logging_2280/kartor/A 43101-2023 karta.png", "A 43101-2023")</f>
        <v/>
      </c>
      <c r="Y45">
        <f>HYPERLINK("https://klasma.github.io/Logging_2280/kartor_geotiff/A 43101-2023 georefererad karta.tif", "A 43101-2023")</f>
        <v/>
      </c>
      <c r="AA45">
        <f>HYPERLINK("https://klasma.github.io/Logging_2280/klagomål/A 43101-2023 FSC-klagomål.docx", "A 43101-2023")</f>
        <v/>
      </c>
      <c r="AB45">
        <f>HYPERLINK("https://klasma.github.io/Logging_2280/klagomålsmail/A 43101-2023 FSC-klagomål mail.docx", "A 43101-2023")</f>
        <v/>
      </c>
      <c r="AC45">
        <f>HYPERLINK("https://klasma.github.io/Logging_2280/tillsyn/A 43101-2023 tillsynsbegäran.docx", "A 43101-2023")</f>
        <v/>
      </c>
      <c r="AD45">
        <f>HYPERLINK("https://klasma.github.io/Logging_2280/tillsynsmail/A 43101-2023 tillsynsbegäran mail.docx", "A 43101-2023")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46281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46281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32846-2026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46281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1.5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Tretåig hackspett
Vitgrynig nållav</t>
        </is>
      </c>
      <c r="W48">
        <f>HYPERLINK("https://klasma.github.io/Logging_2280/artfynd/A 32846-2026 artfynd.xlsx", "A 32846-2026")</f>
        <v/>
      </c>
      <c r="X48">
        <f>HYPERLINK("https://klasma.github.io/Logging_2280/kartor/A 32846-2026 karta.png", "A 32846-2026")</f>
        <v/>
      </c>
      <c r="Y48">
        <f>HYPERLINK("https://klasma.github.io/Logging_2280/kartor_geotiff/A 32846-2026 georefererad karta.tif", "A 32846-2026")</f>
        <v/>
      </c>
      <c r="AA48">
        <f>HYPERLINK("https://klasma.github.io/Logging_2280/klagomål/A 32846-2026 FSC-klagomål.docx", "A 32846-2026")</f>
        <v/>
      </c>
      <c r="AB48">
        <f>HYPERLINK("https://klasma.github.io/Logging_2280/klagomålsmail/A 32846-2026 FSC-klagomål mail.docx", "A 32846-2026")</f>
        <v/>
      </c>
      <c r="AC48">
        <f>HYPERLINK("https://klasma.github.io/Logging_2280/tillsyn/A 32846-2026 tillsynsbegäran.docx", "A 32846-2026")</f>
        <v/>
      </c>
      <c r="AD48">
        <f>HYPERLINK("https://klasma.github.io/Logging_2280/tillsynsmail/A 32846-2026 tillsynsbegäran mail.docx", "A 32846-2026")</f>
        <v/>
      </c>
      <c r="AE48">
        <f>HYPERLINK("https://klasma.github.io/Logging_2280/fåglar/A 32846-2026 prioriterade fågelarter.docx", "A 32846-2026")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46281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34689-2024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45526</v>
      </c>
      <c r="E50" s="1" t="n">
        <v>46281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Rynkskinn
Ullticka
Blåsippa</t>
        </is>
      </c>
      <c r="W50">
        <f>HYPERLINK("https://klasma.github.io/Logging_2280/artfynd/A 34689-2024 artfynd.xlsx", "A 34689-2024")</f>
        <v/>
      </c>
      <c r="X50">
        <f>HYPERLINK("https://klasma.github.io/Logging_2280/kartor/A 34689-2024 karta.png", "A 34689-2024")</f>
        <v/>
      </c>
      <c r="Y50">
        <f>HYPERLINK("https://klasma.github.io/Logging_2280/kartor_geotiff/A 34689-2024 georefererad karta.tif", "A 34689-2024")</f>
        <v/>
      </c>
      <c r="AA50">
        <f>HYPERLINK("https://klasma.github.io/Logging_2280/klagomål/A 34689-2024 FSC-klagomål.docx", "A 34689-2024")</f>
        <v/>
      </c>
      <c r="AB50">
        <f>HYPERLINK("https://klasma.github.io/Logging_2280/klagomålsmail/A 34689-2024 FSC-klagomål mail.docx", "A 34689-2024")</f>
        <v/>
      </c>
      <c r="AC50">
        <f>HYPERLINK("https://klasma.github.io/Logging_2280/tillsyn/A 34689-2024 tillsynsbegäran.docx", "A 34689-2024")</f>
        <v/>
      </c>
      <c r="AD50">
        <f>HYPERLINK("https://klasma.github.io/Logging_2280/tillsynsmail/A 34689-2024 tillsynsbegäran mail.docx", "A 34689-2024")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46281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46281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11973-2024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45376</v>
      </c>
      <c r="E53" s="1" t="n">
        <v>46281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7.9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Violettgrå tagellav</t>
        </is>
      </c>
      <c r="W53">
        <f>HYPERLINK("https://klasma.github.io/Logging_2280/artfynd/A 11973-2024 artfynd.xlsx", "A 11973-2024")</f>
        <v/>
      </c>
      <c r="X53">
        <f>HYPERLINK("https://klasma.github.io/Logging_2280/kartor/A 11973-2024 karta.png", "A 11973-2024")</f>
        <v/>
      </c>
      <c r="Y53">
        <f>HYPERLINK("https://klasma.github.io/Logging_2280/kartor_geotiff/A 11973-2024 georefererad karta.tif", "A 11973-2024")</f>
        <v/>
      </c>
      <c r="AA53">
        <f>HYPERLINK("https://klasma.github.io/Logging_2280/klagomål/A 11973-2024 FSC-klagomål.docx", "A 11973-2024")</f>
        <v/>
      </c>
      <c r="AB53">
        <f>HYPERLINK("https://klasma.github.io/Logging_2280/klagomålsmail/A 11973-2024 FSC-klagomål mail.docx", "A 11973-2024")</f>
        <v/>
      </c>
      <c r="AC53">
        <f>HYPERLINK("https://klasma.github.io/Logging_2280/tillsyn/A 11973-2024 tillsynsbegäran.docx", "A 11973-2024")</f>
        <v/>
      </c>
      <c r="AD53">
        <f>HYPERLINK("https://klasma.github.io/Logging_2280/tillsynsmail/A 11973-2024 tillsynsbegäran mail.docx", "A 11973-2024")</f>
        <v/>
      </c>
    </row>
    <row r="54" ht="15" customHeight="1">
      <c r="A54" t="inlineStr">
        <is>
          <t>A 62351-2023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45267</v>
      </c>
      <c r="E54" s="1" t="n">
        <v>46281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Garnlav
Lunglav</t>
        </is>
      </c>
      <c r="W54">
        <f>HYPERLINK("https://klasma.github.io/Logging_2280/artfynd/A 62351-2023 artfynd.xlsx", "A 62351-2023")</f>
        <v/>
      </c>
      <c r="X54">
        <f>HYPERLINK("https://klasma.github.io/Logging_2280/kartor/A 62351-2023 karta.png", "A 62351-2023")</f>
        <v/>
      </c>
      <c r="Y54">
        <f>HYPERLINK("https://klasma.github.io/Logging_2280/kartor_geotiff/A 62351-2023 georefererad karta.tif", "A 62351-2023")</f>
        <v/>
      </c>
      <c r="AA54">
        <f>HYPERLINK("https://klasma.github.io/Logging_2280/klagomål/A 62351-2023 FSC-klagomål.docx", "A 62351-2023")</f>
        <v/>
      </c>
      <c r="AB54">
        <f>HYPERLINK("https://klasma.github.io/Logging_2280/klagomålsmail/A 62351-2023 FSC-klagomål mail.docx", "A 62351-2023")</f>
        <v/>
      </c>
      <c r="AC54">
        <f>HYPERLINK("https://klasma.github.io/Logging_2280/tillsyn/A 62351-2023 tillsynsbegäran.docx", "A 62351-2023")</f>
        <v/>
      </c>
      <c r="AD54">
        <f>HYPERLINK("https://klasma.github.io/Logging_2280/tillsynsmail/A 62351-2023 tillsynsbegäran mail.docx", "A 62351-2023")</f>
        <v/>
      </c>
    </row>
    <row r="55" ht="15" customHeight="1">
      <c r="A55" t="inlineStr">
        <is>
          <t>A 52727-2022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46281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3.4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Korallblylav
Skinnlav</t>
        </is>
      </c>
      <c r="W55">
        <f>HYPERLINK("https://klasma.github.io/Logging_2280/artfynd/A 52727-2022 artfynd.xlsx", "A 52727-2022")</f>
        <v/>
      </c>
      <c r="X55">
        <f>HYPERLINK("https://klasma.github.io/Logging_2280/kartor/A 52727-2022 karta.png", "A 52727-2022")</f>
        <v/>
      </c>
      <c r="Y55">
        <f>HYPERLINK("https://klasma.github.io/Logging_2280/kartor_geotiff/A 52727-2022 georefererad karta.tif", "A 52727-2022")</f>
        <v/>
      </c>
      <c r="AA55">
        <f>HYPERLINK("https://klasma.github.io/Logging_2280/klagomål/A 52727-2022 FSC-klagomål.docx", "A 52727-2022")</f>
        <v/>
      </c>
      <c r="AB55">
        <f>HYPERLINK("https://klasma.github.io/Logging_2280/klagomålsmail/A 52727-2022 FSC-klagomål mail.docx", "A 52727-2022")</f>
        <v/>
      </c>
      <c r="AC55">
        <f>HYPERLINK("https://klasma.github.io/Logging_2280/tillsyn/A 52727-2022 tillsynsbegäran.docx", "A 52727-2022")</f>
        <v/>
      </c>
      <c r="AD55">
        <f>HYPERLINK("https://klasma.github.io/Logging_2280/tillsynsmail/A 52727-2022 tillsynsbegäran mail.docx", "A 52727-2022")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46281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46281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46281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46281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54894-2024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46281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Lunglav</t>
        </is>
      </c>
      <c r="W60">
        <f>HYPERLINK("https://klasma.github.io/Logging_2280/artfynd/A 54894-2024 artfynd.xlsx", "A 54894-2024")</f>
        <v/>
      </c>
      <c r="X60">
        <f>HYPERLINK("https://klasma.github.io/Logging_2280/kartor/A 54894-2024 karta.png", "A 54894-2024")</f>
        <v/>
      </c>
      <c r="Y60">
        <f>HYPERLINK("https://klasma.github.io/Logging_2280/kartor_geotiff/A 54894-2024 georefererad karta.tif", "A 54894-2024")</f>
        <v/>
      </c>
      <c r="AA60">
        <f>HYPERLINK("https://klasma.github.io/Logging_2280/klagomål/A 54894-2024 FSC-klagomål.docx", "A 54894-2024")</f>
        <v/>
      </c>
      <c r="AB60">
        <f>HYPERLINK("https://klasma.github.io/Logging_2280/klagomålsmail/A 54894-2024 FSC-klagomål mail.docx", "A 54894-2024")</f>
        <v/>
      </c>
      <c r="AC60">
        <f>HYPERLINK("https://klasma.github.io/Logging_2280/tillsyn/A 54894-2024 tillsynsbegäran.docx", "A 54894-2024")</f>
        <v/>
      </c>
      <c r="AD60">
        <f>HYPERLINK("https://klasma.github.io/Logging_2280/tillsynsmail/A 54894-2024 tillsynsbegäran mail.docx", "A 54894-2024")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46281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46281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32857-2026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46244</v>
      </c>
      <c r="E63" s="1" t="n">
        <v>46281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1.9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Rynkskinn
Ullticka</t>
        </is>
      </c>
      <c r="W63">
        <f>HYPERLINK("https://klasma.github.io/Logging_2280/artfynd/A 32857-2026 artfynd.xlsx", "A 32857-2026")</f>
        <v/>
      </c>
      <c r="X63">
        <f>HYPERLINK("https://klasma.github.io/Logging_2280/kartor/A 32857-2026 karta.png", "A 32857-2026")</f>
        <v/>
      </c>
      <c r="Y63">
        <f>HYPERLINK("https://klasma.github.io/Logging_2280/kartor_geotiff/A 32857-2026 georefererad karta.tif", "A 32857-2026")</f>
        <v/>
      </c>
      <c r="AA63">
        <f>HYPERLINK("https://klasma.github.io/Logging_2280/klagomål/A 32857-2026 FSC-klagomål.docx", "A 32857-2026")</f>
        <v/>
      </c>
      <c r="AB63">
        <f>HYPERLINK("https://klasma.github.io/Logging_2280/klagomålsmail/A 32857-2026 FSC-klagomål mail.docx", "A 32857-2026")</f>
        <v/>
      </c>
      <c r="AC63">
        <f>HYPERLINK("https://klasma.github.io/Logging_2280/tillsyn/A 32857-2026 tillsynsbegäran.docx", "A 32857-2026")</f>
        <v/>
      </c>
      <c r="AD63">
        <f>HYPERLINK("https://klasma.github.io/Logging_2280/tillsynsmail/A 32857-2026 tillsynsbegäran mail.docx", "A 32857-2026")</f>
        <v/>
      </c>
    </row>
    <row r="64" ht="15" customHeight="1">
      <c r="A64" t="inlineStr">
        <is>
          <t>A 34545-2025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46281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Kyrkan</t>
        </is>
      </c>
      <c r="I64" t="n">
        <v>9.699999999999999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Tretåig hackspett
Korallblylav</t>
        </is>
      </c>
      <c r="W64">
        <f>HYPERLINK("https://klasma.github.io/Logging_2280/artfynd/A 34545-2025 artfynd.xlsx", "A 34545-2025")</f>
        <v/>
      </c>
      <c r="X64">
        <f>HYPERLINK("https://klasma.github.io/Logging_2280/kartor/A 34545-2025 karta.png", "A 34545-2025")</f>
        <v/>
      </c>
      <c r="Y64">
        <f>HYPERLINK("https://klasma.github.io/Logging_2280/kartor_geotiff/A 34545-2025 georefererad karta.tif", "A 34545-2025")</f>
        <v/>
      </c>
      <c r="AA64">
        <f>HYPERLINK("https://klasma.github.io/Logging_2280/klagomål/A 34545-2025 FSC-klagomål.docx", "A 34545-2025")</f>
        <v/>
      </c>
      <c r="AB64">
        <f>HYPERLINK("https://klasma.github.io/Logging_2280/klagomålsmail/A 34545-2025 FSC-klagomål mail.docx", "A 34545-2025")</f>
        <v/>
      </c>
      <c r="AC64">
        <f>HYPERLINK("https://klasma.github.io/Logging_2280/tillsyn/A 34545-2025 tillsynsbegäran.docx", "A 34545-2025")</f>
        <v/>
      </c>
      <c r="AD64">
        <f>HYPERLINK("https://klasma.github.io/Logging_2280/tillsynsmail/A 34545-2025 tillsynsbegäran mail.docx", "A 34545-2025")</f>
        <v/>
      </c>
      <c r="AE64">
        <f>HYPERLINK("https://klasma.github.io/Logging_2280/fåglar/A 34545-2025 prioriterade fågelarter.docx", "A 34545-2025")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46281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46281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46281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46281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7853-2024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45350</v>
      </c>
      <c r="E69" s="1" t="n">
        <v>46281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4.1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HYPERLINK("https://klasma.github.io/Logging_2280/artfynd/A 7853-2024 artfynd.xlsx", "A 7853-2024")</f>
        <v/>
      </c>
      <c r="X69">
        <f>HYPERLINK("https://klasma.github.io/Logging_2280/kartor/A 7853-2024 karta.png", "A 7853-2024")</f>
        <v/>
      </c>
      <c r="Y69">
        <f>HYPERLINK("https://klasma.github.io/Logging_2280/kartor_geotiff/A 7853-2024 georefererad karta.tif", "A 7853-2024")</f>
        <v/>
      </c>
      <c r="AA69">
        <f>HYPERLINK("https://klasma.github.io/Logging_2280/klagomål/A 7853-2024 FSC-klagomål.docx", "A 7853-2024")</f>
        <v/>
      </c>
      <c r="AB69">
        <f>HYPERLINK("https://klasma.github.io/Logging_2280/klagomålsmail/A 7853-2024 FSC-klagomål mail.docx", "A 7853-2024")</f>
        <v/>
      </c>
      <c r="AC69">
        <f>HYPERLINK("https://klasma.github.io/Logging_2280/tillsyn/A 7853-2024 tillsynsbegäran.docx", "A 7853-2024")</f>
        <v/>
      </c>
      <c r="AD69">
        <f>HYPERLINK("https://klasma.github.io/Logging_2280/tillsynsmail/A 7853-2024 tillsynsbegäran mail.docx", "A 7853-2024")</f>
        <v/>
      </c>
    </row>
    <row r="70" ht="15" customHeight="1">
      <c r="A70" t="inlineStr">
        <is>
          <t>A 11546-2024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45372</v>
      </c>
      <c r="E70" s="1" t="n">
        <v>46281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3.1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Garnlav</t>
        </is>
      </c>
      <c r="W70">
        <f>HYPERLINK("https://klasma.github.io/Logging_2280/artfynd/A 11546-2024 artfynd.xlsx", "A 11546-2024")</f>
        <v/>
      </c>
      <c r="X70">
        <f>HYPERLINK("https://klasma.github.io/Logging_2280/kartor/A 11546-2024 karta.png", "A 11546-2024")</f>
        <v/>
      </c>
      <c r="Y70">
        <f>HYPERLINK("https://klasma.github.io/Logging_2280/kartor_geotiff/A 11546-2024 georefererad karta.tif", "A 11546-2024")</f>
        <v/>
      </c>
      <c r="AA70">
        <f>HYPERLINK("https://klasma.github.io/Logging_2280/klagomål/A 11546-2024 FSC-klagomål.docx", "A 11546-2024")</f>
        <v/>
      </c>
      <c r="AB70">
        <f>HYPERLINK("https://klasma.github.io/Logging_2280/klagomålsmail/A 11546-2024 FSC-klagomål mail.docx", "A 11546-2024")</f>
        <v/>
      </c>
      <c r="AC70">
        <f>HYPERLINK("https://klasma.github.io/Logging_2280/tillsyn/A 11546-2024 tillsynsbegäran.docx", "A 11546-2024")</f>
        <v/>
      </c>
      <c r="AD70">
        <f>HYPERLINK("https://klasma.github.io/Logging_2280/tillsynsmail/A 11546-2024 tillsynsbegäran mail.docx", "A 11546-2024")</f>
        <v/>
      </c>
    </row>
    <row r="71" ht="15" customHeight="1">
      <c r="A71" t="inlineStr">
        <is>
          <t>A 45060-2025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46281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HYPERLINK("https://klasma.github.io/Logging_2280/artfynd/A 45060-2025 artfynd.xlsx", "A 45060-2025")</f>
        <v/>
      </c>
      <c r="X71">
        <f>HYPERLINK("https://klasma.github.io/Logging_2280/kartor/A 45060-2025 karta.png", "A 45060-2025")</f>
        <v/>
      </c>
      <c r="Y71">
        <f>HYPERLINK("https://klasma.github.io/Logging_2280/kartor_geotiff/A 45060-2025 georefererad karta.tif", "A 45060-2025")</f>
        <v/>
      </c>
      <c r="AA71">
        <f>HYPERLINK("https://klasma.github.io/Logging_2280/klagomål/A 45060-2025 FSC-klagomål.docx", "A 45060-2025")</f>
        <v/>
      </c>
      <c r="AB71">
        <f>HYPERLINK("https://klasma.github.io/Logging_2280/klagomålsmail/A 45060-2025 FSC-klagomål mail.docx", "A 45060-2025")</f>
        <v/>
      </c>
      <c r="AC71">
        <f>HYPERLINK("https://klasma.github.io/Logging_2280/tillsyn/A 45060-2025 tillsynsbegäran.docx", "A 45060-2025")</f>
        <v/>
      </c>
      <c r="AD71">
        <f>HYPERLINK("https://klasma.github.io/Logging_2280/tillsynsmail/A 45060-2025 tillsynsbegäran mail.docx", "A 45060-2025")</f>
        <v/>
      </c>
    </row>
    <row r="72" ht="15" customHeight="1">
      <c r="A72" t="inlineStr">
        <is>
          <t>A 18583-2026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46281</v>
      </c>
      <c r="F72" t="inlineStr">
        <is>
          <t>VÄSTERNORRLANDS LÄN</t>
        </is>
      </c>
      <c r="G72" t="inlineStr">
        <is>
          <t>HÄRNÖSAND</t>
        </is>
      </c>
      <c r="I72" t="n">
        <v>2.4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HYPERLINK("https://klasma.github.io/Logging_2280/artfynd/A 18583-2026 artfynd.xlsx", "A 18583-2026")</f>
        <v/>
      </c>
      <c r="X72">
        <f>HYPERLINK("https://klasma.github.io/Logging_2280/kartor/A 18583-2026 karta.png", "A 18583-2026")</f>
        <v/>
      </c>
      <c r="Y72">
        <f>HYPERLINK("https://klasma.github.io/Logging_2280/kartor_geotiff/A 18583-2026 georefererad karta.tif", "A 18583-2026")</f>
        <v/>
      </c>
      <c r="AA72">
        <f>HYPERLINK("https://klasma.github.io/Logging_2280/klagomål/A 18583-2026 FSC-klagomål.docx", "A 18583-2026")</f>
        <v/>
      </c>
      <c r="AB72">
        <f>HYPERLINK("https://klasma.github.io/Logging_2280/klagomålsmail/A 18583-2026 FSC-klagomål mail.docx", "A 18583-2026")</f>
        <v/>
      </c>
      <c r="AC72">
        <f>HYPERLINK("https://klasma.github.io/Logging_2280/tillsyn/A 18583-2026 tillsynsbegäran.docx", "A 18583-2026")</f>
        <v/>
      </c>
      <c r="AD72">
        <f>HYPERLINK("https://klasma.github.io/Logging_2280/tillsynsmail/A 18583-2026 tillsynsbegäran mail.docx", "A 18583-2026")</f>
        <v/>
      </c>
    </row>
    <row r="73" ht="15" customHeight="1">
      <c r="A73" t="inlineStr">
        <is>
          <t>A 46707-2024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46281</v>
      </c>
      <c r="F73" t="inlineStr">
        <is>
          <t>VÄSTERNORRLANDS LÄN</t>
        </is>
      </c>
      <c r="G73" t="inlineStr">
        <is>
          <t>HÄRNÖSAND</t>
        </is>
      </c>
      <c r="I73" t="n">
        <v>0.6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Tretåig hackspett</t>
        </is>
      </c>
      <c r="W73">
        <f>HYPERLINK("https://klasma.github.io/Logging_2280/artfynd/A 46707-2024 artfynd.xlsx", "A 46707-2024")</f>
        <v/>
      </c>
      <c r="X73">
        <f>HYPERLINK("https://klasma.github.io/Logging_2280/kartor/A 46707-2024 karta.png", "A 46707-2024")</f>
        <v/>
      </c>
      <c r="Y73">
        <f>HYPERLINK("https://klasma.github.io/Logging_2280/kartor_geotiff/A 46707-2024 georefererad karta.tif", "A 46707-2024")</f>
        <v/>
      </c>
      <c r="AA73">
        <f>HYPERLINK("https://klasma.github.io/Logging_2280/klagomål/A 46707-2024 FSC-klagomål.docx", "A 46707-2024")</f>
        <v/>
      </c>
      <c r="AB73">
        <f>HYPERLINK("https://klasma.github.io/Logging_2280/klagomålsmail/A 46707-2024 FSC-klagomål mail.docx", "A 46707-2024")</f>
        <v/>
      </c>
      <c r="AC73">
        <f>HYPERLINK("https://klasma.github.io/Logging_2280/tillsyn/A 46707-2024 tillsynsbegäran.docx", "A 46707-2024")</f>
        <v/>
      </c>
      <c r="AD73">
        <f>HYPERLINK("https://klasma.github.io/Logging_2280/tillsynsmail/A 46707-2024 tillsynsbegäran mail.docx", "A 46707-2024")</f>
        <v/>
      </c>
      <c r="AE73">
        <f>HYPERLINK("https://klasma.github.io/Logging_2280/fåglar/A 46707-2024 prioriterade fågelarter.docx", "A 46707-2024")</f>
        <v/>
      </c>
    </row>
    <row r="74" ht="15" customHeight="1">
      <c r="A74" t="inlineStr">
        <is>
          <t>A 24202-2024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45456</v>
      </c>
      <c r="E74" s="1" t="n">
        <v>46281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2.2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Garnlav</t>
        </is>
      </c>
      <c r="W74">
        <f>HYPERLINK("https://klasma.github.io/Logging_2280/artfynd/A 24202-2024 artfynd.xlsx", "A 24202-2024")</f>
        <v/>
      </c>
      <c r="X74">
        <f>HYPERLINK("https://klasma.github.io/Logging_2280/kartor/A 24202-2024 karta.png", "A 24202-2024")</f>
        <v/>
      </c>
      <c r="Y74">
        <f>HYPERLINK("https://klasma.github.io/Logging_2280/kartor_geotiff/A 24202-2024 georefererad karta.tif", "A 24202-2024")</f>
        <v/>
      </c>
      <c r="AA74">
        <f>HYPERLINK("https://klasma.github.io/Logging_2280/klagomål/A 24202-2024 FSC-klagomål.docx", "A 24202-2024")</f>
        <v/>
      </c>
      <c r="AB74">
        <f>HYPERLINK("https://klasma.github.io/Logging_2280/klagomålsmail/A 24202-2024 FSC-klagomål mail.docx", "A 24202-2024")</f>
        <v/>
      </c>
      <c r="AC74">
        <f>HYPERLINK("https://klasma.github.io/Logging_2280/tillsyn/A 24202-2024 tillsynsbegäran.docx", "A 24202-2024")</f>
        <v/>
      </c>
      <c r="AD74">
        <f>HYPERLINK("https://klasma.github.io/Logging_2280/tillsynsmail/A 24202-2024 tillsynsbegäran mail.docx", "A 24202-2024")</f>
        <v/>
      </c>
    </row>
    <row r="75" ht="15" customHeight="1">
      <c r="A75" t="inlineStr">
        <is>
          <t>A 13984-2023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45008</v>
      </c>
      <c r="E75" s="1" t="n">
        <v>46281</v>
      </c>
      <c r="F75" t="inlineStr">
        <is>
          <t>VÄSTERNORRLANDS LÄN</t>
        </is>
      </c>
      <c r="G75" t="inlineStr">
        <is>
          <t>HÄRNÖSAND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HYPERLINK("https://klasma.github.io/Logging_2280/artfynd/A 13984-2023 artfynd.xlsx", "A 13984-2023")</f>
        <v/>
      </c>
      <c r="X75">
        <f>HYPERLINK("https://klasma.github.io/Logging_2280/kartor/A 13984-2023 karta.png", "A 13984-2023")</f>
        <v/>
      </c>
      <c r="Y75">
        <f>HYPERLINK("https://klasma.github.io/Logging_2280/kartor_geotiff/A 13984-2023 georefererad karta.tif", "A 13984-2023")</f>
        <v/>
      </c>
      <c r="AA75">
        <f>HYPERLINK("https://klasma.github.io/Logging_2280/klagomål/A 13984-2023 FSC-klagomål.docx", "A 13984-2023")</f>
        <v/>
      </c>
      <c r="AB75">
        <f>HYPERLINK("https://klasma.github.io/Logging_2280/klagomålsmail/A 13984-2023 FSC-klagomål mail.docx", "A 13984-2023")</f>
        <v/>
      </c>
      <c r="AC75">
        <f>HYPERLINK("https://klasma.github.io/Logging_2280/tillsyn/A 13984-2023 tillsynsbegäran.docx", "A 13984-2023")</f>
        <v/>
      </c>
      <c r="AD75">
        <f>HYPERLINK("https://klasma.github.io/Logging_2280/tillsynsmail/A 13984-2023 tillsynsbegäran mail.docx", "A 13984-2023")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46281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43541-2022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44837</v>
      </c>
      <c r="E77" s="1" t="n">
        <v>46281</v>
      </c>
      <c r="F77" t="inlineStr">
        <is>
          <t>VÄSTERNORRLANDS LÄN</t>
        </is>
      </c>
      <c r="G77" t="inlineStr">
        <is>
          <t>HÄRNÖSAND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2</v>
      </c>
      <c r="V77" s="2" t="inlineStr">
        <is>
          <t>Sötgräs</t>
        </is>
      </c>
      <c r="W77">
        <f>HYPERLINK("https://klasma.github.io/Logging_2280/artfynd/A 43541-2022 artfynd.xlsx", "A 43541-2022")</f>
        <v/>
      </c>
      <c r="X77">
        <f>HYPERLINK("https://klasma.github.io/Logging_2280/kartor/A 43541-2022 karta.png", "A 43541-2022")</f>
        <v/>
      </c>
      <c r="Y77">
        <f>HYPERLINK("https://klasma.github.io/Logging_2280/kartor_geotiff/A 43541-2022 georefererad karta.tif", "A 43541-2022")</f>
        <v/>
      </c>
      <c r="AA77">
        <f>HYPERLINK("https://klasma.github.io/Logging_2280/klagomål/A 43541-2022 FSC-klagomål.docx", "A 43541-2022")</f>
        <v/>
      </c>
      <c r="AB77">
        <f>HYPERLINK("https://klasma.github.io/Logging_2280/klagomålsmail/A 43541-2022 FSC-klagomål mail.docx", "A 43541-2022")</f>
        <v/>
      </c>
      <c r="AC77">
        <f>HYPERLINK("https://klasma.github.io/Logging_2280/tillsyn/A 43541-2022 tillsynsbegäran.docx", "A 43541-2022")</f>
        <v/>
      </c>
      <c r="AD77">
        <f>HYPERLINK("https://klasma.github.io/Logging_2280/tillsynsmail/A 43541-2022 tillsynsbegäran mail.docx", "A 43541-2022")</f>
        <v/>
      </c>
    </row>
    <row r="78" ht="15" customHeight="1">
      <c r="A78" t="inlineStr">
        <is>
          <t>A 63724-2023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45276</v>
      </c>
      <c r="E78" s="1" t="n">
        <v>46281</v>
      </c>
      <c r="F78" t="inlineStr">
        <is>
          <t>VÄSTERNORRLANDS LÄN</t>
        </is>
      </c>
      <c r="G78" t="inlineStr">
        <is>
          <t>HÄRNÖSAND</t>
        </is>
      </c>
      <c r="I78" t="n">
        <v>10.1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Älg</t>
        </is>
      </c>
      <c r="W78">
        <f>HYPERLINK("https://klasma.github.io/Logging_2280/artfynd/A 63724-2023 artfynd.xlsx", "A 63724-2023")</f>
        <v/>
      </c>
      <c r="X78">
        <f>HYPERLINK("https://klasma.github.io/Logging_2280/kartor/A 63724-2023 karta.png", "A 63724-2023")</f>
        <v/>
      </c>
      <c r="Y78">
        <f>HYPERLINK("https://klasma.github.io/Logging_2280/kartor_geotiff/A 63724-2023 georefererad karta.tif", "A 63724-2023")</f>
        <v/>
      </c>
      <c r="AA78">
        <f>HYPERLINK("https://klasma.github.io/Logging_2280/klagomål/A 63724-2023 FSC-klagomål.docx", "A 63724-2023")</f>
        <v/>
      </c>
      <c r="AB78">
        <f>HYPERLINK("https://klasma.github.io/Logging_2280/klagomålsmail/A 63724-2023 FSC-klagomål mail.docx", "A 63724-2023")</f>
        <v/>
      </c>
      <c r="AC78">
        <f>HYPERLINK("https://klasma.github.io/Logging_2280/tillsyn/A 63724-2023 tillsynsbegäran.docx", "A 63724-2023")</f>
        <v/>
      </c>
      <c r="AD78">
        <f>HYPERLINK("https://klasma.github.io/Logging_2280/tillsynsmail/A 63724-2023 tillsynsbegäran mail.docx", "A 63724-2023")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46281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25340-2026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46176</v>
      </c>
      <c r="E80" s="1" t="n">
        <v>46281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0</v>
      </c>
      <c r="V80" s="2" t="inlineStr">
        <is>
          <t>Garnlav</t>
        </is>
      </c>
      <c r="W80">
        <f>HYPERLINK("https://klasma.github.io/Logging_2280/artfynd/A 25340-2026 artfynd.xlsx", "A 25340-2026")</f>
        <v/>
      </c>
      <c r="X80">
        <f>HYPERLINK("https://klasma.github.io/Logging_2280/kartor/A 25340-2026 karta.png", "A 25340-2026")</f>
        <v/>
      </c>
      <c r="Y80">
        <f>HYPERLINK("https://klasma.github.io/Logging_2280/kartor_geotiff/A 25340-2026 georefererad karta.tif", "A 25340-2026")</f>
        <v/>
      </c>
      <c r="AA80">
        <f>HYPERLINK("https://klasma.github.io/Logging_2280/klagomål/A 25340-2026 FSC-klagomål.docx", "A 25340-2026")</f>
        <v/>
      </c>
      <c r="AB80">
        <f>HYPERLINK("https://klasma.github.io/Logging_2280/klagomålsmail/A 25340-2026 FSC-klagomål mail.docx", "A 25340-2026")</f>
        <v/>
      </c>
      <c r="AC80">
        <f>HYPERLINK("https://klasma.github.io/Logging_2280/tillsyn/A 25340-2026 tillsynsbegäran.docx", "A 25340-2026")</f>
        <v/>
      </c>
      <c r="AD80">
        <f>HYPERLINK("https://klasma.github.io/Logging_2280/tillsynsmail/A 25340-2026 tillsynsbegäran mail.docx", "A 25340-2026")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46281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27923-2026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46281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9.300000000000001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Veckticka</t>
        </is>
      </c>
      <c r="W82">
        <f>HYPERLINK("https://klasma.github.io/Logging_2280/artfynd/A 27923-2026 artfynd.xlsx", "A 27923-2026")</f>
        <v/>
      </c>
      <c r="X82">
        <f>HYPERLINK("https://klasma.github.io/Logging_2280/kartor/A 27923-2026 karta.png", "A 27923-2026")</f>
        <v/>
      </c>
      <c r="Y82">
        <f>HYPERLINK("https://klasma.github.io/Logging_2280/kartor_geotiff/A 27923-2026 georefererad karta.tif", "A 27923-2026")</f>
        <v/>
      </c>
      <c r="AA82">
        <f>HYPERLINK("https://klasma.github.io/Logging_2280/klagomål/A 27923-2026 FSC-klagomål.docx", "A 27923-2026")</f>
        <v/>
      </c>
      <c r="AB82">
        <f>HYPERLINK("https://klasma.github.io/Logging_2280/klagomålsmail/A 27923-2026 FSC-klagomål mail.docx", "A 27923-2026")</f>
        <v/>
      </c>
      <c r="AC82">
        <f>HYPERLINK("https://klasma.github.io/Logging_2280/tillsyn/A 27923-2026 tillsynsbegäran.docx", "A 27923-2026")</f>
        <v/>
      </c>
      <c r="AD82">
        <f>HYPERLINK("https://klasma.github.io/Logging_2280/tillsynsmail/A 27923-2026 tillsynsbegäran mail.docx", "A 27923-2026")</f>
        <v/>
      </c>
    </row>
    <row r="83" ht="15" customHeight="1">
      <c r="A83" t="inlineStr">
        <is>
          <t>A 40265-2024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45554</v>
      </c>
      <c r="E83" s="1" t="n">
        <v>46281</v>
      </c>
      <c r="F83" t="inlineStr">
        <is>
          <t>VÄSTERNORRLANDS LÄN</t>
        </is>
      </c>
      <c r="G83" t="inlineStr">
        <is>
          <t>HÄRNÖSAND</t>
        </is>
      </c>
      <c r="I83" t="n">
        <v>4.9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Stor aspticka</t>
        </is>
      </c>
      <c r="W83">
        <f>HYPERLINK("https://klasma.github.io/Logging_2280/artfynd/A 40265-2024 artfynd.xlsx", "A 40265-2024")</f>
        <v/>
      </c>
      <c r="X83">
        <f>HYPERLINK("https://klasma.github.io/Logging_2280/kartor/A 40265-2024 karta.png", "A 40265-2024")</f>
        <v/>
      </c>
      <c r="Y83">
        <f>HYPERLINK("https://klasma.github.io/Logging_2280/kartor_geotiff/A 40265-2024 georefererad karta.tif", "A 40265-2024")</f>
        <v/>
      </c>
      <c r="AA83">
        <f>HYPERLINK("https://klasma.github.io/Logging_2280/klagomål/A 40265-2024 FSC-klagomål.docx", "A 40265-2024")</f>
        <v/>
      </c>
      <c r="AB83">
        <f>HYPERLINK("https://klasma.github.io/Logging_2280/klagomålsmail/A 40265-2024 FSC-klagomål mail.docx", "A 40265-2024")</f>
        <v/>
      </c>
      <c r="AC83">
        <f>HYPERLINK("https://klasma.github.io/Logging_2280/tillsyn/A 40265-2024 tillsynsbegäran.docx", "A 40265-2024")</f>
        <v/>
      </c>
      <c r="AD83">
        <f>HYPERLINK("https://klasma.github.io/Logging_2280/tillsynsmail/A 40265-2024 tillsynsbegäran mail.docx", "A 40265-2024")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46281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74325-2021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44559</v>
      </c>
      <c r="E85" s="1" t="n">
        <v>46281</v>
      </c>
      <c r="F85" t="inlineStr">
        <is>
          <t>VÄSTERNORRLANDS LÄN</t>
        </is>
      </c>
      <c r="G85" t="inlineStr">
        <is>
          <t>HÄRNÖSAND</t>
        </is>
      </c>
      <c r="I85" t="n">
        <v>4.6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Skogshare</t>
        </is>
      </c>
      <c r="W85">
        <f>HYPERLINK("https://klasma.github.io/Logging_2280/artfynd/A 74325-2021 artfynd.xlsx", "A 74325-2021")</f>
        <v/>
      </c>
      <c r="X85">
        <f>HYPERLINK("https://klasma.github.io/Logging_2280/kartor/A 74325-2021 karta.png", "A 74325-2021")</f>
        <v/>
      </c>
      <c r="Y85">
        <f>HYPERLINK("https://klasma.github.io/Logging_2280/kartor_geotiff/A 74325-2021 georefererad karta.tif", "A 74325-2021")</f>
        <v/>
      </c>
      <c r="AA85">
        <f>HYPERLINK("https://klasma.github.io/Logging_2280/klagomål/A 74325-2021 FSC-klagomål.docx", "A 74325-2021")</f>
        <v/>
      </c>
      <c r="AB85">
        <f>HYPERLINK("https://klasma.github.io/Logging_2280/klagomålsmail/A 74325-2021 FSC-klagomål mail.docx", "A 74325-2021")</f>
        <v/>
      </c>
      <c r="AC85">
        <f>HYPERLINK("https://klasma.github.io/Logging_2280/tillsyn/A 74325-2021 tillsynsbegäran.docx", "A 74325-2021")</f>
        <v/>
      </c>
      <c r="AD85">
        <f>HYPERLINK("https://klasma.github.io/Logging_2280/tillsynsmail/A 74325-2021 tillsynsbegäran mail.docx", "A 74325-2021")</f>
        <v/>
      </c>
    </row>
    <row r="86" ht="15" customHeight="1">
      <c r="A86" t="inlineStr">
        <is>
          <t>A 8921-2024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45355</v>
      </c>
      <c r="E86" s="1" t="n">
        <v>46281</v>
      </c>
      <c r="F86" t="inlineStr">
        <is>
          <t>VÄSTERNORRLANDS LÄN</t>
        </is>
      </c>
      <c r="G86" t="inlineStr">
        <is>
          <t>HÄRNÖSAND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Apelsinticka</t>
        </is>
      </c>
      <c r="W86">
        <f>HYPERLINK("https://klasma.github.io/Logging_2280/artfynd/A 8921-2024 artfynd.xlsx", "A 8921-2024")</f>
        <v/>
      </c>
      <c r="X86">
        <f>HYPERLINK("https://klasma.github.io/Logging_2280/kartor/A 8921-2024 karta.png", "A 8921-2024")</f>
        <v/>
      </c>
      <c r="Y86">
        <f>HYPERLINK("https://klasma.github.io/Logging_2280/kartor_geotiff/A 8921-2024 georefererad karta.tif", "A 8921-2024")</f>
        <v/>
      </c>
      <c r="AA86">
        <f>HYPERLINK("https://klasma.github.io/Logging_2280/klagomål/A 8921-2024 FSC-klagomål.docx", "A 8921-2024")</f>
        <v/>
      </c>
      <c r="AB86">
        <f>HYPERLINK("https://klasma.github.io/Logging_2280/klagomålsmail/A 8921-2024 FSC-klagomål mail.docx", "A 8921-2024")</f>
        <v/>
      </c>
      <c r="AC86">
        <f>HYPERLINK("https://klasma.github.io/Logging_2280/tillsyn/A 8921-2024 tillsynsbegäran.docx", "A 8921-2024")</f>
        <v/>
      </c>
      <c r="AD86">
        <f>HYPERLINK("https://klasma.github.io/Logging_2280/tillsynsmail/A 8921-2024 tillsynsbegäran mail.docx", "A 8921-2024")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46281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46281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HYPERLINK("https://klasma.github.io/Logging_2280/artfynd/A 8407-2024 artfynd.xlsx", "A 8407-2024")</f>
        <v/>
      </c>
      <c r="X88">
        <f>HYPERLINK("https://klasma.github.io/Logging_2280/kartor/A 8407-2024 karta.png", "A 8407-2024")</f>
        <v/>
      </c>
      <c r="Y88">
        <f>HYPERLINK("https://klasma.github.io/Logging_2280/kartor_geotiff/A 8407-2024 georefererad karta.tif", "A 8407-2024")</f>
        <v/>
      </c>
      <c r="AA88">
        <f>HYPERLINK("https://klasma.github.io/Logging_2280/klagomål/A 8407-2024 FSC-klagomål.docx", "A 8407-2024")</f>
        <v/>
      </c>
      <c r="AB88">
        <f>HYPERLINK("https://klasma.github.io/Logging_2280/klagomålsmail/A 8407-2024 FSC-klagomål mail.docx", "A 8407-2024")</f>
        <v/>
      </c>
      <c r="AC88">
        <f>HYPERLINK("https://klasma.github.io/Logging_2280/tillsyn/A 8407-2024 tillsynsbegäran.docx", "A 8407-2024")</f>
        <v/>
      </c>
      <c r="AD88">
        <f>HYPERLINK("https://klasma.github.io/Logging_2280/tillsynsmail/A 8407-2024 tillsynsbegäran mail.docx", "A 8407-2024")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46281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46281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46281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46281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44664</v>
      </c>
      <c r="E93" s="1" t="n">
        <v>46281</v>
      </c>
      <c r="F93" t="inlineStr">
        <is>
          <t>VÄSTERNORRLANDS LÄN</t>
        </is>
      </c>
      <c r="G93" t="inlineStr">
        <is>
          <t>HÄRNÖSAND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46281</v>
      </c>
      <c r="F94" t="inlineStr">
        <is>
          <t>VÄSTERNORRLANDS LÄN</t>
        </is>
      </c>
      <c r="G94" t="inlineStr">
        <is>
          <t>HÄRNÖSAND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46281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46281</v>
      </c>
      <c r="F96" t="inlineStr">
        <is>
          <t>VÄSTERNORRLANDS LÄN</t>
        </is>
      </c>
      <c r="G96" t="inlineStr">
        <is>
          <t>HÄRNÖSAND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46281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46281</v>
      </c>
      <c r="F98" t="inlineStr">
        <is>
          <t>VÄSTERNORRLANDS LÄN</t>
        </is>
      </c>
      <c r="G98" t="inlineStr">
        <is>
          <t>HÄRNÖSAND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46281</v>
      </c>
      <c r="F99" t="inlineStr">
        <is>
          <t>VÄSTERNORRLANDS LÄN</t>
        </is>
      </c>
      <c r="G99" t="inlineStr">
        <is>
          <t>HÄRNÖSAND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44720</v>
      </c>
      <c r="E100" s="1" t="n">
        <v>46281</v>
      </c>
      <c r="F100" t="inlineStr">
        <is>
          <t>VÄSTERNORRLANDS LÄN</t>
        </is>
      </c>
      <c r="G100" t="inlineStr">
        <is>
          <t>HÄRNÖSAND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46281</v>
      </c>
      <c r="F101" t="inlineStr">
        <is>
          <t>VÄSTERNORRLANDS LÄN</t>
        </is>
      </c>
      <c r="G101" t="inlineStr">
        <is>
          <t>HÄRNÖSAND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46281</v>
      </c>
      <c r="F102" t="inlineStr">
        <is>
          <t>VÄSTERNORRLANDS LÄN</t>
        </is>
      </c>
      <c r="G102" t="inlineStr">
        <is>
          <t>HÄRNÖSAND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58149-2021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46281</v>
      </c>
      <c r="F103" t="inlineStr">
        <is>
          <t>VÄSTERNORRLANDS LÄN</t>
        </is>
      </c>
      <c r="G103" t="inlineStr">
        <is>
          <t>HÄRNÖSAND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46281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44512</v>
      </c>
      <c r="E105" s="1" t="n">
        <v>46281</v>
      </c>
      <c r="F105" t="inlineStr">
        <is>
          <t>VÄSTERNORRLANDS LÄN</t>
        </is>
      </c>
      <c r="G105" t="inlineStr">
        <is>
          <t>HÄRNÖSAND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46281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46281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46281</v>
      </c>
      <c r="F108" t="inlineStr">
        <is>
          <t>VÄSTERNORRLANDS LÄN</t>
        </is>
      </c>
      <c r="G108" t="inlineStr">
        <is>
          <t>HÄRNÖSAND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46281</v>
      </c>
      <c r="F109" t="inlineStr">
        <is>
          <t>VÄSTERNORRLANDS LÄN</t>
        </is>
      </c>
      <c r="G109" t="inlineStr">
        <is>
          <t>HÄRNÖSAND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55790-2021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44476</v>
      </c>
      <c r="E110" s="1" t="n">
        <v>46281</v>
      </c>
      <c r="F110" t="inlineStr">
        <is>
          <t>VÄSTERNORRLANDS LÄN</t>
        </is>
      </c>
      <c r="G110" t="inlineStr">
        <is>
          <t>HÄRNÖSAND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44664</v>
      </c>
      <c r="E111" s="1" t="n">
        <v>46281</v>
      </c>
      <c r="F111" t="inlineStr">
        <is>
          <t>VÄSTERNORRLANDS LÄN</t>
        </is>
      </c>
      <c r="G111" t="inlineStr">
        <is>
          <t>HÄRNÖSAND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36649-2022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44804</v>
      </c>
      <c r="E112" s="1" t="n">
        <v>46281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46281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46281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46281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44571</v>
      </c>
      <c r="E116" s="1" t="n">
        <v>46281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64682-2021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46281</v>
      </c>
      <c r="F117" t="inlineStr">
        <is>
          <t>VÄSTERNORRLANDS LÄN</t>
        </is>
      </c>
      <c r="G117" t="inlineStr">
        <is>
          <t>HÄRNÖSAND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46281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44581</v>
      </c>
      <c r="E119" s="1" t="n">
        <v>46281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45328</v>
      </c>
      <c r="E120" s="1" t="n">
        <v>46281</v>
      </c>
      <c r="F120" t="inlineStr">
        <is>
          <t>VÄSTERNORRLANDS LÄN</t>
        </is>
      </c>
      <c r="G120" t="inlineStr">
        <is>
          <t>HÄRNÖSAND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46281</v>
      </c>
      <c r="F121" t="inlineStr">
        <is>
          <t>VÄSTERNORRLANDS LÄN</t>
        </is>
      </c>
      <c r="G121" t="inlineStr">
        <is>
          <t>HÄRNÖSAND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44469</v>
      </c>
      <c r="E122" s="1" t="n">
        <v>46281</v>
      </c>
      <c r="F122" t="inlineStr">
        <is>
          <t>VÄSTERNORRLANDS LÄN</t>
        </is>
      </c>
      <c r="G122" t="inlineStr">
        <is>
          <t>HÄRNÖSAND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46281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46281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46281</v>
      </c>
      <c r="F125" t="inlineStr">
        <is>
          <t>VÄSTERNORRLANDS LÄN</t>
        </is>
      </c>
      <c r="G125" t="inlineStr">
        <is>
          <t>HÄRNÖSAND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46281</v>
      </c>
      <c r="F126" t="inlineStr">
        <is>
          <t>VÄSTERNORRLANDS LÄN</t>
        </is>
      </c>
      <c r="G126" t="inlineStr">
        <is>
          <t>HÄRNÖSAND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46281</v>
      </c>
      <c r="F127" t="inlineStr">
        <is>
          <t>VÄSTERNORRLANDS LÄN</t>
        </is>
      </c>
      <c r="G127" t="inlineStr">
        <is>
          <t>HÄRNÖSAND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45181</v>
      </c>
      <c r="E128" s="1" t="n">
        <v>46281</v>
      </c>
      <c r="F128" t="inlineStr">
        <is>
          <t>VÄSTERNORRLANDS LÄN</t>
        </is>
      </c>
      <c r="G128" t="inlineStr">
        <is>
          <t>HÄRNÖSAND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46281</v>
      </c>
      <c r="F129" t="inlineStr">
        <is>
          <t>VÄSTERNORRLANDS LÄN</t>
        </is>
      </c>
      <c r="G129" t="inlineStr">
        <is>
          <t>HÄRNÖSAND</t>
        </is>
      </c>
      <c r="H129" t="inlineStr">
        <is>
          <t>SCA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46281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45409</v>
      </c>
      <c r="E131" s="1" t="n">
        <v>46281</v>
      </c>
      <c r="F131" t="inlineStr">
        <is>
          <t>VÄSTERNORRLANDS LÄN</t>
        </is>
      </c>
      <c r="G131" t="inlineStr">
        <is>
          <t>HÄRNÖSAND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44728</v>
      </c>
      <c r="E132" s="1" t="n">
        <v>46281</v>
      </c>
      <c r="F132" t="inlineStr">
        <is>
          <t>VÄSTERNORRLANDS LÄN</t>
        </is>
      </c>
      <c r="G132" t="inlineStr">
        <is>
          <t>HÄRNÖSAND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45735-2023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45189</v>
      </c>
      <c r="E133" s="1" t="n">
        <v>46281</v>
      </c>
      <c r="F133" t="inlineStr">
        <is>
          <t>VÄSTERNORRLANDS LÄN</t>
        </is>
      </c>
      <c r="G133" t="inlineStr">
        <is>
          <t>HÄRNÖSAND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70603-2021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44536</v>
      </c>
      <c r="E134" s="1" t="n">
        <v>46281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67078-2021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44522</v>
      </c>
      <c r="E135" s="1" t="n">
        <v>46281</v>
      </c>
      <c r="F135" t="inlineStr">
        <is>
          <t>VÄSTERNORRLANDS LÄN</t>
        </is>
      </c>
      <c r="G135" t="inlineStr">
        <is>
          <t>HÄRNÖSAND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46281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60935-2021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46281</v>
      </c>
      <c r="F137" t="inlineStr">
        <is>
          <t>VÄSTERNORRLANDS LÄN</t>
        </is>
      </c>
      <c r="G137" t="inlineStr">
        <is>
          <t>HÄRNÖSAND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70563-2021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44532</v>
      </c>
      <c r="E138" s="1" t="n">
        <v>46281</v>
      </c>
      <c r="F138" t="inlineStr">
        <is>
          <t>VÄSTERNORRLANDS LÄN</t>
        </is>
      </c>
      <c r="G138" t="inlineStr">
        <is>
          <t>HÄRNÖSAND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40232-2023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46281</v>
      </c>
      <c r="F139" t="inlineStr">
        <is>
          <t>VÄSTERNORRLANDS LÄN</t>
        </is>
      </c>
      <c r="G139" t="inlineStr">
        <is>
          <t>HÄRNÖSAND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44585</v>
      </c>
      <c r="E140" s="1" t="n">
        <v>46281</v>
      </c>
      <c r="F140" t="inlineStr">
        <is>
          <t>VÄSTERNORRLANDS LÄN</t>
        </is>
      </c>
      <c r="G140" t="inlineStr">
        <is>
          <t>HÄRNÖSAND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44806</v>
      </c>
      <c r="E141" s="1" t="n">
        <v>46281</v>
      </c>
      <c r="F141" t="inlineStr">
        <is>
          <t>VÄSTERNORRLANDS LÄN</t>
        </is>
      </c>
      <c r="G141" t="inlineStr">
        <is>
          <t>HÄRNÖSAND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37172-2022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46281</v>
      </c>
      <c r="F142" t="inlineStr">
        <is>
          <t>VÄSTERNORRLANDS LÄN</t>
        </is>
      </c>
      <c r="G142" t="inlineStr">
        <is>
          <t>HÄRNÖSAND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29429-2024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45483</v>
      </c>
      <c r="E143" s="1" t="n">
        <v>46281</v>
      </c>
      <c r="F143" t="inlineStr">
        <is>
          <t>VÄSTERNORRLANDS LÄN</t>
        </is>
      </c>
      <c r="G143" t="inlineStr">
        <is>
          <t>HÄRNÖSAND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18885-2023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45044</v>
      </c>
      <c r="E144" s="1" t="n">
        <v>46281</v>
      </c>
      <c r="F144" t="inlineStr">
        <is>
          <t>VÄSTERNORRLANDS LÄN</t>
        </is>
      </c>
      <c r="G144" t="inlineStr">
        <is>
          <t>HÄRNÖSAND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37586-2022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44809</v>
      </c>
      <c r="E145" s="1" t="n">
        <v>46281</v>
      </c>
      <c r="F145" t="inlineStr">
        <is>
          <t>VÄSTERNORRLANDS LÄN</t>
        </is>
      </c>
      <c r="G145" t="inlineStr">
        <is>
          <t>HÄRNÖSAND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45880</v>
      </c>
      <c r="E146" s="1" t="n">
        <v>46281</v>
      </c>
      <c r="F146" t="inlineStr">
        <is>
          <t>VÄSTERNORRLANDS LÄN</t>
        </is>
      </c>
      <c r="G146" t="inlineStr">
        <is>
          <t>HÄRNÖSAND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44726</v>
      </c>
      <c r="E147" s="1" t="n">
        <v>46281</v>
      </c>
      <c r="F147" t="inlineStr">
        <is>
          <t>VÄSTERNORRLANDS LÄN</t>
        </is>
      </c>
      <c r="G147" t="inlineStr">
        <is>
          <t>HÄRNÖSAND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45723</v>
      </c>
      <c r="E148" s="1" t="n">
        <v>46281</v>
      </c>
      <c r="F148" t="inlineStr">
        <is>
          <t>VÄSTERNORRLANDS LÄN</t>
        </is>
      </c>
      <c r="G148" t="inlineStr">
        <is>
          <t>HÄRNÖSAND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44853</v>
      </c>
      <c r="E149" s="1" t="n">
        <v>46281</v>
      </c>
      <c r="F149" t="inlineStr">
        <is>
          <t>VÄSTERNORRLANDS LÄN</t>
        </is>
      </c>
      <c r="G149" t="inlineStr">
        <is>
          <t>HÄRNÖSAND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46281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46281</v>
      </c>
      <c r="F151" t="inlineStr">
        <is>
          <t>VÄSTERNORRLANDS LÄN</t>
        </is>
      </c>
      <c r="G151" t="inlineStr">
        <is>
          <t>HÄRNÖSAND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38567-2025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46281</v>
      </c>
      <c r="F152" t="inlineStr">
        <is>
          <t>VÄSTERNORRLANDS LÄN</t>
        </is>
      </c>
      <c r="G152" t="inlineStr">
        <is>
          <t>HÄRNÖSAND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46281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45293</v>
      </c>
      <c r="E154" s="1" t="n">
        <v>46281</v>
      </c>
      <c r="F154" t="inlineStr">
        <is>
          <t>VÄSTERNORRLANDS LÄN</t>
        </is>
      </c>
      <c r="G154" t="inlineStr">
        <is>
          <t>HÄRNÖSAND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45320</v>
      </c>
      <c r="E155" s="1" t="n">
        <v>46281</v>
      </c>
      <c r="F155" t="inlineStr">
        <is>
          <t>VÄSTERNORRLANDS LÄN</t>
        </is>
      </c>
      <c r="G155" t="inlineStr">
        <is>
          <t>HÄRNÖSAND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46281</v>
      </c>
      <c r="F156" t="inlineStr">
        <is>
          <t>VÄSTERNORRLANDS LÄN</t>
        </is>
      </c>
      <c r="G156" t="inlineStr">
        <is>
          <t>HÄRNÖSAND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28319-2022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46281</v>
      </c>
      <c r="F157" t="inlineStr">
        <is>
          <t>VÄSTERNORRLANDS LÄN</t>
        </is>
      </c>
      <c r="G157" t="inlineStr">
        <is>
          <t>HÄRNÖSAND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46281</v>
      </c>
      <c r="F158" t="inlineStr">
        <is>
          <t>VÄSTERNORRLANDS LÄN</t>
        </is>
      </c>
      <c r="G158" t="inlineStr">
        <is>
          <t>HÄRNÖSAND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64746-2023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46281</v>
      </c>
      <c r="F159" t="inlineStr">
        <is>
          <t>VÄSTERNORRLANDS LÄN</t>
        </is>
      </c>
      <c r="G159" t="inlineStr">
        <is>
          <t>HÄRNÖSAND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23547-2023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45072</v>
      </c>
      <c r="E160" s="1" t="n">
        <v>46281</v>
      </c>
      <c r="F160" t="inlineStr">
        <is>
          <t>VÄSTERNORRLANDS LÄN</t>
        </is>
      </c>
      <c r="G160" t="inlineStr">
        <is>
          <t>HÄRNÖSAND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46281</v>
      </c>
      <c r="F161" t="inlineStr">
        <is>
          <t>VÄSTERNORRLANDS LÄN</t>
        </is>
      </c>
      <c r="G161" t="inlineStr">
        <is>
          <t>HÄRNÖSAND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45366</v>
      </c>
      <c r="E162" s="1" t="n">
        <v>46281</v>
      </c>
      <c r="F162" t="inlineStr">
        <is>
          <t>VÄSTERNORRLANDS LÄN</t>
        </is>
      </c>
      <c r="G162" t="inlineStr">
        <is>
          <t>HÄRNÖSAND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45489</v>
      </c>
      <c r="E163" s="1" t="n">
        <v>46281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46281</v>
      </c>
      <c r="F164" t="inlineStr">
        <is>
          <t>VÄSTERNORRLANDS LÄN</t>
        </is>
      </c>
      <c r="G164" t="inlineStr">
        <is>
          <t>HÄRNÖSAND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25115-2024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45462</v>
      </c>
      <c r="E165" s="1" t="n">
        <v>46281</v>
      </c>
      <c r="F165" t="inlineStr">
        <is>
          <t>VÄSTERNORRLANDS LÄN</t>
        </is>
      </c>
      <c r="G165" t="inlineStr">
        <is>
          <t>HÄRNÖSAND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46281</v>
      </c>
      <c r="F166" t="inlineStr">
        <is>
          <t>VÄSTERNORRLANDS LÄN</t>
        </is>
      </c>
      <c r="G166" t="inlineStr">
        <is>
          <t>HÄRNÖSAND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46281</v>
      </c>
      <c r="F167" t="inlineStr">
        <is>
          <t>VÄSTERNORRLANDS LÄN</t>
        </is>
      </c>
      <c r="G167" t="inlineStr">
        <is>
          <t>HÄRNÖSAND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45757</v>
      </c>
      <c r="E168" s="1" t="n">
        <v>46281</v>
      </c>
      <c r="F168" t="inlineStr">
        <is>
          <t>VÄSTERNORRLANDS LÄN</t>
        </is>
      </c>
      <c r="G168" t="inlineStr">
        <is>
          <t>HÄRNÖSAND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46281</v>
      </c>
      <c r="F169" t="inlineStr">
        <is>
          <t>VÄSTERNORRLANDS LÄN</t>
        </is>
      </c>
      <c r="G169" t="inlineStr">
        <is>
          <t>HÄRNÖSAND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11202-2026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46080</v>
      </c>
      <c r="E170" s="1" t="n">
        <v>46281</v>
      </c>
      <c r="F170" t="inlineStr">
        <is>
          <t>VÄSTERNORRLANDS LÄN</t>
        </is>
      </c>
      <c r="G170" t="inlineStr">
        <is>
          <t>HÄRNÖSAND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46281</v>
      </c>
      <c r="F171" t="inlineStr">
        <is>
          <t>VÄSTERNORRLANDS LÄN</t>
        </is>
      </c>
      <c r="G171" t="inlineStr">
        <is>
          <t>HÄRNÖSAND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11917-2026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46085</v>
      </c>
      <c r="E172" s="1" t="n">
        <v>46281</v>
      </c>
      <c r="F172" t="inlineStr">
        <is>
          <t>VÄSTERNORRLANDS LÄN</t>
        </is>
      </c>
      <c r="G172" t="inlineStr">
        <is>
          <t>HÄRNÖSAND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46281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32180-2024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45511</v>
      </c>
      <c r="E174" s="1" t="n">
        <v>46281</v>
      </c>
      <c r="F174" t="inlineStr">
        <is>
          <t>VÄSTERNORRLANDS LÄN</t>
        </is>
      </c>
      <c r="G174" t="inlineStr">
        <is>
          <t>HÄRNÖSAND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56680-2023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45243</v>
      </c>
      <c r="E175" s="1" t="n">
        <v>46281</v>
      </c>
      <c r="F175" t="inlineStr">
        <is>
          <t>VÄSTERNORRLANDS LÄN</t>
        </is>
      </c>
      <c r="G175" t="inlineStr">
        <is>
          <t>HÄRNÖSAND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46281</v>
      </c>
      <c r="F176" t="inlineStr">
        <is>
          <t>VÄSTERNORRLANDS LÄN</t>
        </is>
      </c>
      <c r="G176" t="inlineStr">
        <is>
          <t>HÄRNÖSAND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54252-2022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46281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50338-2022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44865</v>
      </c>
      <c r="E178" s="1" t="n">
        <v>46281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46281</v>
      </c>
      <c r="F179" t="inlineStr">
        <is>
          <t>VÄSTERNORRLANDS LÄN</t>
        </is>
      </c>
      <c r="G179" t="inlineStr">
        <is>
          <t>HÄRNÖSAND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46281</v>
      </c>
      <c r="F180" t="inlineStr">
        <is>
          <t>VÄSTERNORRLANDS LÄN</t>
        </is>
      </c>
      <c r="G180" t="inlineStr">
        <is>
          <t>HÄRNÖSAND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12340-2026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46087</v>
      </c>
      <c r="E181" s="1" t="n">
        <v>46281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Övriga statliga verk och myndigheter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46281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45890</v>
      </c>
      <c r="E183" s="1" t="n">
        <v>46281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12650-2026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46091</v>
      </c>
      <c r="E184" s="1" t="n">
        <v>46281</v>
      </c>
      <c r="F184" t="inlineStr">
        <is>
          <t>VÄSTERNORRLANDS LÄN</t>
        </is>
      </c>
      <c r="G184" t="inlineStr">
        <is>
          <t>HÄRNÖSAND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46281</v>
      </c>
      <c r="F185" t="inlineStr">
        <is>
          <t>VÄSTERNORRLANDS LÄN</t>
        </is>
      </c>
      <c r="G185" t="inlineStr">
        <is>
          <t>HÄRNÖSAND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46281</v>
      </c>
      <c r="F186" t="inlineStr">
        <is>
          <t>VÄSTERNORRLANDS LÄN</t>
        </is>
      </c>
      <c r="G186" t="inlineStr">
        <is>
          <t>HÄRNÖSAND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45531</v>
      </c>
      <c r="E187" s="1" t="n">
        <v>46281</v>
      </c>
      <c r="F187" t="inlineStr">
        <is>
          <t>VÄSTERNORRLANDS LÄN</t>
        </is>
      </c>
      <c r="G187" t="inlineStr">
        <is>
          <t>HÄRNÖSAND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46091</v>
      </c>
      <c r="E188" s="1" t="n">
        <v>46281</v>
      </c>
      <c r="F188" t="inlineStr">
        <is>
          <t>VÄSTERNORRLANDS LÄN</t>
        </is>
      </c>
      <c r="G188" t="inlineStr">
        <is>
          <t>HÄRNÖSAND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34513-2022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44792</v>
      </c>
      <c r="E189" s="1" t="n">
        <v>46281</v>
      </c>
      <c r="F189" t="inlineStr">
        <is>
          <t>VÄSTERNORRLANDS LÄN</t>
        </is>
      </c>
      <c r="G189" t="inlineStr">
        <is>
          <t>HÄRNÖSAND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12637-2026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46091</v>
      </c>
      <c r="E190" s="1" t="n">
        <v>46281</v>
      </c>
      <c r="F190" t="inlineStr">
        <is>
          <t>VÄSTERNORRLANDS LÄN</t>
        </is>
      </c>
      <c r="G190" t="inlineStr">
        <is>
          <t>HÄRNÖSAND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46091</v>
      </c>
      <c r="E191" s="1" t="n">
        <v>46281</v>
      </c>
      <c r="F191" t="inlineStr">
        <is>
          <t>VÄSTERNORRLANDS LÄN</t>
        </is>
      </c>
      <c r="G191" t="inlineStr">
        <is>
          <t>HÄRNÖSAND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46091</v>
      </c>
      <c r="E192" s="1" t="n">
        <v>46281</v>
      </c>
      <c r="F192" t="inlineStr">
        <is>
          <t>VÄSTERNORRLANDS LÄN</t>
        </is>
      </c>
      <c r="G192" t="inlineStr">
        <is>
          <t>HÄRNÖSAND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46281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45733</v>
      </c>
      <c r="E194" s="1" t="n">
        <v>46281</v>
      </c>
      <c r="F194" t="inlineStr">
        <is>
          <t>VÄSTERNORRLANDS LÄN</t>
        </is>
      </c>
      <c r="G194" t="inlineStr">
        <is>
          <t>HÄRNÖSAND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45496</v>
      </c>
      <c r="E195" s="1" t="n">
        <v>46281</v>
      </c>
      <c r="F195" t="inlineStr">
        <is>
          <t>VÄSTERNORRLANDS LÄN</t>
        </is>
      </c>
      <c r="G195" t="inlineStr">
        <is>
          <t>HÄRNÖSAND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45352</v>
      </c>
      <c r="E196" s="1" t="n">
        <v>46281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61102-2021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44498</v>
      </c>
      <c r="E197" s="1" t="n">
        <v>46281</v>
      </c>
      <c r="F197" t="inlineStr">
        <is>
          <t>VÄSTERNORRLANDS LÄN</t>
        </is>
      </c>
      <c r="G197" t="inlineStr">
        <is>
          <t>HÄRNÖSAND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46281</v>
      </c>
      <c r="F198" t="inlineStr">
        <is>
          <t>VÄSTERNORRLANDS LÄN</t>
        </is>
      </c>
      <c r="G198" t="inlineStr">
        <is>
          <t>HÄRNÖSAND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47550-2022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44853</v>
      </c>
      <c r="E199" s="1" t="n">
        <v>46281</v>
      </c>
      <c r="F199" t="inlineStr">
        <is>
          <t>VÄSTERNORRLANDS LÄN</t>
        </is>
      </c>
      <c r="G199" t="inlineStr">
        <is>
          <t>HÄRNÖSAND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46281</v>
      </c>
      <c r="F200" t="inlineStr">
        <is>
          <t>VÄSTERNORRLANDS LÄN</t>
        </is>
      </c>
      <c r="G200" t="inlineStr">
        <is>
          <t>HÄRNÖSAND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12267-2025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45729</v>
      </c>
      <c r="E201" s="1" t="n">
        <v>46281</v>
      </c>
      <c r="F201" t="inlineStr">
        <is>
          <t>VÄSTERNORRLANDS LÄN</t>
        </is>
      </c>
      <c r="G201" t="inlineStr">
        <is>
          <t>HÄRNÖSAND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64377-2023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45280</v>
      </c>
      <c r="E202" s="1" t="n">
        <v>46281</v>
      </c>
      <c r="F202" t="inlineStr">
        <is>
          <t>VÄSTERNORRLANDS LÄN</t>
        </is>
      </c>
      <c r="G202" t="inlineStr">
        <is>
          <t>HÄRNÖSAND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13459-2026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46281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13488-2026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46281</v>
      </c>
      <c r="F204" t="inlineStr">
        <is>
          <t>VÄSTERNORRLANDS LÄN</t>
        </is>
      </c>
      <c r="G204" t="inlineStr">
        <is>
          <t>HÄRNÖSAND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41562-2025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45901</v>
      </c>
      <c r="E205" s="1" t="n">
        <v>46281</v>
      </c>
      <c r="F205" t="inlineStr">
        <is>
          <t>VÄSTERNORRLANDS LÄN</t>
        </is>
      </c>
      <c r="G205" t="inlineStr">
        <is>
          <t>HÄRNÖSAND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45293</v>
      </c>
      <c r="E206" s="1" t="n">
        <v>46281</v>
      </c>
      <c r="F206" t="inlineStr">
        <is>
          <t>VÄSTERNORRLANDS LÄN</t>
        </is>
      </c>
      <c r="G206" t="inlineStr">
        <is>
          <t>HÄRNÖSAND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46281</v>
      </c>
      <c r="F207" t="inlineStr">
        <is>
          <t>VÄSTERNORRLANDS LÄN</t>
        </is>
      </c>
      <c r="G207" t="inlineStr">
        <is>
          <t>HÄRNÖSAND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46281</v>
      </c>
      <c r="F208" t="inlineStr">
        <is>
          <t>VÄSTERNORRLANDS LÄN</t>
        </is>
      </c>
      <c r="G208" t="inlineStr">
        <is>
          <t>HÄRNÖSAND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69269-2021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46281</v>
      </c>
      <c r="F209" t="inlineStr">
        <is>
          <t>VÄSTERNORRLANDS LÄN</t>
        </is>
      </c>
      <c r="G209" t="inlineStr">
        <is>
          <t>HÄRNÖSAND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46101</v>
      </c>
      <c r="E210" s="1" t="n">
        <v>46281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16.2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46104</v>
      </c>
      <c r="E211" s="1" t="n">
        <v>46281</v>
      </c>
      <c r="F211" t="inlineStr">
        <is>
          <t>VÄSTERNORRLANDS LÄN</t>
        </is>
      </c>
      <c r="G211" t="inlineStr">
        <is>
          <t>HÄRNÖSAND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46281</v>
      </c>
      <c r="F212" t="inlineStr">
        <is>
          <t>VÄSTERNORRLANDS LÄN</t>
        </is>
      </c>
      <c r="G212" t="inlineStr">
        <is>
          <t>HÄRNÖSAND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46281</v>
      </c>
      <c r="F213" t="inlineStr">
        <is>
          <t>VÄSTERNORRLANDS LÄN</t>
        </is>
      </c>
      <c r="G213" t="inlineStr">
        <is>
          <t>HÄRNÖSAND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46281</v>
      </c>
      <c r="F214" t="inlineStr">
        <is>
          <t>VÄSTERNORRLANDS LÄN</t>
        </is>
      </c>
      <c r="G214" t="inlineStr">
        <is>
          <t>HÄRNÖSAND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15137-2026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46281</v>
      </c>
      <c r="F215" t="inlineStr">
        <is>
          <t>VÄSTERNORRLANDS LÄN</t>
        </is>
      </c>
      <c r="G215" t="inlineStr">
        <is>
          <t>HÄRNÖSAND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15928-2026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46107</v>
      </c>
      <c r="E216" s="1" t="n">
        <v>46281</v>
      </c>
      <c r="F216" t="inlineStr">
        <is>
          <t>VÄSTERNORRLANDS LÄN</t>
        </is>
      </c>
      <c r="G216" t="inlineStr">
        <is>
          <t>HÄRNÖSAND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49039-2023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45209</v>
      </c>
      <c r="E217" s="1" t="n">
        <v>46281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46281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15921-2026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46281</v>
      </c>
      <c r="F219" t="inlineStr">
        <is>
          <t>VÄSTERNORRLANDS LÄN</t>
        </is>
      </c>
      <c r="G219" t="inlineStr">
        <is>
          <t>HÄRNÖSAND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46107</v>
      </c>
      <c r="E220" s="1" t="n">
        <v>46281</v>
      </c>
      <c r="F220" t="inlineStr">
        <is>
          <t>VÄSTERNORRLANDS LÄN</t>
        </is>
      </c>
      <c r="G220" t="inlineStr">
        <is>
          <t>HÄRNÖSAND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44897</v>
      </c>
      <c r="E221" s="1" t="n">
        <v>46281</v>
      </c>
      <c r="F221" t="inlineStr">
        <is>
          <t>VÄSTERNORRLANDS LÄN</t>
        </is>
      </c>
      <c r="G221" t="inlineStr">
        <is>
          <t>HÄRNÖSAND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15613-2026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46281</v>
      </c>
      <c r="F222" t="inlineStr">
        <is>
          <t>VÄSTERNORRLANDS LÄN</t>
        </is>
      </c>
      <c r="G222" t="inlineStr">
        <is>
          <t>HÄRNÖSAND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45558</v>
      </c>
      <c r="E223" s="1" t="n">
        <v>46281</v>
      </c>
      <c r="F223" t="inlineStr">
        <is>
          <t>VÄSTERNORRLANDS LÄN</t>
        </is>
      </c>
      <c r="G223" t="inlineStr">
        <is>
          <t>HÄRNÖSAND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46281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46281</v>
      </c>
      <c r="F225" t="inlineStr">
        <is>
          <t>VÄSTERNORRLANDS LÄN</t>
        </is>
      </c>
      <c r="G225" t="inlineStr">
        <is>
          <t>HÄRNÖSAND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16705-2026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46113</v>
      </c>
      <c r="E226" s="1" t="n">
        <v>46281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54251-2022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44881</v>
      </c>
      <c r="E227" s="1" t="n">
        <v>46281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45462</v>
      </c>
      <c r="E228" s="1" t="n">
        <v>46281</v>
      </c>
      <c r="F228" t="inlineStr">
        <is>
          <t>VÄSTERNORRLANDS LÄN</t>
        </is>
      </c>
      <c r="G228" t="inlineStr">
        <is>
          <t>HÄRNÖSAND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46281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45341-2025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46281</v>
      </c>
      <c r="F230" t="inlineStr">
        <is>
          <t>VÄSTERNORRLANDS LÄN</t>
        </is>
      </c>
      <c r="G230" t="inlineStr">
        <is>
          <t>HÄRNÖSAND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46281</v>
      </c>
      <c r="F231" t="inlineStr">
        <is>
          <t>VÄSTERNORRLANDS LÄN</t>
        </is>
      </c>
      <c r="G231" t="inlineStr">
        <is>
          <t>HÄRNÖSAND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58588-2022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44894</v>
      </c>
      <c r="E232" s="1" t="n">
        <v>46281</v>
      </c>
      <c r="F232" t="inlineStr">
        <is>
          <t>VÄSTERNORRLANDS LÄN</t>
        </is>
      </c>
      <c r="G232" t="inlineStr">
        <is>
          <t>HÄRNÖSAND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45739-2025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46281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46120</v>
      </c>
      <c r="E234" s="1" t="n">
        <v>46281</v>
      </c>
      <c r="F234" t="inlineStr">
        <is>
          <t>VÄSTERNORRLANDS LÄN</t>
        </is>
      </c>
      <c r="G234" t="inlineStr">
        <is>
          <t>HÄRNÖSAND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46281</v>
      </c>
      <c r="F235" t="inlineStr">
        <is>
          <t>VÄSTERNORRLANDS LÄN</t>
        </is>
      </c>
      <c r="G235" t="inlineStr">
        <is>
          <t>HÄRNÖSAND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46281</v>
      </c>
      <c r="F236" t="inlineStr">
        <is>
          <t>VÄSTERNORRLANDS LÄN</t>
        </is>
      </c>
      <c r="G236" t="inlineStr">
        <is>
          <t>HÄRNÖSAND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46281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Övriga statliga verk och myndigheter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46281</v>
      </c>
      <c r="F238" t="inlineStr">
        <is>
          <t>VÄSTERNORRLANDS LÄN</t>
        </is>
      </c>
      <c r="G238" t="inlineStr">
        <is>
          <t>HÄRNÖSAND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45413-2024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46281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45981-2025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45924</v>
      </c>
      <c r="E240" s="1" t="n">
        <v>46281</v>
      </c>
      <c r="F240" t="inlineStr">
        <is>
          <t>VÄSTERNORRLANDS LÄN</t>
        </is>
      </c>
      <c r="G240" t="inlineStr">
        <is>
          <t>HÄRNÖSAND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46281</v>
      </c>
      <c r="F241" t="inlineStr">
        <is>
          <t>VÄSTERNORRLANDS LÄN</t>
        </is>
      </c>
      <c r="G241" t="inlineStr">
        <is>
          <t>HÄRNÖSAND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46281</v>
      </c>
      <c r="F242" t="inlineStr">
        <is>
          <t>VÄSTERNORRLANDS LÄN</t>
        </is>
      </c>
      <c r="G242" t="inlineStr">
        <is>
          <t>HÄRNÖSAND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45482</v>
      </c>
      <c r="E243" s="1" t="n">
        <v>46281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45320</v>
      </c>
      <c r="E244" s="1" t="n">
        <v>46281</v>
      </c>
      <c r="F244" t="inlineStr">
        <is>
          <t>VÄSTERNORRLANDS LÄN</t>
        </is>
      </c>
      <c r="G244" t="inlineStr">
        <is>
          <t>HÄRNÖSAND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17874-2026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46122</v>
      </c>
      <c r="E245" s="1" t="n">
        <v>46281</v>
      </c>
      <c r="F245" t="inlineStr">
        <is>
          <t>VÄSTERNORRLANDS LÄN</t>
        </is>
      </c>
      <c r="G245" t="inlineStr">
        <is>
          <t>HÄRNÖSAND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18575-2026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46127</v>
      </c>
      <c r="E246" s="1" t="n">
        <v>46281</v>
      </c>
      <c r="F246" t="inlineStr">
        <is>
          <t>VÄSTERNORRLANDS LÄN</t>
        </is>
      </c>
      <c r="G246" t="inlineStr">
        <is>
          <t>HÄRNÖSAND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46126</v>
      </c>
      <c r="E247" s="1" t="n">
        <v>46281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45082-2025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45919</v>
      </c>
      <c r="E248" s="1" t="n">
        <v>46281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45496</v>
      </c>
      <c r="E249" s="1" t="n">
        <v>46281</v>
      </c>
      <c r="F249" t="inlineStr">
        <is>
          <t>VÄSTERNORRLANDS LÄN</t>
        </is>
      </c>
      <c r="G249" t="inlineStr">
        <is>
          <t>HÄRNÖSAND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48721-2025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46281</v>
      </c>
      <c r="F250" t="inlineStr">
        <is>
          <t>VÄSTERNORRLANDS LÄN</t>
        </is>
      </c>
      <c r="G250" t="inlineStr">
        <is>
          <t>HÄRNÖSAND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19245-2026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46132</v>
      </c>
      <c r="E251" s="1" t="n">
        <v>46281</v>
      </c>
      <c r="F251" t="inlineStr">
        <is>
          <t>VÄSTERNORRLANDS LÄN</t>
        </is>
      </c>
      <c r="G251" t="inlineStr">
        <is>
          <t>HÄRNÖSAND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44957</v>
      </c>
      <c r="E252" s="1" t="n">
        <v>46281</v>
      </c>
      <c r="F252" t="inlineStr">
        <is>
          <t>VÄSTERNORRLANDS LÄN</t>
        </is>
      </c>
      <c r="G252" t="inlineStr">
        <is>
          <t>HÄRNÖSAND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45936</v>
      </c>
      <c r="E253" s="1" t="n">
        <v>46281</v>
      </c>
      <c r="F253" t="inlineStr">
        <is>
          <t>VÄSTERNORRLANDS LÄN</t>
        </is>
      </c>
      <c r="G253" t="inlineStr">
        <is>
          <t>HÄRNÖSAND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46281</v>
      </c>
      <c r="F254" t="inlineStr">
        <is>
          <t>VÄSTERNORRLANDS LÄN</t>
        </is>
      </c>
      <c r="G254" t="inlineStr">
        <is>
          <t>HÄRNÖSAND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48800-2025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46281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46133</v>
      </c>
      <c r="E256" s="1" t="n">
        <v>46281</v>
      </c>
      <c r="F256" t="inlineStr">
        <is>
          <t>VÄSTERNORRLANDS LÄN</t>
        </is>
      </c>
      <c r="G256" t="inlineStr">
        <is>
          <t>HÄRNÖSAND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59034-2022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44903</v>
      </c>
      <c r="E257" s="1" t="n">
        <v>46281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19327-2026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46281</v>
      </c>
      <c r="F258" t="inlineStr">
        <is>
          <t>VÄSTERNORRLANDS LÄN</t>
        </is>
      </c>
      <c r="G258" t="inlineStr">
        <is>
          <t>HÄRNÖSAND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45939</v>
      </c>
      <c r="E259" s="1" t="n">
        <v>46281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45701</v>
      </c>
      <c r="E260" s="1" t="n">
        <v>46281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46281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46281</v>
      </c>
      <c r="F262" t="inlineStr">
        <is>
          <t>VÄSTERNORRLANDS LÄN</t>
        </is>
      </c>
      <c r="G262" t="inlineStr">
        <is>
          <t>HÄRNÖSAND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13604-2024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45390</v>
      </c>
      <c r="E263" s="1" t="n">
        <v>46281</v>
      </c>
      <c r="F263" t="inlineStr">
        <is>
          <t>VÄSTERNORRLANDS LÄN</t>
        </is>
      </c>
      <c r="G263" t="inlineStr">
        <is>
          <t>HÄRNÖSAND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45505</v>
      </c>
      <c r="E264" s="1" t="n">
        <v>46281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44755</v>
      </c>
      <c r="E265" s="1" t="n">
        <v>46281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55058-2023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45229</v>
      </c>
      <c r="E266" s="1" t="n">
        <v>46281</v>
      </c>
      <c r="F266" t="inlineStr">
        <is>
          <t>VÄSTERNORRLANDS LÄN</t>
        </is>
      </c>
      <c r="G266" t="inlineStr">
        <is>
          <t>HÄRNÖSAND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42348-2025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45904</v>
      </c>
      <c r="E267" s="1" t="n">
        <v>46281</v>
      </c>
      <c r="F267" t="inlineStr">
        <is>
          <t>VÄSTERNORRLANDS LÄN</t>
        </is>
      </c>
      <c r="G267" t="inlineStr">
        <is>
          <t>HÄRNÖSAND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28325-2022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44747</v>
      </c>
      <c r="E268" s="1" t="n">
        <v>46281</v>
      </c>
      <c r="F268" t="inlineStr">
        <is>
          <t>VÄSTERNORRLANDS LÄN</t>
        </is>
      </c>
      <c r="G268" t="inlineStr">
        <is>
          <t>HÄRNÖSAND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34612-2024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45526</v>
      </c>
      <c r="E269" s="1" t="n">
        <v>46281</v>
      </c>
      <c r="F269" t="inlineStr">
        <is>
          <t>VÄSTERNORRLANDS LÄN</t>
        </is>
      </c>
      <c r="G269" t="inlineStr">
        <is>
          <t>HÄRNÖSAND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55895-2024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46281</v>
      </c>
      <c r="F270" t="inlineStr">
        <is>
          <t>VÄSTERNORRLANDS LÄN</t>
        </is>
      </c>
      <c r="G270" t="inlineStr">
        <is>
          <t>HÄRNÖSAND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46281</v>
      </c>
      <c r="F271" t="inlineStr">
        <is>
          <t>VÄSTERNORRLANDS LÄN</t>
        </is>
      </c>
      <c r="G271" t="inlineStr">
        <is>
          <t>HÄRNÖSAND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53328-2025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46281</v>
      </c>
      <c r="F272" t="inlineStr">
        <is>
          <t>VÄSTERNORRLANDS LÄN</t>
        </is>
      </c>
      <c r="G272" t="inlineStr">
        <is>
          <t>HÄRNÖSAND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8417-2026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46065</v>
      </c>
      <c r="E273" s="1" t="n">
        <v>46281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Kyrkan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25430-2022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44732</v>
      </c>
      <c r="E274" s="1" t="n">
        <v>46281</v>
      </c>
      <c r="F274" t="inlineStr">
        <is>
          <t>VÄSTERNORRLANDS LÄN</t>
        </is>
      </c>
      <c r="G274" t="inlineStr">
        <is>
          <t>HÄRNÖSAND</t>
        </is>
      </c>
      <c r="I274" t="n">
        <v>18.7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45293</v>
      </c>
      <c r="E275" s="1" t="n">
        <v>46281</v>
      </c>
      <c r="F275" t="inlineStr">
        <is>
          <t>VÄSTERNORRLANDS LÄN</t>
        </is>
      </c>
      <c r="G275" t="inlineStr">
        <is>
          <t>HÄRNÖSAND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56395-2022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44890</v>
      </c>
      <c r="E276" s="1" t="n">
        <v>46281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Kyrkan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14874-2023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45015</v>
      </c>
      <c r="E277" s="1" t="n">
        <v>46281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45314</v>
      </c>
      <c r="E278" s="1" t="n">
        <v>46281</v>
      </c>
      <c r="F278" t="inlineStr">
        <is>
          <t>VÄSTERNORRLANDS LÄN</t>
        </is>
      </c>
      <c r="G278" t="inlineStr">
        <is>
          <t>HÄRNÖSAND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45793</v>
      </c>
      <c r="E279" s="1" t="n">
        <v>46281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45972</v>
      </c>
      <c r="E280" s="1" t="n">
        <v>46281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15.6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46281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56422-2025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46281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45376</v>
      </c>
      <c r="E283" s="1" t="n">
        <v>46281</v>
      </c>
      <c r="F283" t="inlineStr">
        <is>
          <t>VÄSTERNORRLANDS LÄN</t>
        </is>
      </c>
      <c r="G283" t="inlineStr">
        <is>
          <t>HÄRNÖSAND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56736-2025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46281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19900-2025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45771</v>
      </c>
      <c r="E285" s="1" t="n">
        <v>46281</v>
      </c>
      <c r="F285" t="inlineStr">
        <is>
          <t>VÄSTERNORRLANDS LÄN</t>
        </is>
      </c>
      <c r="G285" t="inlineStr">
        <is>
          <t>HÄRNÖSAND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44971</v>
      </c>
      <c r="E286" s="1" t="n">
        <v>46281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46281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59408-2024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45638</v>
      </c>
      <c r="E288" s="1" t="n">
        <v>46281</v>
      </c>
      <c r="F288" t="inlineStr">
        <is>
          <t>VÄSTERNORRLANDS LÄN</t>
        </is>
      </c>
      <c r="G288" t="inlineStr">
        <is>
          <t>HÄRNÖSAND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46281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46281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46281</v>
      </c>
      <c r="F291" t="inlineStr">
        <is>
          <t>VÄSTERNORRLANDS LÄN</t>
        </is>
      </c>
      <c r="G291" t="inlineStr">
        <is>
          <t>HÄRNÖSAND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46281</v>
      </c>
      <c r="F292" t="inlineStr">
        <is>
          <t>VÄSTERNORRLANDS LÄN</t>
        </is>
      </c>
      <c r="G292" t="inlineStr">
        <is>
          <t>HÄRNÖSAND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46281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46281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57089-2025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46281</v>
      </c>
      <c r="F295" t="inlineStr">
        <is>
          <t>VÄSTERNORRLANDS LÄN</t>
        </is>
      </c>
      <c r="G295" t="inlineStr">
        <is>
          <t>HÄRNÖSAND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46281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46281</v>
      </c>
      <c r="F297" t="inlineStr">
        <is>
          <t>VÄSTERNORRLANDS LÄN</t>
        </is>
      </c>
      <c r="G297" t="inlineStr">
        <is>
          <t>HÄRNÖSAND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46281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34011-2024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45523</v>
      </c>
      <c r="E299" s="1" t="n">
        <v>46281</v>
      </c>
      <c r="F299" t="inlineStr">
        <is>
          <t>VÄSTERNORRLANDS LÄN</t>
        </is>
      </c>
      <c r="G299" t="inlineStr">
        <is>
          <t>HÄRNÖSAND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56165-2022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44889</v>
      </c>
      <c r="E300" s="1" t="n">
        <v>46281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65224-2023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45289</v>
      </c>
      <c r="E301" s="1" t="n">
        <v>46281</v>
      </c>
      <c r="F301" t="inlineStr">
        <is>
          <t>VÄSTERNORRLANDS LÄN</t>
        </is>
      </c>
      <c r="G301" t="inlineStr">
        <is>
          <t>HÄRNÖSAND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45687-2022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44845</v>
      </c>
      <c r="E302" s="1" t="n">
        <v>46281</v>
      </c>
      <c r="F302" t="inlineStr">
        <is>
          <t>VÄSTERNORRLANDS LÄN</t>
        </is>
      </c>
      <c r="G302" t="inlineStr">
        <is>
          <t>HÄRNÖSAND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33156-2025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45840</v>
      </c>
      <c r="E303" s="1" t="n">
        <v>46281</v>
      </c>
      <c r="F303" t="inlineStr">
        <is>
          <t>VÄSTERNORRLANDS LÄN</t>
        </is>
      </c>
      <c r="G303" t="inlineStr">
        <is>
          <t>HÄRNÖSAND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27912-2022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44743</v>
      </c>
      <c r="E304" s="1" t="n">
        <v>46281</v>
      </c>
      <c r="F304" t="inlineStr">
        <is>
          <t>VÄSTERNORRLANDS LÄN</t>
        </is>
      </c>
      <c r="G304" t="inlineStr">
        <is>
          <t>HÄRNÖSAND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45072</v>
      </c>
      <c r="E305" s="1" t="n">
        <v>46281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Kyrkan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38920-2025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45887</v>
      </c>
      <c r="E306" s="1" t="n">
        <v>46281</v>
      </c>
      <c r="F306" t="inlineStr">
        <is>
          <t>VÄSTERNORRLANDS LÄN</t>
        </is>
      </c>
      <c r="G306" t="inlineStr">
        <is>
          <t>HÄRNÖSAND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45987</v>
      </c>
      <c r="E307" s="1" t="n">
        <v>46281</v>
      </c>
      <c r="F307" t="inlineStr">
        <is>
          <t>VÄSTERNORRLANDS LÄN</t>
        </is>
      </c>
      <c r="G307" t="inlineStr">
        <is>
          <t>HÄRNÖSAND</t>
        </is>
      </c>
      <c r="I307" t="n">
        <v>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46320-2022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44847</v>
      </c>
      <c r="E308" s="1" t="n">
        <v>46281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Kyrkan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9658-2026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46072</v>
      </c>
      <c r="E309" s="1" t="n">
        <v>46281</v>
      </c>
      <c r="F309" t="inlineStr">
        <is>
          <t>VÄSTERNORRLANDS LÄN</t>
        </is>
      </c>
      <c r="G309" t="inlineStr">
        <is>
          <t>HÄRNÖSAND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46024</v>
      </c>
      <c r="E310" s="1" t="n">
        <v>46281</v>
      </c>
      <c r="F310" t="inlineStr">
        <is>
          <t>VÄSTERNORRLANDS LÄN</t>
        </is>
      </c>
      <c r="G310" t="inlineStr">
        <is>
          <t>HÄRNÖSAND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45667</v>
      </c>
      <c r="E311" s="1" t="n">
        <v>46281</v>
      </c>
      <c r="F311" t="inlineStr">
        <is>
          <t>VÄSTERNORRLANDS LÄN</t>
        </is>
      </c>
      <c r="G311" t="inlineStr">
        <is>
          <t>HÄRNÖSAND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46142</v>
      </c>
      <c r="E312" s="1" t="n">
        <v>46281</v>
      </c>
      <c r="F312" t="inlineStr">
        <is>
          <t>VÄSTERNORRLANDS LÄN</t>
        </is>
      </c>
      <c r="G312" t="inlineStr">
        <is>
          <t>HÄRNÖSAND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46281</v>
      </c>
      <c r="F313" t="inlineStr">
        <is>
          <t>VÄSTERNORRLANDS LÄN</t>
        </is>
      </c>
      <c r="G313" t="inlineStr">
        <is>
          <t>HÄRNÖSAND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46281</v>
      </c>
      <c r="F314" t="inlineStr">
        <is>
          <t>VÄSTERNORRLANDS LÄN</t>
        </is>
      </c>
      <c r="G314" t="inlineStr">
        <is>
          <t>HÄRNÖSAND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46508-2023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46281</v>
      </c>
      <c r="F315" t="inlineStr">
        <is>
          <t>VÄSTERNORRLANDS LÄN</t>
        </is>
      </c>
      <c r="G315" t="inlineStr">
        <is>
          <t>HÄRNÖSAND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65222-2023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45289</v>
      </c>
      <c r="E316" s="1" t="n">
        <v>46281</v>
      </c>
      <c r="F316" t="inlineStr">
        <is>
          <t>VÄSTERNORRLANDS LÄN</t>
        </is>
      </c>
      <c r="G316" t="inlineStr">
        <is>
          <t>HÄRNÖSAND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45645</v>
      </c>
      <c r="E317" s="1" t="n">
        <v>46281</v>
      </c>
      <c r="F317" t="inlineStr">
        <is>
          <t>VÄSTERNORRLANDS LÄN</t>
        </is>
      </c>
      <c r="G317" t="inlineStr">
        <is>
          <t>HÄRNÖSAND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2756-2022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44580</v>
      </c>
      <c r="E318" s="1" t="n">
        <v>46281</v>
      </c>
      <c r="F318" t="inlineStr">
        <is>
          <t>VÄSTERNORRLANDS LÄN</t>
        </is>
      </c>
      <c r="G318" t="inlineStr">
        <is>
          <t>HÄRNÖSAND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45168</v>
      </c>
      <c r="E319" s="1" t="n">
        <v>46281</v>
      </c>
      <c r="F319" t="inlineStr">
        <is>
          <t>VÄSTERNORRLANDS LÄN</t>
        </is>
      </c>
      <c r="G319" t="inlineStr">
        <is>
          <t>HÄRNÖSAND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34224-2023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45126</v>
      </c>
      <c r="E320" s="1" t="n">
        <v>46281</v>
      </c>
      <c r="F320" t="inlineStr">
        <is>
          <t>VÄSTERNORRLANDS LÄN</t>
        </is>
      </c>
      <c r="G320" t="inlineStr">
        <is>
          <t>HÄRNÖSAND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47939-2022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44853</v>
      </c>
      <c r="E321" s="1" t="n">
        <v>46281</v>
      </c>
      <c r="F321" t="inlineStr">
        <is>
          <t>VÄSTERNORRLANDS LÄN</t>
        </is>
      </c>
      <c r="G321" t="inlineStr">
        <is>
          <t>HÄRNÖSAND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60768-2025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46281</v>
      </c>
      <c r="F322" t="inlineStr">
        <is>
          <t>VÄSTERNORRLANDS LÄN</t>
        </is>
      </c>
      <c r="G322" t="inlineStr">
        <is>
          <t>HÄRNÖSAND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46281</v>
      </c>
      <c r="F323" t="inlineStr">
        <is>
          <t>VÄSTERNORRLANDS LÄN</t>
        </is>
      </c>
      <c r="G323" t="inlineStr">
        <is>
          <t>HÄRNÖSAND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46281</v>
      </c>
      <c r="F324" t="inlineStr">
        <is>
          <t>VÄSTERNORRLANDS LÄN</t>
        </is>
      </c>
      <c r="G324" t="inlineStr">
        <is>
          <t>HÄRNÖSAND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45138</v>
      </c>
      <c r="E325" s="1" t="n">
        <v>46281</v>
      </c>
      <c r="F325" t="inlineStr">
        <is>
          <t>VÄSTERNORRLANDS LÄN</t>
        </is>
      </c>
      <c r="G325" t="inlineStr">
        <is>
          <t>HÄRNÖSAND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46281</v>
      </c>
      <c r="F326" t="inlineStr">
        <is>
          <t>VÄSTERNORRLANDS LÄN</t>
        </is>
      </c>
      <c r="G326" t="inlineStr">
        <is>
          <t>HÄRNÖSAND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46281</v>
      </c>
      <c r="F327" t="inlineStr">
        <is>
          <t>VÄSTERNORRLANDS LÄN</t>
        </is>
      </c>
      <c r="G327" t="inlineStr">
        <is>
          <t>HÄRNÖSAND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27976-2024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45476</v>
      </c>
      <c r="E328" s="1" t="n">
        <v>46281</v>
      </c>
      <c r="F328" t="inlineStr">
        <is>
          <t>VÄSTERNORRLANDS LÄN</t>
        </is>
      </c>
      <c r="G328" t="inlineStr">
        <is>
          <t>HÄRNÖSAND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46281</v>
      </c>
      <c r="F329" t="inlineStr">
        <is>
          <t>VÄSTERNORRLANDS LÄN</t>
        </is>
      </c>
      <c r="G329" t="inlineStr">
        <is>
          <t>HÄRNÖSAND</t>
        </is>
      </c>
      <c r="I329" t="n">
        <v>12.5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46281</v>
      </c>
      <c r="F330" t="inlineStr">
        <is>
          <t>VÄSTERNORRLANDS LÄN</t>
        </is>
      </c>
      <c r="G330" t="inlineStr">
        <is>
          <t>HÄRNÖSAND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22200-2026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46281</v>
      </c>
      <c r="F331" t="inlineStr">
        <is>
          <t>VÄSTERNORRLANDS LÄN</t>
        </is>
      </c>
      <c r="G331" t="inlineStr">
        <is>
          <t>HÄRNÖSAND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45545</v>
      </c>
      <c r="E332" s="1" t="n">
        <v>46281</v>
      </c>
      <c r="F332" t="inlineStr">
        <is>
          <t>VÄSTERNORRLANDS LÄN</t>
        </is>
      </c>
      <c r="G332" t="inlineStr">
        <is>
          <t>HÄRNÖSAND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46281</v>
      </c>
      <c r="F333" t="inlineStr">
        <is>
          <t>VÄSTERNORRLANDS LÄN</t>
        </is>
      </c>
      <c r="G333" t="inlineStr">
        <is>
          <t>HÄRNÖSAND</t>
        </is>
      </c>
      <c r="I333" t="n">
        <v>16.7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46281</v>
      </c>
      <c r="F334" t="inlineStr">
        <is>
          <t>VÄSTERNORRLANDS LÄN</t>
        </is>
      </c>
      <c r="G334" t="inlineStr">
        <is>
          <t>HÄRNÖSAND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46281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46281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7536-2023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44971</v>
      </c>
      <c r="E337" s="1" t="n">
        <v>46281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SCA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46155</v>
      </c>
      <c r="E338" s="1" t="n">
        <v>46281</v>
      </c>
      <c r="F338" t="inlineStr">
        <is>
          <t>VÄSTERNORRLANDS LÄN</t>
        </is>
      </c>
      <c r="G338" t="inlineStr">
        <is>
          <t>HÄRNÖSAND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13611-2023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45006</v>
      </c>
      <c r="E339" s="1" t="n">
        <v>46281</v>
      </c>
      <c r="F339" t="inlineStr">
        <is>
          <t>VÄSTERNORRLANDS LÄN</t>
        </is>
      </c>
      <c r="G339" t="inlineStr">
        <is>
          <t>HÄRNÖSAND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44936</v>
      </c>
      <c r="E340" s="1" t="n">
        <v>46281</v>
      </c>
      <c r="F340" t="inlineStr">
        <is>
          <t>VÄSTERNORRLANDS LÄN</t>
        </is>
      </c>
      <c r="G340" t="inlineStr">
        <is>
          <t>HÄRNÖSAND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45930</v>
      </c>
      <c r="E341" s="1" t="n">
        <v>46281</v>
      </c>
      <c r="F341" t="inlineStr">
        <is>
          <t>VÄSTERNORRLANDS LÄN</t>
        </is>
      </c>
      <c r="G341" t="inlineStr">
        <is>
          <t>HÄRNÖSAND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64107-2025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46281</v>
      </c>
      <c r="F342" t="inlineStr">
        <is>
          <t>VÄSTERNORRLANDS LÄN</t>
        </is>
      </c>
      <c r="G342" t="inlineStr">
        <is>
          <t>HÄRNÖSAND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46160</v>
      </c>
      <c r="E343" s="1" t="n">
        <v>46281</v>
      </c>
      <c r="F343" t="inlineStr">
        <is>
          <t>VÄSTERNORRLANDS LÄN</t>
        </is>
      </c>
      <c r="G343" t="inlineStr">
        <is>
          <t>HÄRNÖSAND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19166-2025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45769</v>
      </c>
      <c r="E344" s="1" t="n">
        <v>46281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45685</v>
      </c>
      <c r="E345" s="1" t="n">
        <v>46281</v>
      </c>
      <c r="F345" t="inlineStr">
        <is>
          <t>VÄSTERNORRLANDS LÄN</t>
        </is>
      </c>
      <c r="G345" t="inlineStr">
        <is>
          <t>HÄRNÖSAND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46161</v>
      </c>
      <c r="E346" s="1" t="n">
        <v>46281</v>
      </c>
      <c r="F346" t="inlineStr">
        <is>
          <t>VÄSTERNORRLANDS LÄN</t>
        </is>
      </c>
      <c r="G346" t="inlineStr">
        <is>
          <t>HÄRNÖSAND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31165-2025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45832</v>
      </c>
      <c r="E347" s="1" t="n">
        <v>46281</v>
      </c>
      <c r="F347" t="inlineStr">
        <is>
          <t>VÄSTERNORRLANDS LÄN</t>
        </is>
      </c>
      <c r="G347" t="inlineStr">
        <is>
          <t>HÄRNÖSAND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23130-2026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46281</v>
      </c>
      <c r="F348" t="inlineStr">
        <is>
          <t>VÄSTERNORRLANDS LÄN</t>
        </is>
      </c>
      <c r="G348" t="inlineStr">
        <is>
          <t>HÄRNÖSAND</t>
        </is>
      </c>
      <c r="I348" t="n">
        <v>9.199999999999999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46161</v>
      </c>
      <c r="E349" s="1" t="n">
        <v>46281</v>
      </c>
      <c r="F349" t="inlineStr">
        <is>
          <t>VÄSTERNORRLANDS LÄN</t>
        </is>
      </c>
      <c r="G349" t="inlineStr">
        <is>
          <t>HÄRNÖSAND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46281</v>
      </c>
      <c r="F350" t="inlineStr">
        <is>
          <t>VÄSTERNORRLANDS LÄN</t>
        </is>
      </c>
      <c r="G350" t="inlineStr">
        <is>
          <t>HÄRNÖSAND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46281</v>
      </c>
      <c r="F351" t="inlineStr">
        <is>
          <t>VÄSTERNORRLANDS LÄN</t>
        </is>
      </c>
      <c r="G351" t="inlineStr">
        <is>
          <t>HÄRNÖSAND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46281</v>
      </c>
      <c r="F352" t="inlineStr">
        <is>
          <t>VÄSTERNORRLANDS LÄN</t>
        </is>
      </c>
      <c r="G352" t="inlineStr">
        <is>
          <t>HÄRNÖSAND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46023</v>
      </c>
      <c r="E353" s="1" t="n">
        <v>46281</v>
      </c>
      <c r="F353" t="inlineStr">
        <is>
          <t>VÄSTERNORRLANDS LÄN</t>
        </is>
      </c>
      <c r="G353" t="inlineStr">
        <is>
          <t>HÄRNÖSAND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46161</v>
      </c>
      <c r="E354" s="1" t="n">
        <v>46281</v>
      </c>
      <c r="F354" t="inlineStr">
        <is>
          <t>VÄSTERNORRLANDS LÄN</t>
        </is>
      </c>
      <c r="G354" t="inlineStr">
        <is>
          <t>HÄRNÖSAND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23231-2026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46281</v>
      </c>
      <c r="F355" t="inlineStr">
        <is>
          <t>VÄSTERNORRLANDS LÄN</t>
        </is>
      </c>
      <c r="G355" t="inlineStr">
        <is>
          <t>HÄRNÖSAND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46024</v>
      </c>
      <c r="E356" s="1" t="n">
        <v>46281</v>
      </c>
      <c r="F356" t="inlineStr">
        <is>
          <t>VÄSTERNORRLANDS LÄN</t>
        </is>
      </c>
      <c r="G356" t="inlineStr">
        <is>
          <t>HÄRNÖSAND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46023</v>
      </c>
      <c r="E357" s="1" t="n">
        <v>46281</v>
      </c>
      <c r="F357" t="inlineStr">
        <is>
          <t>VÄSTERNORRLANDS LÄN</t>
        </is>
      </c>
      <c r="G357" t="inlineStr">
        <is>
          <t>HÄRNÖSAND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46023</v>
      </c>
      <c r="E358" s="1" t="n">
        <v>46281</v>
      </c>
      <c r="F358" t="inlineStr">
        <is>
          <t>VÄSTERNORRLANDS LÄN</t>
        </is>
      </c>
      <c r="G358" t="inlineStr">
        <is>
          <t>HÄRNÖSAND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46281</v>
      </c>
      <c r="F359" t="inlineStr">
        <is>
          <t>VÄSTERNORRLANDS LÄN</t>
        </is>
      </c>
      <c r="G359" t="inlineStr">
        <is>
          <t>HÄRNÖSAND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46281</v>
      </c>
      <c r="F360" t="inlineStr">
        <is>
          <t>VÄSTERNORRLANDS LÄN</t>
        </is>
      </c>
      <c r="G360" t="inlineStr">
        <is>
          <t>HÄRNÖSAND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45749</v>
      </c>
      <c r="E361" s="1" t="n">
        <v>46281</v>
      </c>
      <c r="F361" t="inlineStr">
        <is>
          <t>VÄSTERNORRLANDS LÄN</t>
        </is>
      </c>
      <c r="G361" t="inlineStr">
        <is>
          <t>HÄRNÖSAND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45786</v>
      </c>
      <c r="E362" s="1" t="n">
        <v>46281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31.8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27694-2025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45813</v>
      </c>
      <c r="E363" s="1" t="n">
        <v>46281</v>
      </c>
      <c r="F363" t="inlineStr">
        <is>
          <t>VÄSTERNORRLANDS LÄN</t>
        </is>
      </c>
      <c r="G363" t="inlineStr">
        <is>
          <t>HÄRNÖSAND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23233-2026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46281</v>
      </c>
      <c r="F364" t="inlineStr">
        <is>
          <t>VÄSTERNORRLANDS LÄN</t>
        </is>
      </c>
      <c r="G364" t="inlineStr">
        <is>
          <t>HÄRNÖSAND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46026</v>
      </c>
      <c r="E365" s="1" t="n">
        <v>46281</v>
      </c>
      <c r="F365" t="inlineStr">
        <is>
          <t>VÄSTERNORRLANDS LÄN</t>
        </is>
      </c>
      <c r="G365" t="inlineStr">
        <is>
          <t>HÄRNÖSAND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780-2026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46029</v>
      </c>
      <c r="E366" s="1" t="n">
        <v>46281</v>
      </c>
      <c r="F366" t="inlineStr">
        <is>
          <t>VÄSTERNORRLANDS LÄN</t>
        </is>
      </c>
      <c r="G366" t="inlineStr">
        <is>
          <t>HÄRNÖSAND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22852-2025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45790</v>
      </c>
      <c r="E367" s="1" t="n">
        <v>46281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SCA</t>
        </is>
      </c>
      <c r="I367" t="n">
        <v>31.8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23140-2026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46281</v>
      </c>
      <c r="F368" t="inlineStr">
        <is>
          <t>VÄSTERNORRLANDS LÄN</t>
        </is>
      </c>
      <c r="G368" t="inlineStr">
        <is>
          <t>HÄRNÖSAND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46281</v>
      </c>
      <c r="F369" t="inlineStr">
        <is>
          <t>VÄSTERNORRLANDS LÄN</t>
        </is>
      </c>
      <c r="G369" t="inlineStr">
        <is>
          <t>HÄRNÖSAND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46281</v>
      </c>
      <c r="F370" t="inlineStr">
        <is>
          <t>VÄSTERNORRLANDS LÄN</t>
        </is>
      </c>
      <c r="G370" t="inlineStr">
        <is>
          <t>HÄRNÖSAND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16009-2025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45749</v>
      </c>
      <c r="E371" s="1" t="n">
        <v>46281</v>
      </c>
      <c r="F371" t="inlineStr">
        <is>
          <t>VÄSTERNORRLANDS LÄN</t>
        </is>
      </c>
      <c r="G371" t="inlineStr">
        <is>
          <t>HÄRNÖSAND</t>
        </is>
      </c>
      <c r="I371" t="n">
        <v>9.300000000000001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23168-2026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46161</v>
      </c>
      <c r="E372" s="1" t="n">
        <v>46281</v>
      </c>
      <c r="F372" t="inlineStr">
        <is>
          <t>VÄSTERNORRLANDS LÄN</t>
        </is>
      </c>
      <c r="G372" t="inlineStr">
        <is>
          <t>HÄRNÖSAND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46030</v>
      </c>
      <c r="E373" s="1" t="n">
        <v>46281</v>
      </c>
      <c r="F373" t="inlineStr">
        <is>
          <t>VÄSTERNORRLANDS LÄN</t>
        </is>
      </c>
      <c r="G373" t="inlineStr">
        <is>
          <t>HÄRNÖSAND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46281</v>
      </c>
      <c r="F374" t="inlineStr">
        <is>
          <t>VÄSTERNORRLANDS LÄN</t>
        </is>
      </c>
      <c r="G374" t="inlineStr">
        <is>
          <t>HÄRNÖSAND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7061-2022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44603</v>
      </c>
      <c r="E375" s="1" t="n">
        <v>46281</v>
      </c>
      <c r="F375" t="inlineStr">
        <is>
          <t>VÄSTERNORRLANDS LÄN</t>
        </is>
      </c>
      <c r="G375" t="inlineStr">
        <is>
          <t>HÄRNÖSAND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46030</v>
      </c>
      <c r="E376" s="1" t="n">
        <v>46281</v>
      </c>
      <c r="F376" t="inlineStr">
        <is>
          <t>VÄSTERNORRLANDS LÄN</t>
        </is>
      </c>
      <c r="G376" t="inlineStr">
        <is>
          <t>HÄRNÖSAND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45300</v>
      </c>
      <c r="E377" s="1" t="n">
        <v>46281</v>
      </c>
      <c r="F377" t="inlineStr">
        <is>
          <t>VÄSTERNORRLANDS LÄN</t>
        </is>
      </c>
      <c r="G377" t="inlineStr">
        <is>
          <t>HÄRNÖSAND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18978-2023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45044</v>
      </c>
      <c r="E378" s="1" t="n">
        <v>46281</v>
      </c>
      <c r="F378" t="inlineStr">
        <is>
          <t>VÄSTERNORRLANDS LÄN</t>
        </is>
      </c>
      <c r="G378" t="inlineStr">
        <is>
          <t>HÄRNÖSAND</t>
        </is>
      </c>
      <c r="H378" t="inlineStr">
        <is>
          <t>SCA</t>
        </is>
      </c>
      <c r="I378" t="n">
        <v>12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1690-2026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46034</v>
      </c>
      <c r="E379" s="1" t="n">
        <v>46281</v>
      </c>
      <c r="F379" t="inlineStr">
        <is>
          <t>VÄSTERNORRLANDS LÄN</t>
        </is>
      </c>
      <c r="G379" t="inlineStr">
        <is>
          <t>HÄRNÖSAND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45203</v>
      </c>
      <c r="E380" s="1" t="n">
        <v>46281</v>
      </c>
      <c r="F380" t="inlineStr">
        <is>
          <t>VÄSTERNORRLANDS LÄN</t>
        </is>
      </c>
      <c r="G380" t="inlineStr">
        <is>
          <t>HÄRNÖSAND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17431-2023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45035</v>
      </c>
      <c r="E381" s="1" t="n">
        <v>46281</v>
      </c>
      <c r="F381" t="inlineStr">
        <is>
          <t>VÄSTERNORRLANDS LÄN</t>
        </is>
      </c>
      <c r="G381" t="inlineStr">
        <is>
          <t>HÄRNÖSAND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10544-2023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44987</v>
      </c>
      <c r="E382" s="1" t="n">
        <v>46281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29613-2023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45106</v>
      </c>
      <c r="E383" s="1" t="n">
        <v>46281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24120-2026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46281</v>
      </c>
      <c r="F384" t="inlineStr">
        <is>
          <t>VÄSTERNORRLANDS LÄN</t>
        </is>
      </c>
      <c r="G384" t="inlineStr">
        <is>
          <t>HÄRNÖSAND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9242-2025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46281</v>
      </c>
      <c r="F385" t="inlineStr">
        <is>
          <t>VÄSTERNORRLANDS LÄN</t>
        </is>
      </c>
      <c r="G385" t="inlineStr">
        <is>
          <t>HÄRNÖSAND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45985</v>
      </c>
      <c r="E386" s="1" t="n">
        <v>46281</v>
      </c>
      <c r="F386" t="inlineStr">
        <is>
          <t>VÄSTERNORRLANDS LÄN</t>
        </is>
      </c>
      <c r="G386" t="inlineStr">
        <is>
          <t>HÄRNÖSAND</t>
        </is>
      </c>
      <c r="I386" t="n">
        <v>12.3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23896-2026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46281</v>
      </c>
      <c r="F387" t="inlineStr">
        <is>
          <t>VÄSTERNORRLANDS LÄN</t>
        </is>
      </c>
      <c r="G387" t="inlineStr">
        <is>
          <t>HÄRNÖSAND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45638</v>
      </c>
      <c r="E388" s="1" t="n">
        <v>46281</v>
      </c>
      <c r="F388" t="inlineStr">
        <is>
          <t>VÄSTERNORRLANDS LÄN</t>
        </is>
      </c>
      <c r="G388" t="inlineStr">
        <is>
          <t>HÄRNÖSAND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46035</v>
      </c>
      <c r="E389" s="1" t="n">
        <v>46281</v>
      </c>
      <c r="F389" t="inlineStr">
        <is>
          <t>VÄSTERNORRLANDS LÄN</t>
        </is>
      </c>
      <c r="G389" t="inlineStr">
        <is>
          <t>HÄRNÖSAND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46281</v>
      </c>
      <c r="F390" t="inlineStr">
        <is>
          <t>VÄSTERNORRLANDS LÄN</t>
        </is>
      </c>
      <c r="G390" t="inlineStr">
        <is>
          <t>HÄRNÖSAND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21585-2026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46149</v>
      </c>
      <c r="E391" s="1" t="n">
        <v>46281</v>
      </c>
      <c r="F391" t="inlineStr">
        <is>
          <t>VÄSTERNORRLANDS LÄN</t>
        </is>
      </c>
      <c r="G391" t="inlineStr">
        <is>
          <t>HÄRNÖSAND</t>
        </is>
      </c>
      <c r="I391" t="n">
        <v>13.8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46281</v>
      </c>
      <c r="F392" t="inlineStr">
        <is>
          <t>VÄSTERNORRLANDS LÄN</t>
        </is>
      </c>
      <c r="G392" t="inlineStr">
        <is>
          <t>HÄRNÖSAND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46281</v>
      </c>
      <c r="F393" t="inlineStr">
        <is>
          <t>VÄSTERNORRLANDS LÄN</t>
        </is>
      </c>
      <c r="G393" t="inlineStr">
        <is>
          <t>HÄRNÖSAND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46281</v>
      </c>
      <c r="F394" t="inlineStr">
        <is>
          <t>VÄSTERNORRLANDS LÄN</t>
        </is>
      </c>
      <c r="G394" t="inlineStr">
        <is>
          <t>HÄRNÖSAND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46165</v>
      </c>
      <c r="E395" s="1" t="n">
        <v>46281</v>
      </c>
      <c r="F395" t="inlineStr">
        <is>
          <t>VÄSTERNORRLANDS LÄN</t>
        </is>
      </c>
      <c r="G395" t="inlineStr">
        <is>
          <t>HÄRNÖSAND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46281</v>
      </c>
      <c r="F396" t="inlineStr">
        <is>
          <t>VÄSTERNORRLANDS LÄN</t>
        </is>
      </c>
      <c r="G396" t="inlineStr">
        <is>
          <t>HÄRNÖSAND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43266-2025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45910</v>
      </c>
      <c r="E397" s="1" t="n">
        <v>46281</v>
      </c>
      <c r="F397" t="inlineStr">
        <is>
          <t>VÄSTERNORRLANDS LÄN</t>
        </is>
      </c>
      <c r="G397" t="inlineStr">
        <is>
          <t>HÄRNÖSAND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44596</v>
      </c>
      <c r="E398" s="1" t="n">
        <v>46281</v>
      </c>
      <c r="F398" t="inlineStr">
        <is>
          <t>VÄSTERNORRLANDS LÄN</t>
        </is>
      </c>
      <c r="G398" t="inlineStr">
        <is>
          <t>HÄRNÖSAND</t>
        </is>
      </c>
      <c r="H398" t="inlineStr">
        <is>
          <t>Övriga statliga verk och myndigheter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24503-2026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46281</v>
      </c>
      <c r="F399" t="inlineStr">
        <is>
          <t>VÄSTERNORRLANDS LÄN</t>
        </is>
      </c>
      <c r="G399" t="inlineStr">
        <is>
          <t>HÄRNÖSAND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52237-2022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44869</v>
      </c>
      <c r="E400" s="1" t="n">
        <v>46281</v>
      </c>
      <c r="F400" t="inlineStr">
        <is>
          <t>VÄSTERNORRLANDS LÄN</t>
        </is>
      </c>
      <c r="G400" t="inlineStr">
        <is>
          <t>HÄRNÖSAND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25251-2026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46281</v>
      </c>
      <c r="F401" t="inlineStr">
        <is>
          <t>VÄSTERNORRLANDS LÄN</t>
        </is>
      </c>
      <c r="G401" t="inlineStr">
        <is>
          <t>HÄRNÖSAND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46281</v>
      </c>
      <c r="F402" t="inlineStr">
        <is>
          <t>VÄSTERNORRLANDS LÄN</t>
        </is>
      </c>
      <c r="G402" t="inlineStr">
        <is>
          <t>HÄRNÖSAND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46281</v>
      </c>
      <c r="F403" t="inlineStr">
        <is>
          <t>VÄSTERNORRLANDS LÄN</t>
        </is>
      </c>
      <c r="G403" t="inlineStr">
        <is>
          <t>HÄRNÖSAND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46045</v>
      </c>
      <c r="E404" s="1" t="n">
        <v>46281</v>
      </c>
      <c r="F404" t="inlineStr">
        <is>
          <t>VÄSTERNORRLANDS LÄN</t>
        </is>
      </c>
      <c r="G404" t="inlineStr">
        <is>
          <t>HÄRNÖSAND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25248-2026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46281</v>
      </c>
      <c r="F405" t="inlineStr">
        <is>
          <t>VÄSTERNORRLANDS LÄN</t>
        </is>
      </c>
      <c r="G405" t="inlineStr">
        <is>
          <t>HÄRNÖSAND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14018-2024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45392</v>
      </c>
      <c r="E406" s="1" t="n">
        <v>46281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24943-2026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46281</v>
      </c>
      <c r="F407" t="inlineStr">
        <is>
          <t>VÄSTERNORRLANDS LÄN</t>
        </is>
      </c>
      <c r="G407" t="inlineStr">
        <is>
          <t>HÄRNÖSAND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28368-2023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45099</v>
      </c>
      <c r="E408" s="1" t="n">
        <v>46281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46281</v>
      </c>
      <c r="F409" t="inlineStr">
        <is>
          <t>VÄSTERNORRLANDS LÄN</t>
        </is>
      </c>
      <c r="G409" t="inlineStr">
        <is>
          <t>HÄRNÖSAND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46281</v>
      </c>
      <c r="F410" t="inlineStr">
        <is>
          <t>VÄSTERNORRLANDS LÄN</t>
        </is>
      </c>
      <c r="G410" t="inlineStr">
        <is>
          <t>HÄRNÖSAND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46281</v>
      </c>
      <c r="F411" t="inlineStr">
        <is>
          <t>VÄSTERNORRLANDS LÄN</t>
        </is>
      </c>
      <c r="G411" t="inlineStr">
        <is>
          <t>HÄRNÖSAND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46281</v>
      </c>
      <c r="F412" t="inlineStr">
        <is>
          <t>VÄSTERNORRLANDS LÄN</t>
        </is>
      </c>
      <c r="G412" t="inlineStr">
        <is>
          <t>HÄRNÖSAND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46281</v>
      </c>
      <c r="F413" t="inlineStr">
        <is>
          <t>VÄSTERNORRLANDS LÄN</t>
        </is>
      </c>
      <c r="G413" t="inlineStr">
        <is>
          <t>HÄRNÖSAND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25439-2026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46177</v>
      </c>
      <c r="E414" s="1" t="n">
        <v>46281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10.2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46177</v>
      </c>
      <c r="E415" s="1" t="n">
        <v>46281</v>
      </c>
      <c r="F415" t="inlineStr">
        <is>
          <t>VÄSTERNORRLANDS LÄN</t>
        </is>
      </c>
      <c r="G415" t="inlineStr">
        <is>
          <t>HÄRNÖSAND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46177</v>
      </c>
      <c r="E416" s="1" t="n">
        <v>46281</v>
      </c>
      <c r="F416" t="inlineStr">
        <is>
          <t>VÄSTERNORRLANDS LÄN</t>
        </is>
      </c>
      <c r="G416" t="inlineStr">
        <is>
          <t>HÄRNÖSAND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46177</v>
      </c>
      <c r="E417" s="1" t="n">
        <v>46281</v>
      </c>
      <c r="F417" t="inlineStr">
        <is>
          <t>VÄSTERNORRLANDS LÄN</t>
        </is>
      </c>
      <c r="G417" t="inlineStr">
        <is>
          <t>HÄRNÖSAND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46281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46054</v>
      </c>
      <c r="E419" s="1" t="n">
        <v>46281</v>
      </c>
      <c r="F419" t="inlineStr">
        <is>
          <t>VÄSTERNORRLANDS LÄN</t>
        </is>
      </c>
      <c r="G419" t="inlineStr">
        <is>
          <t>HÄRNÖSAND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46281</v>
      </c>
      <c r="F420" t="inlineStr">
        <is>
          <t>VÄSTERNORRLANDS LÄN</t>
        </is>
      </c>
      <c r="G420" t="inlineStr">
        <is>
          <t>HÄRNÖSAND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6418-2026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46281</v>
      </c>
      <c r="F421" t="inlineStr">
        <is>
          <t>VÄSTERNORRLANDS LÄN</t>
        </is>
      </c>
      <c r="G421" t="inlineStr">
        <is>
          <t>HÄRNÖSAND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45723</v>
      </c>
      <c r="E422" s="1" t="n">
        <v>46281</v>
      </c>
      <c r="F422" t="inlineStr">
        <is>
          <t>VÄSTERNORRLANDS LÄN</t>
        </is>
      </c>
      <c r="G422" t="inlineStr">
        <is>
          <t>HÄRNÖSAND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46281</v>
      </c>
      <c r="F423" t="inlineStr">
        <is>
          <t>VÄSTERNORRLANDS LÄN</t>
        </is>
      </c>
      <c r="G423" t="inlineStr">
        <is>
          <t>HÄRNÖSAND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42197-2024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45562</v>
      </c>
      <c r="E424" s="1" t="n">
        <v>46281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46181</v>
      </c>
      <c r="E425" s="1" t="n">
        <v>46281</v>
      </c>
      <c r="F425" t="inlineStr">
        <is>
          <t>VÄSTERNORRLANDS LÄN</t>
        </is>
      </c>
      <c r="G425" t="inlineStr">
        <is>
          <t>HÄRNÖSAND</t>
        </is>
      </c>
      <c r="I425" t="n">
        <v>8.6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11043-2023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46281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46281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46281</v>
      </c>
      <c r="F428" t="inlineStr">
        <is>
          <t>VÄSTERNORRLANDS LÄN</t>
        </is>
      </c>
      <c r="G428" t="inlineStr">
        <is>
          <t>HÄRNÖSAND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46063</v>
      </c>
      <c r="E429" s="1" t="n">
        <v>46281</v>
      </c>
      <c r="F429" t="inlineStr">
        <is>
          <t>VÄSTERNORRLANDS LÄN</t>
        </is>
      </c>
      <c r="G429" t="inlineStr">
        <is>
          <t>HÄRNÖSAND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45293</v>
      </c>
      <c r="E430" s="1" t="n">
        <v>46281</v>
      </c>
      <c r="F430" t="inlineStr">
        <is>
          <t>VÄSTERNORRLANDS LÄN</t>
        </is>
      </c>
      <c r="G430" t="inlineStr">
        <is>
          <t>HÄRNÖSAND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46281</v>
      </c>
      <c r="F431" t="inlineStr">
        <is>
          <t>VÄSTERNORRLANDS LÄN</t>
        </is>
      </c>
      <c r="G431" t="inlineStr">
        <is>
          <t>HÄRNÖSAND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46281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Kyrkan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46281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Kyrkan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61574-2021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44497</v>
      </c>
      <c r="E434" s="1" t="n">
        <v>46281</v>
      </c>
      <c r="F434" t="inlineStr">
        <is>
          <t>VÄSTERNORRLANDS LÄN</t>
        </is>
      </c>
      <c r="G434" t="inlineStr">
        <is>
          <t>HÄRNÖSAND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26667-2026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46184</v>
      </c>
      <c r="E435" s="1" t="n">
        <v>46281</v>
      </c>
      <c r="F435" t="inlineStr">
        <is>
          <t>VÄSTERNORRLANDS LÄN</t>
        </is>
      </c>
      <c r="G435" t="inlineStr">
        <is>
          <t>HÄRNÖSAND</t>
        </is>
      </c>
      <c r="I435" t="n">
        <v>9.1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46281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Kyrkan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45329</v>
      </c>
      <c r="E437" s="1" t="n">
        <v>46281</v>
      </c>
      <c r="F437" t="inlineStr">
        <is>
          <t>VÄSTERNORRLANDS LÄN</t>
        </is>
      </c>
      <c r="G437" t="inlineStr">
        <is>
          <t>HÄRNÖSAND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46065</v>
      </c>
      <c r="E438" s="1" t="n">
        <v>46281</v>
      </c>
      <c r="F438" t="inlineStr">
        <is>
          <t>VÄSTERNORRLANDS LÄN</t>
        </is>
      </c>
      <c r="G438" t="inlineStr">
        <is>
          <t>HÄRNÖSAND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8421-2026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46281</v>
      </c>
      <c r="F439" t="inlineStr">
        <is>
          <t>VÄSTERNORRLANDS LÄN</t>
        </is>
      </c>
      <c r="G439" t="inlineStr">
        <is>
          <t>HÄRNÖSAND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9161-2026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46070</v>
      </c>
      <c r="E440" s="1" t="n">
        <v>46281</v>
      </c>
      <c r="F440" t="inlineStr">
        <is>
          <t>VÄSTERNORRLANDS LÄN</t>
        </is>
      </c>
      <c r="G440" t="inlineStr">
        <is>
          <t>HÄRNÖSAND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46070</v>
      </c>
      <c r="E441" s="1" t="n">
        <v>46281</v>
      </c>
      <c r="F441" t="inlineStr">
        <is>
          <t>VÄSTERNORRLANDS LÄN</t>
        </is>
      </c>
      <c r="G441" t="inlineStr">
        <is>
          <t>HÄRNÖSAND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9053-2026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46069</v>
      </c>
      <c r="E442" s="1" t="n">
        <v>46281</v>
      </c>
      <c r="F442" t="inlineStr">
        <is>
          <t>VÄSTERNORRLANDS LÄN</t>
        </is>
      </c>
      <c r="G442" t="inlineStr">
        <is>
          <t>HÄRNÖSAND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46281</v>
      </c>
      <c r="F443" t="inlineStr">
        <is>
          <t>VÄSTERNORRLANDS LÄN</t>
        </is>
      </c>
      <c r="G443" t="inlineStr">
        <is>
          <t>HÄRNÖSAND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46319-2022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44847</v>
      </c>
      <c r="E444" s="1" t="n">
        <v>46281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Kyrkan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46072</v>
      </c>
      <c r="E445" s="1" t="n">
        <v>46281</v>
      </c>
      <c r="F445" t="inlineStr">
        <is>
          <t>VÄSTERNORRLANDS LÄN</t>
        </is>
      </c>
      <c r="G445" t="inlineStr">
        <is>
          <t>HÄRNÖSAND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8408-2024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45352</v>
      </c>
      <c r="E446" s="1" t="n">
        <v>46281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SCA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9804-2026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46071</v>
      </c>
      <c r="E447" s="1" t="n">
        <v>46281</v>
      </c>
      <c r="F447" t="inlineStr">
        <is>
          <t>VÄSTERNORRLANDS LÄN</t>
        </is>
      </c>
      <c r="G447" t="inlineStr">
        <is>
          <t>HÄRNÖSAND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46071</v>
      </c>
      <c r="E448" s="1" t="n">
        <v>46281</v>
      </c>
      <c r="F448" t="inlineStr">
        <is>
          <t>VÄSTERNORRLANDS LÄN</t>
        </is>
      </c>
      <c r="G448" t="inlineStr">
        <is>
          <t>HÄRNÖSAND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46072</v>
      </c>
      <c r="E449" s="1" t="n">
        <v>46281</v>
      </c>
      <c r="F449" t="inlineStr">
        <is>
          <t>VÄSTERNORRLANDS LÄN</t>
        </is>
      </c>
      <c r="G449" t="inlineStr">
        <is>
          <t>HÄRNÖSAND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27459-2026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46189</v>
      </c>
      <c r="E450" s="1" t="n">
        <v>46281</v>
      </c>
      <c r="F450" t="inlineStr">
        <is>
          <t>VÄSTERNORRLANDS LÄN</t>
        </is>
      </c>
      <c r="G450" t="inlineStr">
        <is>
          <t>HÄRNÖSAND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25745-2025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45800</v>
      </c>
      <c r="E451" s="1" t="n">
        <v>46281</v>
      </c>
      <c r="F451" t="inlineStr">
        <is>
          <t>VÄSTERNORRLANDS LÄN</t>
        </is>
      </c>
      <c r="G451" t="inlineStr">
        <is>
          <t>HÄRNÖSAND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61776-2023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45265</v>
      </c>
      <c r="E452" s="1" t="n">
        <v>46281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46077</v>
      </c>
      <c r="E453" s="1" t="n">
        <v>46281</v>
      </c>
      <c r="F453" t="inlineStr">
        <is>
          <t>VÄSTERNORRLANDS LÄN</t>
        </is>
      </c>
      <c r="G453" t="inlineStr">
        <is>
          <t>HÄRNÖSAND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46188</v>
      </c>
      <c r="E454" s="1" t="n">
        <v>46281</v>
      </c>
      <c r="F454" t="inlineStr">
        <is>
          <t>VÄSTERNORRLANDS LÄN</t>
        </is>
      </c>
      <c r="G454" t="inlineStr">
        <is>
          <t>HÄRNÖSAND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64749-2023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45281</v>
      </c>
      <c r="E455" s="1" t="n">
        <v>46281</v>
      </c>
      <c r="F455" t="inlineStr">
        <is>
          <t>VÄSTERNORRLANDS LÄN</t>
        </is>
      </c>
      <c r="G455" t="inlineStr">
        <is>
          <t>HÄRNÖSAND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27458-2026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46189</v>
      </c>
      <c r="E456" s="1" t="n">
        <v>46281</v>
      </c>
      <c r="F456" t="inlineStr">
        <is>
          <t>VÄSTERNORRLANDS LÄN</t>
        </is>
      </c>
      <c r="G456" t="inlineStr">
        <is>
          <t>HÄRNÖSAND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45000</v>
      </c>
      <c r="E457" s="1" t="n">
        <v>46281</v>
      </c>
      <c r="F457" t="inlineStr">
        <is>
          <t>VÄSTERNORRLANDS LÄN</t>
        </is>
      </c>
      <c r="G457" t="inlineStr">
        <is>
          <t>HÄRNÖSAND</t>
        </is>
      </c>
      <c r="H457" t="inlineStr">
        <is>
          <t>SCA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12543-2023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45000</v>
      </c>
      <c r="E458" s="1" t="n">
        <v>46281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27421-2026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46189</v>
      </c>
      <c r="E459" s="1" t="n">
        <v>46281</v>
      </c>
      <c r="F459" t="inlineStr">
        <is>
          <t>VÄSTERNORRLANDS LÄN</t>
        </is>
      </c>
      <c r="G459" t="inlineStr">
        <is>
          <t>HÄRNÖSAND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27453-2026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46189</v>
      </c>
      <c r="E460" s="1" t="n">
        <v>46281</v>
      </c>
      <c r="F460" t="inlineStr">
        <is>
          <t>VÄSTERNORRLANDS LÄN</t>
        </is>
      </c>
      <c r="G460" t="inlineStr">
        <is>
          <t>HÄRNÖSAND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27460-2026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46189</v>
      </c>
      <c r="E461" s="1" t="n">
        <v>46281</v>
      </c>
      <c r="F461" t="inlineStr">
        <is>
          <t>VÄSTERNORRLANDS LÄN</t>
        </is>
      </c>
      <c r="G461" t="inlineStr">
        <is>
          <t>HÄRNÖSAND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58869-2023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45250</v>
      </c>
      <c r="E462" s="1" t="n">
        <v>46281</v>
      </c>
      <c r="F462" t="inlineStr">
        <is>
          <t>VÄSTERNORRLANDS LÄN</t>
        </is>
      </c>
      <c r="G462" t="inlineStr">
        <is>
          <t>HÄRNÖSAND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27461-2026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46189</v>
      </c>
      <c r="E463" s="1" t="n">
        <v>46281</v>
      </c>
      <c r="F463" t="inlineStr">
        <is>
          <t>VÄSTERNORRLANDS LÄN</t>
        </is>
      </c>
      <c r="G463" t="inlineStr">
        <is>
          <t>HÄRNÖSAND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27922-2026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46281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18979-2023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45044</v>
      </c>
      <c r="E465" s="1" t="n">
        <v>46281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16854-2024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45409</v>
      </c>
      <c r="E466" s="1" t="n">
        <v>46281</v>
      </c>
      <c r="F466" t="inlineStr">
        <is>
          <t>VÄSTERNORRLANDS LÄN</t>
        </is>
      </c>
      <c r="G466" t="inlineStr">
        <is>
          <t>HÄRNÖSAND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45126</v>
      </c>
      <c r="E467" s="1" t="n">
        <v>46281</v>
      </c>
      <c r="F467" t="inlineStr">
        <is>
          <t>VÄSTERNORRLANDS LÄN</t>
        </is>
      </c>
      <c r="G467" t="inlineStr">
        <is>
          <t>HÄRNÖSAND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46190</v>
      </c>
      <c r="E468" s="1" t="n">
        <v>46281</v>
      </c>
      <c r="F468" t="inlineStr">
        <is>
          <t>VÄSTERNORRLANDS LÄN</t>
        </is>
      </c>
      <c r="G468" t="inlineStr">
        <is>
          <t>HÄRNÖSAND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39954-2022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44819</v>
      </c>
      <c r="E469" s="1" t="n">
        <v>46281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64023-2023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45278</v>
      </c>
      <c r="E470" s="1" t="n">
        <v>46281</v>
      </c>
      <c r="F470" t="inlineStr">
        <is>
          <t>VÄSTERNORRLANDS LÄN</t>
        </is>
      </c>
      <c r="G470" t="inlineStr">
        <is>
          <t>HÄRNÖSAND</t>
        </is>
      </c>
      <c r="H470" t="inlineStr">
        <is>
          <t>SCA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46281</v>
      </c>
      <c r="F471" t="inlineStr">
        <is>
          <t>VÄSTERNORRLANDS LÄN</t>
        </is>
      </c>
      <c r="G471" t="inlineStr">
        <is>
          <t>HÄRNÖSAND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46281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46281</v>
      </c>
      <c r="F473" t="inlineStr">
        <is>
          <t>VÄSTERNORRLANDS LÄN</t>
        </is>
      </c>
      <c r="G473" t="inlineStr">
        <is>
          <t>HÄRNÖSAND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46281</v>
      </c>
      <c r="F474" t="inlineStr">
        <is>
          <t>VÄSTERNORRLANDS LÄN</t>
        </is>
      </c>
      <c r="G474" t="inlineStr">
        <is>
          <t>HÄRNÖSAND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46281</v>
      </c>
      <c r="F475" t="inlineStr">
        <is>
          <t>VÄSTERNORRLANDS LÄN</t>
        </is>
      </c>
      <c r="G475" t="inlineStr">
        <is>
          <t>HÄRNÖSAND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28043-2026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46195</v>
      </c>
      <c r="E476" s="1" t="n">
        <v>46281</v>
      </c>
      <c r="F476" t="inlineStr">
        <is>
          <t>VÄSTERNORRLANDS LÄN</t>
        </is>
      </c>
      <c r="G476" t="inlineStr">
        <is>
          <t>HÄRNÖSAND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46239</v>
      </c>
      <c r="E477" s="1" t="n">
        <v>46281</v>
      </c>
      <c r="F477" t="inlineStr">
        <is>
          <t>VÄSTERNORRLANDS LÄN</t>
        </is>
      </c>
      <c r="G477" t="inlineStr">
        <is>
          <t>HÄRNÖSAND</t>
        </is>
      </c>
      <c r="H477" t="inlineStr">
        <is>
          <t>SCA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45502</v>
      </c>
      <c r="E478" s="1" t="n">
        <v>46281</v>
      </c>
      <c r="F478" t="inlineStr">
        <is>
          <t>VÄSTERNORRLANDS LÄN</t>
        </is>
      </c>
      <c r="G478" t="inlineStr">
        <is>
          <t>HÄRNÖSAND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18345-2025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45762</v>
      </c>
      <c r="E479" s="1" t="n">
        <v>46281</v>
      </c>
      <c r="F479" t="inlineStr">
        <is>
          <t>VÄSTERNORRLANDS LÄN</t>
        </is>
      </c>
      <c r="G479" t="inlineStr">
        <is>
          <t>HÄRNÖSAND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43248-2023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45180</v>
      </c>
      <c r="E480" s="1" t="n">
        <v>46281</v>
      </c>
      <c r="F480" t="inlineStr">
        <is>
          <t>VÄSTERNORRLANDS LÄN</t>
        </is>
      </c>
      <c r="G480" t="inlineStr">
        <is>
          <t>HÄRNÖSAND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45921-2024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45580</v>
      </c>
      <c r="E481" s="1" t="n">
        <v>46281</v>
      </c>
      <c r="F481" t="inlineStr">
        <is>
          <t>VÄSTERNORRLANDS LÄN</t>
        </is>
      </c>
      <c r="G481" t="inlineStr">
        <is>
          <t>HÄRNÖSAND</t>
        </is>
      </c>
      <c r="I481" t="n">
        <v>14.2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45147</v>
      </c>
      <c r="E482" s="1" t="n">
        <v>46281</v>
      </c>
      <c r="F482" t="inlineStr">
        <is>
          <t>VÄSTERNORRLANDS LÄN</t>
        </is>
      </c>
      <c r="G482" t="inlineStr">
        <is>
          <t>HÄRNÖSAND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34161-2022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44791</v>
      </c>
      <c r="E483" s="1" t="n">
        <v>46281</v>
      </c>
      <c r="F483" t="inlineStr">
        <is>
          <t>VÄSTERNORRLANDS LÄN</t>
        </is>
      </c>
      <c r="G483" t="inlineStr">
        <is>
          <t>HÄRNÖSAND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17800-2024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45418</v>
      </c>
      <c r="E484" s="1" t="n">
        <v>46281</v>
      </c>
      <c r="F484" t="inlineStr">
        <is>
          <t>VÄSTERNORRLANDS LÄN</t>
        </is>
      </c>
      <c r="G484" t="inlineStr">
        <is>
          <t>HÄRNÖSAND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32847-2026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46244</v>
      </c>
      <c r="E485" s="1" t="n">
        <v>46281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Kyrkan</t>
        </is>
      </c>
      <c r="I485" t="n">
        <v>24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62333-2021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44502</v>
      </c>
      <c r="E486" s="1" t="n">
        <v>46281</v>
      </c>
      <c r="F486" t="inlineStr">
        <is>
          <t>VÄSTERNORRLANDS LÄN</t>
        </is>
      </c>
      <c r="G486" t="inlineStr">
        <is>
          <t>HÄRNÖSAND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46281</v>
      </c>
      <c r="F487" t="inlineStr">
        <is>
          <t>VÄSTERNORRLANDS LÄN</t>
        </is>
      </c>
      <c r="G487" t="inlineStr">
        <is>
          <t>HÄRNÖSAND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53107-2023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45228</v>
      </c>
      <c r="E488" s="1" t="n">
        <v>46281</v>
      </c>
      <c r="F488" t="inlineStr">
        <is>
          <t>VÄSTERNORRLANDS LÄN</t>
        </is>
      </c>
      <c r="G488" t="inlineStr">
        <is>
          <t>HÄRNÖSAND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38379-2023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45161</v>
      </c>
      <c r="E489" s="1" t="n">
        <v>46281</v>
      </c>
      <c r="F489" t="inlineStr">
        <is>
          <t>VÄSTERNORRLANDS LÄN</t>
        </is>
      </c>
      <c r="G489" t="inlineStr">
        <is>
          <t>HÄRNÖSAND</t>
        </is>
      </c>
      <c r="H489" t="inlineStr">
        <is>
          <t>SCA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46281</v>
      </c>
      <c r="F490" t="inlineStr">
        <is>
          <t>VÄSTERNORRLANDS LÄN</t>
        </is>
      </c>
      <c r="G490" t="inlineStr">
        <is>
          <t>HÄRNÖSAND</t>
        </is>
      </c>
      <c r="I490" t="n">
        <v>14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35969-2023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45148</v>
      </c>
      <c r="E491" s="1" t="n">
        <v>46281</v>
      </c>
      <c r="F491" t="inlineStr">
        <is>
          <t>VÄSTERNORRLANDS LÄN</t>
        </is>
      </c>
      <c r="G491" t="inlineStr">
        <is>
          <t>HÄRNÖSAND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41147-2023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45173</v>
      </c>
      <c r="E492" s="1" t="n">
        <v>46281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45342</v>
      </c>
      <c r="E493" s="1" t="n">
        <v>46281</v>
      </c>
      <c r="F493" t="inlineStr">
        <is>
          <t>VÄSTERNORRLANDS LÄN</t>
        </is>
      </c>
      <c r="G493" t="inlineStr">
        <is>
          <t>HÄRNÖSAND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60970-2021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44496</v>
      </c>
      <c r="E494" s="1" t="n">
        <v>46281</v>
      </c>
      <c r="F494" t="inlineStr">
        <is>
          <t>VÄSTERNORRLANDS LÄN</t>
        </is>
      </c>
      <c r="G494" t="inlineStr">
        <is>
          <t>HÄRNÖSAND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29476-2026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46281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16047-2024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45405</v>
      </c>
      <c r="E496" s="1" t="n">
        <v>46281</v>
      </c>
      <c r="F496" t="inlineStr">
        <is>
          <t>VÄSTERNORRLANDS LÄN</t>
        </is>
      </c>
      <c r="G496" t="inlineStr">
        <is>
          <t>HÄRNÖSAND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29714-2026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46281</v>
      </c>
      <c r="F497" t="inlineStr">
        <is>
          <t>VÄSTERNORRLANDS LÄN</t>
        </is>
      </c>
      <c r="G497" t="inlineStr">
        <is>
          <t>HÄRNÖSAND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29716-2026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46204</v>
      </c>
      <c r="E498" s="1" t="n">
        <v>46281</v>
      </c>
      <c r="F498" t="inlineStr">
        <is>
          <t>VÄSTERNORRLANDS LÄN</t>
        </is>
      </c>
      <c r="G498" t="inlineStr">
        <is>
          <t>HÄRNÖSAND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59121-2023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45251</v>
      </c>
      <c r="E499" s="1" t="n">
        <v>46281</v>
      </c>
      <c r="F499" t="inlineStr">
        <is>
          <t>VÄSTERNORRLANDS LÄN</t>
        </is>
      </c>
      <c r="G499" t="inlineStr">
        <is>
          <t>HÄRNÖSAND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16866-2024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45409</v>
      </c>
      <c r="E500" s="1" t="n">
        <v>46281</v>
      </c>
      <c r="F500" t="inlineStr">
        <is>
          <t>VÄSTERNORRLANDS LÄN</t>
        </is>
      </c>
      <c r="G500" t="inlineStr">
        <is>
          <t>HÄRNÖSAND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46281</v>
      </c>
      <c r="F501" t="inlineStr">
        <is>
          <t>VÄSTERNORRLANDS LÄN</t>
        </is>
      </c>
      <c r="G501" t="inlineStr">
        <is>
          <t>HÄRNÖSAND</t>
        </is>
      </c>
      <c r="I501" t="n">
        <v>14.6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5609-2024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45334</v>
      </c>
      <c r="E502" s="1" t="n">
        <v>46281</v>
      </c>
      <c r="F502" t="inlineStr">
        <is>
          <t>VÄSTERNORRLANDS LÄN</t>
        </is>
      </c>
      <c r="G502" t="inlineStr">
        <is>
          <t>HÄRNÖSAND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29742-2026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46281</v>
      </c>
      <c r="F503" t="inlineStr">
        <is>
          <t>VÄSTERNORRLANDS LÄN</t>
        </is>
      </c>
      <c r="G503" t="inlineStr">
        <is>
          <t>HÄRNÖSAND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29754-2026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46204</v>
      </c>
      <c r="E504" s="1" t="n">
        <v>46281</v>
      </c>
      <c r="F504" t="inlineStr">
        <is>
          <t>VÄSTERNORRLANDS LÄN</t>
        </is>
      </c>
      <c r="G504" t="inlineStr">
        <is>
          <t>HÄRNÖSAND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57236-2024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45628</v>
      </c>
      <c r="E505" s="1" t="n">
        <v>46281</v>
      </c>
      <c r="F505" t="inlineStr">
        <is>
          <t>VÄSTERNORRLANDS LÄN</t>
        </is>
      </c>
      <c r="G505" t="inlineStr">
        <is>
          <t>HÄRNÖSAND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29255-2024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45482</v>
      </c>
      <c r="E506" s="1" t="n">
        <v>46281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46205</v>
      </c>
      <c r="E507" s="1" t="n">
        <v>46281</v>
      </c>
      <c r="F507" t="inlineStr">
        <is>
          <t>VÄSTERNORRLANDS LÄN</t>
        </is>
      </c>
      <c r="G507" t="inlineStr">
        <is>
          <t>HÄRNÖSAND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33659-2026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46248</v>
      </c>
      <c r="E508" s="1" t="n">
        <v>46281</v>
      </c>
      <c r="F508" t="inlineStr">
        <is>
          <t>VÄSTERNORRLANDS LÄN</t>
        </is>
      </c>
      <c r="G508" t="inlineStr">
        <is>
          <t>HÄRNÖSAND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46205</v>
      </c>
      <c r="E509" s="1" t="n">
        <v>46281</v>
      </c>
      <c r="F509" t="inlineStr">
        <is>
          <t>VÄSTERNORRLANDS LÄN</t>
        </is>
      </c>
      <c r="G509" t="inlineStr">
        <is>
          <t>HÄRNÖSAND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25746-2025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45800</v>
      </c>
      <c r="E510" s="1" t="n">
        <v>46281</v>
      </c>
      <c r="F510" t="inlineStr">
        <is>
          <t>VÄSTERNORRLANDS LÄN</t>
        </is>
      </c>
      <c r="G510" t="inlineStr">
        <is>
          <t>HÄRNÖSAND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19167-2025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45769</v>
      </c>
      <c r="E511" s="1" t="n">
        <v>46281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12750-2022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44641</v>
      </c>
      <c r="E512" s="1" t="n">
        <v>46281</v>
      </c>
      <c r="F512" t="inlineStr">
        <is>
          <t>VÄSTERNORRLANDS LÄN</t>
        </is>
      </c>
      <c r="G512" t="inlineStr">
        <is>
          <t>HÄRNÖSAND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46281</v>
      </c>
      <c r="F513" t="inlineStr">
        <is>
          <t>VÄSTERNORRLANDS LÄN</t>
        </is>
      </c>
      <c r="G513" t="inlineStr">
        <is>
          <t>HÄRNÖSAND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40237-2023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45168</v>
      </c>
      <c r="E514" s="1" t="n">
        <v>46281</v>
      </c>
      <c r="F514" t="inlineStr">
        <is>
          <t>VÄSTERNORRLANDS LÄN</t>
        </is>
      </c>
      <c r="G514" t="inlineStr">
        <is>
          <t>HÄRNÖSAND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32421-2024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45512</v>
      </c>
      <c r="E515" s="1" t="n">
        <v>46281</v>
      </c>
      <c r="F515" t="inlineStr">
        <is>
          <t>VÄSTERNORRLANDS LÄN</t>
        </is>
      </c>
      <c r="G515" t="inlineStr">
        <is>
          <t>HÄRNÖSAND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59715-2024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45639</v>
      </c>
      <c r="E516" s="1" t="n">
        <v>46281</v>
      </c>
      <c r="F516" t="inlineStr">
        <is>
          <t>VÄSTERNORRLANDS LÄN</t>
        </is>
      </c>
      <c r="G516" t="inlineStr">
        <is>
          <t>HÄRNÖSAND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46281</v>
      </c>
      <c r="F517" t="inlineStr">
        <is>
          <t>VÄSTERNORRLANDS LÄN</t>
        </is>
      </c>
      <c r="G517" t="inlineStr">
        <is>
          <t>HÄRNÖSAND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61337-2024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46281</v>
      </c>
      <c r="F518" t="inlineStr">
        <is>
          <t>VÄSTERNORRLANDS LÄN</t>
        </is>
      </c>
      <c r="G518" t="inlineStr">
        <is>
          <t>HÄRNÖSAND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46281</v>
      </c>
      <c r="F519" t="inlineStr">
        <is>
          <t>VÄSTERNORRLANDS LÄN</t>
        </is>
      </c>
      <c r="G519" t="inlineStr">
        <is>
          <t>HÄRNÖSAND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46281</v>
      </c>
      <c r="F520" t="inlineStr">
        <is>
          <t>VÄSTERNORRLANDS LÄN</t>
        </is>
      </c>
      <c r="G520" t="inlineStr">
        <is>
          <t>HÄRNÖSAND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46281</v>
      </c>
      <c r="F521" t="inlineStr">
        <is>
          <t>VÄSTERNORRLANDS LÄN</t>
        </is>
      </c>
      <c r="G521" t="inlineStr">
        <is>
          <t>HÄRNÖSAND</t>
        </is>
      </c>
      <c r="I521" t="n">
        <v>5.6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45107</v>
      </c>
      <c r="E522" s="1" t="n">
        <v>46281</v>
      </c>
      <c r="F522" t="inlineStr">
        <is>
          <t>VÄSTERNORRLANDS LÄN</t>
        </is>
      </c>
      <c r="G522" t="inlineStr">
        <is>
          <t>HÄRNÖSAND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46281</v>
      </c>
      <c r="F523" t="inlineStr">
        <is>
          <t>VÄSTERNORRLANDS LÄN</t>
        </is>
      </c>
      <c r="G523" t="inlineStr">
        <is>
          <t>HÄRNÖSAND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35808-2023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45147</v>
      </c>
      <c r="E524" s="1" t="n">
        <v>46281</v>
      </c>
      <c r="F524" t="inlineStr">
        <is>
          <t>VÄSTERNORRLANDS LÄN</t>
        </is>
      </c>
      <c r="G524" t="inlineStr">
        <is>
          <t>HÄRNÖSAND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33747-2026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46251</v>
      </c>
      <c r="E525" s="1" t="n">
        <v>46281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30413-2026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46209</v>
      </c>
      <c r="E526" s="1" t="n">
        <v>46281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49346-2024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45595</v>
      </c>
      <c r="E527" s="1" t="n">
        <v>46281</v>
      </c>
      <c r="F527" t="inlineStr">
        <is>
          <t>VÄSTERNORRLANDS LÄN</t>
        </is>
      </c>
      <c r="G527" t="inlineStr">
        <is>
          <t>HÄRNÖSAND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49364-2024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45595</v>
      </c>
      <c r="E528" s="1" t="n">
        <v>46281</v>
      </c>
      <c r="F528" t="inlineStr">
        <is>
          <t>VÄSTERNORRLANDS LÄN</t>
        </is>
      </c>
      <c r="G528" t="inlineStr">
        <is>
          <t>HÄRNÖSAND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30711-2026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46211</v>
      </c>
      <c r="E529" s="1" t="n">
        <v>46281</v>
      </c>
      <c r="F529" t="inlineStr">
        <is>
          <t>VÄSTERNORRLANDS LÄN</t>
        </is>
      </c>
      <c r="G529" t="inlineStr">
        <is>
          <t>HÄRNÖSAND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54091-2024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45616</v>
      </c>
      <c r="E530" s="1" t="n">
        <v>46281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30710-2026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46211</v>
      </c>
      <c r="E531" s="1" t="n">
        <v>46281</v>
      </c>
      <c r="F531" t="inlineStr">
        <is>
          <t>VÄSTERNORRLANDS LÄN</t>
        </is>
      </c>
      <c r="G531" t="inlineStr">
        <is>
          <t>HÄRNÖSAND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16979-2022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44676</v>
      </c>
      <c r="E532" s="1" t="n">
        <v>46281</v>
      </c>
      <c r="F532" t="inlineStr">
        <is>
          <t>VÄSTERNORRLANDS LÄN</t>
        </is>
      </c>
      <c r="G532" t="inlineStr">
        <is>
          <t>HÄRNÖSAND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46213</v>
      </c>
      <c r="E533" s="1" t="n">
        <v>46281</v>
      </c>
      <c r="F533" t="inlineStr">
        <is>
          <t>VÄSTERNORRLANDS LÄN</t>
        </is>
      </c>
      <c r="G533" t="inlineStr">
        <is>
          <t>HÄRNÖSAND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19827-2022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44694</v>
      </c>
      <c r="E534" s="1" t="n">
        <v>46281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34768-2026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46281</v>
      </c>
      <c r="F535" t="inlineStr">
        <is>
          <t>VÄSTERNORRLANDS LÄN</t>
        </is>
      </c>
      <c r="G535" t="inlineStr">
        <is>
          <t>HÄRNÖSAND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7793-2024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45348</v>
      </c>
      <c r="E536" s="1" t="n">
        <v>46281</v>
      </c>
      <c r="F536" t="inlineStr">
        <is>
          <t>VÄSTERNORRLANDS LÄN</t>
        </is>
      </c>
      <c r="G536" t="inlineStr">
        <is>
          <t>HÄRNÖSAND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46213</v>
      </c>
      <c r="E537" s="1" t="n">
        <v>46281</v>
      </c>
      <c r="F537" t="inlineStr">
        <is>
          <t>VÄSTERNORRLANDS LÄN</t>
        </is>
      </c>
      <c r="G537" t="inlineStr">
        <is>
          <t>HÄRNÖSAND</t>
        </is>
      </c>
      <c r="I537" t="n">
        <v>13.6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30907-2026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46213</v>
      </c>
      <c r="E538" s="1" t="n">
        <v>46281</v>
      </c>
      <c r="F538" t="inlineStr">
        <is>
          <t>VÄSTERNORRLANDS LÄN</t>
        </is>
      </c>
      <c r="G538" t="inlineStr">
        <is>
          <t>HÄRNÖSAND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54560-2024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45617</v>
      </c>
      <c r="E539" s="1" t="n">
        <v>46281</v>
      </c>
      <c r="F539" t="inlineStr">
        <is>
          <t>VÄSTERNORRLANDS LÄN</t>
        </is>
      </c>
      <c r="G539" t="inlineStr">
        <is>
          <t>HÄRNÖSAND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18348-2025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45762</v>
      </c>
      <c r="E540" s="1" t="n">
        <v>46281</v>
      </c>
      <c r="F540" t="inlineStr">
        <is>
          <t>VÄSTERNORRLANDS LÄN</t>
        </is>
      </c>
      <c r="G540" t="inlineStr">
        <is>
          <t>HÄRNÖSAND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46215</v>
      </c>
      <c r="E541" s="1" t="n">
        <v>46281</v>
      </c>
      <c r="F541" t="inlineStr">
        <is>
          <t>VÄSTERNORRLANDS LÄN</t>
        </is>
      </c>
      <c r="G541" t="inlineStr">
        <is>
          <t>HÄRNÖSAND</t>
        </is>
      </c>
      <c r="I541" t="n">
        <v>12.7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31050-2026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46215</v>
      </c>
      <c r="E542" s="1" t="n">
        <v>46281</v>
      </c>
      <c r="F542" t="inlineStr">
        <is>
          <t>VÄSTERNORRLANDS LÄN</t>
        </is>
      </c>
      <c r="G542" t="inlineStr">
        <is>
          <t>HÄRNÖSAND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9727-2022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44617</v>
      </c>
      <c r="E543" s="1" t="n">
        <v>46281</v>
      </c>
      <c r="F543" t="inlineStr">
        <is>
          <t>VÄSTERNORRLANDS LÄN</t>
        </is>
      </c>
      <c r="G543" t="inlineStr">
        <is>
          <t>HÄRNÖSAND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45428</v>
      </c>
      <c r="E544" s="1" t="n">
        <v>46281</v>
      </c>
      <c r="F544" t="inlineStr">
        <is>
          <t>VÄSTERNORRLANDS LÄN</t>
        </is>
      </c>
      <c r="G544" t="inlineStr">
        <is>
          <t>HÄRNÖSAND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39044-2023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45163</v>
      </c>
      <c r="E545" s="1" t="n">
        <v>46281</v>
      </c>
      <c r="F545" t="inlineStr">
        <is>
          <t>VÄSTERNORRLANDS LÄN</t>
        </is>
      </c>
      <c r="G545" t="inlineStr">
        <is>
          <t>HÄRNÖSAND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36496-2023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45152</v>
      </c>
      <c r="E546" s="1" t="n">
        <v>46281</v>
      </c>
      <c r="F546" t="inlineStr">
        <is>
          <t>VÄSTERNORRLANDS LÄN</t>
        </is>
      </c>
      <c r="G546" t="inlineStr">
        <is>
          <t>HÄRNÖSAND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49261-2022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44858</v>
      </c>
      <c r="E547" s="1" t="n">
        <v>46281</v>
      </c>
      <c r="F547" t="inlineStr">
        <is>
          <t>VÄSTERNORRLANDS LÄN</t>
        </is>
      </c>
      <c r="G547" t="inlineStr">
        <is>
          <t>HÄRNÖSAND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46260</v>
      </c>
      <c r="E548" s="1" t="n">
        <v>46281</v>
      </c>
      <c r="F548" t="inlineStr">
        <is>
          <t>VÄSTERNORRLANDS LÄN</t>
        </is>
      </c>
      <c r="G548" t="inlineStr">
        <is>
          <t>HÄRNÖSAND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35563-2026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46262</v>
      </c>
      <c r="E549" s="1" t="n">
        <v>46281</v>
      </c>
      <c r="F549" t="inlineStr">
        <is>
          <t>VÄSTERNORRLANDS LÄN</t>
        </is>
      </c>
      <c r="G549" t="inlineStr">
        <is>
          <t>HÄRNÖSAND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39433-2023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45163</v>
      </c>
      <c r="E550" s="1" t="n">
        <v>46281</v>
      </c>
      <c r="F550" t="inlineStr">
        <is>
          <t>VÄSTERNORRLANDS LÄN</t>
        </is>
      </c>
      <c r="G550" t="inlineStr">
        <is>
          <t>HÄRNÖSAND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21471-2022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44706</v>
      </c>
      <c r="E551" s="1" t="n">
        <v>46281</v>
      </c>
      <c r="F551" t="inlineStr">
        <is>
          <t>VÄSTERNORRLANDS LÄN</t>
        </is>
      </c>
      <c r="G551" t="inlineStr">
        <is>
          <t>HÄRNÖSAND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24813-2022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44728</v>
      </c>
      <c r="E552" s="1" t="n">
        <v>46281</v>
      </c>
      <c r="F552" t="inlineStr">
        <is>
          <t>VÄSTERNORRLANDS LÄN</t>
        </is>
      </c>
      <c r="G552" t="inlineStr">
        <is>
          <t>HÄRNÖSAND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31503-2026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46281</v>
      </c>
      <c r="F553" t="inlineStr">
        <is>
          <t>VÄSTERNORRLANDS LÄN</t>
        </is>
      </c>
      <c r="G553" t="inlineStr">
        <is>
          <t>HÄRNÖSAND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46219</v>
      </c>
      <c r="E554" s="1" t="n">
        <v>46281</v>
      </c>
      <c r="F554" t="inlineStr">
        <is>
          <t>VÄSTERNORRLANDS LÄN</t>
        </is>
      </c>
      <c r="G554" t="inlineStr">
        <is>
          <t>HÄRNÖSAND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46219</v>
      </c>
      <c r="E555" s="1" t="n">
        <v>46281</v>
      </c>
      <c r="F555" t="inlineStr">
        <is>
          <t>VÄSTERNORRLANDS LÄN</t>
        </is>
      </c>
      <c r="G555" t="inlineStr">
        <is>
          <t>HÄRNÖSAND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11045-2025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45723</v>
      </c>
      <c r="E556" s="1" t="n">
        <v>46281</v>
      </c>
      <c r="F556" t="inlineStr">
        <is>
          <t>VÄSTERNORRLANDS LÄN</t>
        </is>
      </c>
      <c r="G556" t="inlineStr">
        <is>
          <t>HÄRNÖSAND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29104-2023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45097</v>
      </c>
      <c r="E557" s="1" t="n">
        <v>46281</v>
      </c>
      <c r="F557" t="inlineStr">
        <is>
          <t>VÄSTERNORRLANDS LÄN</t>
        </is>
      </c>
      <c r="G557" t="inlineStr">
        <is>
          <t>HÄRNÖSAND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35670-2026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46265</v>
      </c>
      <c r="E558" s="1" t="n">
        <v>46281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SCA</t>
        </is>
      </c>
      <c r="I558" t="n">
        <v>22.1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48047-2022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44855</v>
      </c>
      <c r="E559" s="1" t="n">
        <v>46281</v>
      </c>
      <c r="F559" t="inlineStr">
        <is>
          <t>VÄSTERNORRLANDS LÄN</t>
        </is>
      </c>
      <c r="G559" t="inlineStr">
        <is>
          <t>HÄRNÖSAND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46281</v>
      </c>
      <c r="F560" t="inlineStr">
        <is>
          <t>VÄSTERNORRLANDS LÄN</t>
        </is>
      </c>
      <c r="G560" t="inlineStr">
        <is>
          <t>HÄRNÖSAND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29483-2026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46281</v>
      </c>
      <c r="F561" t="inlineStr">
        <is>
          <t>VÄSTERNORRLANDS LÄN</t>
        </is>
      </c>
      <c r="G561" t="inlineStr">
        <is>
          <t>HÄRNÖSAND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57154-2024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46281</v>
      </c>
      <c r="F562" t="inlineStr">
        <is>
          <t>VÄSTERNORRLANDS LÄN</t>
        </is>
      </c>
      <c r="G562" t="inlineStr">
        <is>
          <t>HÄRNÖSAND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46213</v>
      </c>
      <c r="E563" s="1" t="n">
        <v>46281</v>
      </c>
      <c r="F563" t="inlineStr">
        <is>
          <t>VÄSTERNORRLANDS LÄN</t>
        </is>
      </c>
      <c r="G563" t="inlineStr">
        <is>
          <t>HÄRNÖSAND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4092-2024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45323</v>
      </c>
      <c r="E564" s="1" t="n">
        <v>46281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45500-2024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45578</v>
      </c>
      <c r="E565" s="1" t="n">
        <v>46281</v>
      </c>
      <c r="F565" t="inlineStr">
        <is>
          <t>VÄSTERNORRLANDS LÄN</t>
        </is>
      </c>
      <c r="G565" t="inlineStr">
        <is>
          <t>HÄRNÖSAND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45504-2024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45578</v>
      </c>
      <c r="E566" s="1" t="n">
        <v>46281</v>
      </c>
      <c r="F566" t="inlineStr">
        <is>
          <t>VÄSTERNORRLANDS LÄN</t>
        </is>
      </c>
      <c r="G566" t="inlineStr">
        <is>
          <t>HÄRNÖSAND</t>
        </is>
      </c>
      <c r="I566" t="n">
        <v>10.3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3897-2023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44951</v>
      </c>
      <c r="E567" s="1" t="n">
        <v>46281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45531</v>
      </c>
      <c r="E568" s="1" t="n">
        <v>46281</v>
      </c>
      <c r="F568" t="inlineStr">
        <is>
          <t>VÄSTERNORRLANDS LÄN</t>
        </is>
      </c>
      <c r="G568" t="inlineStr">
        <is>
          <t>HÄRNÖSAND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45512</v>
      </c>
      <c r="E569" s="1" t="n">
        <v>46281</v>
      </c>
      <c r="F569" t="inlineStr">
        <is>
          <t>VÄSTERNORRLANDS LÄN</t>
        </is>
      </c>
      <c r="G569" t="inlineStr">
        <is>
          <t>HÄRNÖSAND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51001-2022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44867</v>
      </c>
      <c r="E570" s="1" t="n">
        <v>46281</v>
      </c>
      <c r="F570" t="inlineStr">
        <is>
          <t>VÄSTERNORRLANDS LÄN</t>
        </is>
      </c>
      <c r="G570" t="inlineStr">
        <is>
          <t>HÄRNÖSAND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12129-2025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45729</v>
      </c>
      <c r="E571" s="1" t="n">
        <v>46281</v>
      </c>
      <c r="F571" t="inlineStr">
        <is>
          <t>VÄSTERNORRLANDS LÄN</t>
        </is>
      </c>
      <c r="G571" t="inlineStr">
        <is>
          <t>HÄRNÖSAND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37246-2026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46274</v>
      </c>
      <c r="E572" s="1" t="n">
        <v>46281</v>
      </c>
      <c r="F572" t="inlineStr">
        <is>
          <t>VÄSTERNORRLANDS LÄN</t>
        </is>
      </c>
      <c r="G572" t="inlineStr">
        <is>
          <t>HÄRNÖSAND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11903-2024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45376</v>
      </c>
      <c r="E573" s="1" t="n">
        <v>46281</v>
      </c>
      <c r="F573" t="inlineStr">
        <is>
          <t>VÄSTERNORRLANDS LÄN</t>
        </is>
      </c>
      <c r="G573" t="inlineStr">
        <is>
          <t>HÄRNÖSAND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12497-2025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45730</v>
      </c>
      <c r="E574" s="1" t="n">
        <v>46281</v>
      </c>
      <c r="F574" t="inlineStr">
        <is>
          <t>VÄSTERNORRLANDS LÄN</t>
        </is>
      </c>
      <c r="G574" t="inlineStr">
        <is>
          <t>HÄRNÖSAND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31956-2026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46232</v>
      </c>
      <c r="E575" s="1" t="n">
        <v>46281</v>
      </c>
      <c r="F575" t="inlineStr">
        <is>
          <t>VÄSTERNORRLANDS LÄN</t>
        </is>
      </c>
      <c r="G575" t="inlineStr">
        <is>
          <t>HÄRNÖSAND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37333-2026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46275</v>
      </c>
      <c r="E576" s="1" t="n">
        <v>46281</v>
      </c>
      <c r="F576" t="inlineStr">
        <is>
          <t>VÄSTERNORRLANDS LÄN</t>
        </is>
      </c>
      <c r="G576" t="inlineStr">
        <is>
          <t>HÄRNÖSAND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4147-2025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45685</v>
      </c>
      <c r="E577" s="1" t="n">
        <v>46281</v>
      </c>
      <c r="F577" t="inlineStr">
        <is>
          <t>VÄSTERNORRLANDS LÄN</t>
        </is>
      </c>
      <c r="G577" t="inlineStr">
        <is>
          <t>HÄRNÖSAND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20822-2025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45776</v>
      </c>
      <c r="E578" s="1" t="n">
        <v>46281</v>
      </c>
      <c r="F578" t="inlineStr">
        <is>
          <t>VÄSTERNORRLANDS LÄN</t>
        </is>
      </c>
      <c r="G578" t="inlineStr">
        <is>
          <t>HÄRNÖSAND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45776</v>
      </c>
      <c r="E579" s="1" t="n">
        <v>46281</v>
      </c>
      <c r="F579" t="inlineStr">
        <is>
          <t>VÄSTERNORRLANDS LÄN</t>
        </is>
      </c>
      <c r="G579" t="inlineStr">
        <is>
          <t>HÄRNÖSAND</t>
        </is>
      </c>
      <c r="I579" t="n">
        <v>7.6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21484-2025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45782</v>
      </c>
      <c r="E580" s="1" t="n">
        <v>46281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32.1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46281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12.3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32293-2026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46237</v>
      </c>
      <c r="E582" s="1" t="n">
        <v>46281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45562</v>
      </c>
      <c r="E583" s="1" t="n">
        <v>46281</v>
      </c>
      <c r="F583" t="inlineStr">
        <is>
          <t>VÄSTERNORRLANDS LÄN</t>
        </is>
      </c>
      <c r="G583" t="inlineStr">
        <is>
          <t>HÄRNÖSAND</t>
        </is>
      </c>
      <c r="I583" t="n">
        <v>15.6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45502-2024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45578</v>
      </c>
      <c r="E584" s="1" t="n">
        <v>46281</v>
      </c>
      <c r="F584" t="inlineStr">
        <is>
          <t>VÄSTERNORRLANDS LÄN</t>
        </is>
      </c>
      <c r="G584" t="inlineStr">
        <is>
          <t>HÄRNÖSAND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23290-2025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45791</v>
      </c>
      <c r="E585" s="1" t="n">
        <v>46281</v>
      </c>
      <c r="F585" t="inlineStr">
        <is>
          <t>VÄSTERNORRLANDS LÄN</t>
        </is>
      </c>
      <c r="G585" t="inlineStr">
        <is>
          <t>HÄRNÖSAND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45342</v>
      </c>
      <c r="E586" s="1" t="n">
        <v>46281</v>
      </c>
      <c r="F586" t="inlineStr">
        <is>
          <t>VÄSTERNORRLANDS LÄN</t>
        </is>
      </c>
      <c r="G586" t="inlineStr">
        <is>
          <t>HÄRNÖSAND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44590-2024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45574</v>
      </c>
      <c r="E587" s="1" t="n">
        <v>46281</v>
      </c>
      <c r="F587" t="inlineStr">
        <is>
          <t>VÄSTERNORRLANDS LÄN</t>
        </is>
      </c>
      <c r="G587" t="inlineStr">
        <is>
          <t>HÄRNÖSAND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19949-2024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45433</v>
      </c>
      <c r="E588" s="1" t="n">
        <v>46281</v>
      </c>
      <c r="F588" t="inlineStr">
        <is>
          <t>VÄSTERNORRLANDS LÄN</t>
        </is>
      </c>
      <c r="G588" t="inlineStr">
        <is>
          <t>HÄRNÖSAND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8475-2024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45351</v>
      </c>
      <c r="E589" s="1" t="n">
        <v>46281</v>
      </c>
      <c r="F589" t="inlineStr">
        <is>
          <t>VÄSTERNORRLANDS LÄN</t>
        </is>
      </c>
      <c r="G589" t="inlineStr">
        <is>
          <t>HÄRNÖSAND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1088-2022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44571</v>
      </c>
      <c r="E590" s="1" t="n">
        <v>46281</v>
      </c>
      <c r="F590" t="inlineStr">
        <is>
          <t>VÄSTERNORRLANDS LÄN</t>
        </is>
      </c>
      <c r="G590" t="inlineStr">
        <is>
          <t>HÄRNÖSAND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45579</v>
      </c>
      <c r="E591" s="1" t="n">
        <v>46281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23825-2025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45793</v>
      </c>
      <c r="E592" s="1" t="n">
        <v>46281</v>
      </c>
      <c r="F592" t="inlineStr">
        <is>
          <t>VÄSTERNORRLANDS LÄN</t>
        </is>
      </c>
      <c r="G592" t="inlineStr">
        <is>
          <t>HÄRNÖSAND</t>
        </is>
      </c>
      <c r="H592" t="inlineStr">
        <is>
          <t>SCA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61944-2023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45266</v>
      </c>
      <c r="E593" s="1" t="n">
        <v>46281</v>
      </c>
      <c r="F593" t="inlineStr">
        <is>
          <t>VÄSTERNORRLANDS LÄN</t>
        </is>
      </c>
      <c r="G593" t="inlineStr">
        <is>
          <t>HÄRNÖSAND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32790-2024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45516</v>
      </c>
      <c r="E594" s="1" t="n">
        <v>46281</v>
      </c>
      <c r="F594" t="inlineStr">
        <is>
          <t>VÄSTERNORRLANDS LÄN</t>
        </is>
      </c>
      <c r="G594" t="inlineStr">
        <is>
          <t>HÄRNÖSAND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34745-2023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45139</v>
      </c>
      <c r="E595" s="1" t="n">
        <v>46281</v>
      </c>
      <c r="F595" t="inlineStr">
        <is>
          <t>VÄSTERNORRLANDS LÄN</t>
        </is>
      </c>
      <c r="G595" t="inlineStr">
        <is>
          <t>HÄRNÖSAND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55583-2021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44475</v>
      </c>
      <c r="E596" s="1" t="n">
        <v>46281</v>
      </c>
      <c r="F596" t="inlineStr">
        <is>
          <t>VÄSTERNORRLANDS LÄN</t>
        </is>
      </c>
      <c r="G596" t="inlineStr">
        <is>
          <t>HÄRNÖSAND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45799</v>
      </c>
      <c r="E597" s="1" t="n">
        <v>46281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25355-2025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46281</v>
      </c>
      <c r="F598" t="inlineStr">
        <is>
          <t>VÄSTERNORRLANDS LÄN</t>
        </is>
      </c>
      <c r="G598" t="inlineStr">
        <is>
          <t>HÄRNÖSAND</t>
        </is>
      </c>
      <c r="H598" t="inlineStr">
        <is>
          <t>SCA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25541-2025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45803</v>
      </c>
      <c r="E599" s="1" t="n">
        <v>46281</v>
      </c>
      <c r="F599" t="inlineStr">
        <is>
          <t>VÄSTERNORRLANDS LÄN</t>
        </is>
      </c>
      <c r="G599" t="inlineStr">
        <is>
          <t>HÄRNÖSAND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18461-2025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45762</v>
      </c>
      <c r="E600" s="1" t="n">
        <v>46281</v>
      </c>
      <c r="F600" t="inlineStr">
        <is>
          <t>VÄSTERNORRLANDS LÄN</t>
        </is>
      </c>
      <c r="G600" t="inlineStr">
        <is>
          <t>HÄRNÖSAND</t>
        </is>
      </c>
      <c r="I600" t="n">
        <v>5.6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26176-2025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45805</v>
      </c>
      <c r="E601" s="1" t="n">
        <v>46281</v>
      </c>
      <c r="F601" t="inlineStr">
        <is>
          <t>VÄSTERNORRLANDS LÄN</t>
        </is>
      </c>
      <c r="G601" t="inlineStr">
        <is>
          <t>HÄRNÖSAND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57685-2024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45630</v>
      </c>
      <c r="E602" s="1" t="n">
        <v>46281</v>
      </c>
      <c r="F602" t="inlineStr">
        <is>
          <t>VÄSTERNORRLANDS LÄN</t>
        </is>
      </c>
      <c r="G602" t="inlineStr">
        <is>
          <t>HÄRNÖSAND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49531-2023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45205</v>
      </c>
      <c r="E603" s="1" t="n">
        <v>46281</v>
      </c>
      <c r="F603" t="inlineStr">
        <is>
          <t>VÄSTERNORRLANDS LÄN</t>
        </is>
      </c>
      <c r="G603" t="inlineStr">
        <is>
          <t>HÄRNÖSAND</t>
        </is>
      </c>
      <c r="I603" t="n">
        <v>7.9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26918-2025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46281</v>
      </c>
      <c r="F604" t="inlineStr">
        <is>
          <t>VÄSTERNORRLANDS LÄN</t>
        </is>
      </c>
      <c r="G604" t="inlineStr">
        <is>
          <t>HÄRNÖSAND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27272-2025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45812</v>
      </c>
      <c r="E605" s="1" t="n">
        <v>46281</v>
      </c>
      <c r="F605" t="inlineStr">
        <is>
          <t>VÄSTERNORRLANDS LÄN</t>
        </is>
      </c>
      <c r="G605" t="inlineStr">
        <is>
          <t>HÄRNÖSAND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27273-2025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45812</v>
      </c>
      <c r="E606" s="1" t="n">
        <v>46281</v>
      </c>
      <c r="F606" t="inlineStr">
        <is>
          <t>VÄSTERNORRLANDS LÄN</t>
        </is>
      </c>
      <c r="G606" t="inlineStr">
        <is>
          <t>HÄRNÖSAND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29233-2025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45824</v>
      </c>
      <c r="E607" s="1" t="n">
        <v>46281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29542-2025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45825</v>
      </c>
      <c r="E608" s="1" t="n">
        <v>46281</v>
      </c>
      <c r="F608" t="inlineStr">
        <is>
          <t>VÄSTERNORRLANDS LÄN</t>
        </is>
      </c>
      <c r="G608" t="inlineStr">
        <is>
          <t>HÄRNÖSAND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45825</v>
      </c>
      <c r="E609" s="1" t="n">
        <v>46281</v>
      </c>
      <c r="F609" t="inlineStr">
        <is>
          <t>VÄSTERNORRLANDS LÄN</t>
        </is>
      </c>
      <c r="G609" t="inlineStr">
        <is>
          <t>HÄRNÖSAND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29549-2025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45825</v>
      </c>
      <c r="E610" s="1" t="n">
        <v>46281</v>
      </c>
      <c r="F610" t="inlineStr">
        <is>
          <t>VÄSTERNORRLANDS LÄN</t>
        </is>
      </c>
      <c r="G610" t="inlineStr">
        <is>
          <t>HÄRNÖSAND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29550-2025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45825</v>
      </c>
      <c r="E611" s="1" t="n">
        <v>46281</v>
      </c>
      <c r="F611" t="inlineStr">
        <is>
          <t>VÄSTERNORRLANDS LÄN</t>
        </is>
      </c>
      <c r="G611" t="inlineStr">
        <is>
          <t>HÄRNÖSAND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30039-2025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45826</v>
      </c>
      <c r="E612" s="1" t="n">
        <v>46281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Kyrkan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31305-2025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45833</v>
      </c>
      <c r="E613" s="1" t="n">
        <v>46281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13.5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31342-2025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45833</v>
      </c>
      <c r="E614" s="1" t="n">
        <v>46281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31721-2025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45834</v>
      </c>
      <c r="E615" s="1" t="n">
        <v>46281</v>
      </c>
      <c r="F615" t="inlineStr">
        <is>
          <t>VÄSTERNORRLANDS LÄN</t>
        </is>
      </c>
      <c r="G615" t="inlineStr">
        <is>
          <t>HÄRNÖSAND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31483-2025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45833</v>
      </c>
      <c r="E616" s="1" t="n">
        <v>46281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31303-2025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45833</v>
      </c>
      <c r="E617" s="1" t="n">
        <v>46281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31344-2025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45833</v>
      </c>
      <c r="E618" s="1" t="n">
        <v>46281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31890-2025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45834</v>
      </c>
      <c r="E619" s="1" t="n">
        <v>46281</v>
      </c>
      <c r="F619" t="inlineStr">
        <is>
          <t>VÄSTERNORRLANDS LÄN</t>
        </is>
      </c>
      <c r="G619" t="inlineStr">
        <is>
          <t>HÄRNÖSAND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32374-2025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45837</v>
      </c>
      <c r="E620" s="1" t="n">
        <v>46281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26920-2025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45811</v>
      </c>
      <c r="E621" s="1" t="n">
        <v>46281</v>
      </c>
      <c r="F621" t="inlineStr">
        <is>
          <t>VÄSTERNORRLANDS LÄN</t>
        </is>
      </c>
      <c r="G621" t="inlineStr">
        <is>
          <t>HÄRNÖSAND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32365-2025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45837</v>
      </c>
      <c r="E622" s="1" t="n">
        <v>46281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34729-2025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45840</v>
      </c>
      <c r="E623" s="1" t="n">
        <v>46281</v>
      </c>
      <c r="F623" t="inlineStr">
        <is>
          <t>VÄSTERNORRLANDS LÄN</t>
        </is>
      </c>
      <c r="G623" t="inlineStr">
        <is>
          <t>HÄRNÖSAND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33145-2025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45840</v>
      </c>
      <c r="E624" s="1" t="n">
        <v>46281</v>
      </c>
      <c r="F624" t="inlineStr">
        <is>
          <t>VÄSTERNORRLANDS LÄN</t>
        </is>
      </c>
      <c r="G624" t="inlineStr">
        <is>
          <t>HÄRNÖSAND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34736-2025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45848</v>
      </c>
      <c r="E625" s="1" t="n">
        <v>46281</v>
      </c>
      <c r="F625" t="inlineStr">
        <is>
          <t>VÄSTERNORRLANDS LÄN</t>
        </is>
      </c>
      <c r="G625" t="inlineStr">
        <is>
          <t>HÄRNÖSAND</t>
        </is>
      </c>
      <c r="I625" t="n">
        <v>7.9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34751-2025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45848</v>
      </c>
      <c r="E626" s="1" t="n">
        <v>46281</v>
      </c>
      <c r="F626" t="inlineStr">
        <is>
          <t>VÄSTERNORRLANDS LÄN</t>
        </is>
      </c>
      <c r="G626" t="inlineStr">
        <is>
          <t>HÄRNÖSAND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16220-2025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45749</v>
      </c>
      <c r="E627" s="1" t="n">
        <v>46281</v>
      </c>
      <c r="F627" t="inlineStr">
        <is>
          <t>VÄSTERNORRLANDS LÄN</t>
        </is>
      </c>
      <c r="G627" t="inlineStr">
        <is>
          <t>HÄRNÖSAND</t>
        </is>
      </c>
      <c r="I627" t="n">
        <v>10.3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35189-2025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45853</v>
      </c>
      <c r="E628" s="1" t="n">
        <v>46281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23805-2025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45793</v>
      </c>
      <c r="E629" s="1" t="n">
        <v>46281</v>
      </c>
      <c r="F629" t="inlineStr">
        <is>
          <t>VÄSTERNORRLANDS LÄN</t>
        </is>
      </c>
      <c r="G629" t="inlineStr">
        <is>
          <t>HÄRNÖSAND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12150-2025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45729</v>
      </c>
      <c r="E630" s="1" t="n">
        <v>46281</v>
      </c>
      <c r="F630" t="inlineStr">
        <is>
          <t>VÄSTERNORRLANDS LÄN</t>
        </is>
      </c>
      <c r="G630" t="inlineStr">
        <is>
          <t>HÄRNÖSAND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14494-2025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45741</v>
      </c>
      <c r="E631" s="1" t="n">
        <v>46281</v>
      </c>
      <c r="F631" t="inlineStr">
        <is>
          <t>VÄSTERNORRLANDS LÄN</t>
        </is>
      </c>
      <c r="G631" t="inlineStr">
        <is>
          <t>HÄRNÖSAND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8023-2023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44973</v>
      </c>
      <c r="E632" s="1" t="n">
        <v>46281</v>
      </c>
      <c r="F632" t="inlineStr">
        <is>
          <t>VÄSTERNORRLANDS LÄN</t>
        </is>
      </c>
      <c r="G632" t="inlineStr">
        <is>
          <t>HÄRNÖSAND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44459-2024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45574</v>
      </c>
      <c r="E633" s="1" t="n">
        <v>46281</v>
      </c>
      <c r="F633" t="inlineStr">
        <is>
          <t>VÄSTERNORRLANDS LÄN</t>
        </is>
      </c>
      <c r="G633" t="inlineStr">
        <is>
          <t>HÄRNÖSAND</t>
        </is>
      </c>
      <c r="I633" t="n">
        <v>9.5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14495-2025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45741</v>
      </c>
      <c r="E634" s="1" t="n">
        <v>46281</v>
      </c>
      <c r="F634" t="inlineStr">
        <is>
          <t>VÄSTERNORRLANDS LÄN</t>
        </is>
      </c>
      <c r="G634" t="inlineStr">
        <is>
          <t>HÄRNÖSAND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36960-2025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45874</v>
      </c>
      <c r="E635" s="1" t="n">
        <v>46281</v>
      </c>
      <c r="F635" t="inlineStr">
        <is>
          <t>VÄSTERNORRLANDS LÄN</t>
        </is>
      </c>
      <c r="G635" t="inlineStr">
        <is>
          <t>HÄRNÖSAND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36993-2025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45874</v>
      </c>
      <c r="E636" s="1" t="n">
        <v>46281</v>
      </c>
      <c r="F636" t="inlineStr">
        <is>
          <t>VÄSTERNORRLANDS LÄN</t>
        </is>
      </c>
      <c r="G636" t="inlineStr">
        <is>
          <t>HÄRNÖSAND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36958-2025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45874</v>
      </c>
      <c r="E637" s="1" t="n">
        <v>46281</v>
      </c>
      <c r="F637" t="inlineStr">
        <is>
          <t>VÄSTERNORRLANDS LÄN</t>
        </is>
      </c>
      <c r="G637" t="inlineStr">
        <is>
          <t>HÄRNÖSAND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36959-2025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45874</v>
      </c>
      <c r="E638" s="1" t="n">
        <v>46281</v>
      </c>
      <c r="F638" t="inlineStr">
        <is>
          <t>VÄSTERNORRLANDS LÄN</t>
        </is>
      </c>
      <c r="G638" t="inlineStr">
        <is>
          <t>HÄRNÖSAND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4299-2021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44393</v>
      </c>
      <c r="E639" s="1" t="n">
        <v>46281</v>
      </c>
      <c r="F639" t="inlineStr">
        <is>
          <t>VÄSTERNORRLANDS LÄN</t>
        </is>
      </c>
      <c r="G639" t="inlineStr">
        <is>
          <t>HÄRNÖSAND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382-2024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45323</v>
      </c>
      <c r="E640" s="1" t="n">
        <v>46281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10.6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831-2025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45733</v>
      </c>
      <c r="E641" s="1" t="n">
        <v>46281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113.3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1148-2025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45755</v>
      </c>
      <c r="E642" s="1" t="n">
        <v>46281</v>
      </c>
      <c r="F642" t="inlineStr">
        <is>
          <t>VÄSTERNORRLANDS LÄN</t>
        </is>
      </c>
      <c r="G642" t="inlineStr">
        <is>
          <t>HÄRNÖSAND</t>
        </is>
      </c>
      <c r="I642" t="n">
        <v>10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1559-2025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45793</v>
      </c>
      <c r="E643" s="1" t="n">
        <v>46281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525-2026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46078</v>
      </c>
      <c r="E644" s="1" t="n">
        <v>46281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484-2026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46073</v>
      </c>
      <c r="E645" s="1" t="n">
        <v>46281</v>
      </c>
      <c r="F645" t="inlineStr">
        <is>
          <t>VÄSTERNORRLANDS LÄN</t>
        </is>
      </c>
      <c r="G645" t="inlineStr">
        <is>
          <t>HÄRNÖSAND</t>
        </is>
      </c>
      <c r="I645" t="n">
        <v>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723-2026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46093</v>
      </c>
      <c r="E646" s="1" t="n">
        <v>46281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1428-2026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46156</v>
      </c>
      <c r="E647" s="1" t="n">
        <v>46281</v>
      </c>
      <c r="F647" t="inlineStr">
        <is>
          <t>VÄSTERNORRLANDS LÄN</t>
        </is>
      </c>
      <c r="G647" t="inlineStr">
        <is>
          <t>HÄRNÖSAND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2294-2026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46267</v>
      </c>
      <c r="E648" s="1" t="n">
        <v>46281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2026-09-16T02:03:11Z</dcterms:created>
  <dcterms:modified xmlns:dcterms="http://purl.org/dc/terms/" xmlns:xsi="http://www.w3.org/2001/XMLSchema-instance" xsi:type="dcterms:W3CDTF">2026-09-16T02:03:11Z</dcterms:modified>
</cp:coreProperties>
</file>