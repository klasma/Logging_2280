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46317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46317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46317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66</v>
      </c>
      <c r="U4" t="n">
        <v>52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46317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46317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46317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46317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46317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46317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46317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46317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46317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46317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46317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46317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46317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46317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46317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46317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46317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46317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46317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46317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46317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46317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46317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46317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46317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46317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46317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46317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46317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46317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46317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46317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46317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46317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61936-2025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46003</v>
      </c>
      <c r="E44" s="1" t="n">
        <v>46317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5.1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4</v>
      </c>
      <c r="U44" t="n">
        <v>0</v>
      </c>
      <c r="V44" s="2" t="inlineStr">
        <is>
          <t>Gammelgransskål
Rynkskinn
Tretåig hackspett</t>
        </is>
      </c>
      <c r="W44">
        <f>HYPERLINK("https://klasma.github.io/Logging_2280/artfynd/A 61936-2025 artfynd.xlsx", "A 61936-2025")</f>
        <v/>
      </c>
      <c r="X44">
        <f>HYPERLINK("https://klasma.github.io/Logging_2280/kartor/A 61936-2025 karta.png", "A 61936-2025")</f>
        <v/>
      </c>
      <c r="Y44">
        <f>HYPERLINK("https://klasma.github.io/Logging_2280/kartor_geotiff/A 61936-2025 georefererad karta.tif", "A 61936-2025")</f>
        <v/>
      </c>
      <c r="AA44">
        <f>HYPERLINK("https://klasma.github.io/Logging_2280/klagomål/A 61936-2025 FSC-klagomål.docx", "A 61936-2025")</f>
        <v/>
      </c>
      <c r="AB44">
        <f>HYPERLINK("https://klasma.github.io/Logging_2280/klagomålsmail/A 61936-2025 FSC-klagomål mail.docx", "A 61936-2025")</f>
        <v/>
      </c>
      <c r="AC44">
        <f>HYPERLINK("https://klasma.github.io/Logging_2280/tillsyn/A 61936-2025 tillsynsbegäran.docx", "A 61936-2025")</f>
        <v/>
      </c>
      <c r="AD44">
        <f>HYPERLINK("https://klasma.github.io/Logging_2280/tillsynsmail/A 61936-2025 tillsynsbegäran mail.docx", "A 61936-2025")</f>
        <v/>
      </c>
      <c r="AE44">
        <f>HYPERLINK("https://klasma.github.io/Logging_2280/fåglar/A 61936-2025 prioriterade fågelarter.docx", "A 61936-2025")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46317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46317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46317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46317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46317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46317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46317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46317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46317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46317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46317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46317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46317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46317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46317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46317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34545-2025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45847</v>
      </c>
      <c r="E61" s="1" t="n">
        <v>46317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Kyrkan</t>
        </is>
      </c>
      <c r="I61" t="n">
        <v>9.699999999999999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Tretåig hackspett
Korallblylav</t>
        </is>
      </c>
      <c r="W61">
        <f>HYPERLINK("https://klasma.github.io/Logging_2280/artfynd/A 34545-2025 artfynd.xlsx", "A 34545-2025")</f>
        <v/>
      </c>
      <c r="X61">
        <f>HYPERLINK("https://klasma.github.io/Logging_2280/kartor/A 34545-2025 karta.png", "A 34545-2025")</f>
        <v/>
      </c>
      <c r="Y61">
        <f>HYPERLINK("https://klasma.github.io/Logging_2280/kartor_geotiff/A 34545-2025 georefererad karta.tif", "A 34545-2025")</f>
        <v/>
      </c>
      <c r="AA61">
        <f>HYPERLINK("https://klasma.github.io/Logging_2280/klagomål/A 34545-2025 FSC-klagomål.docx", "A 34545-2025")</f>
        <v/>
      </c>
      <c r="AB61">
        <f>HYPERLINK("https://klasma.github.io/Logging_2280/klagomålsmail/A 34545-2025 FSC-klagomål mail.docx", "A 34545-2025")</f>
        <v/>
      </c>
      <c r="AC61">
        <f>HYPERLINK("https://klasma.github.io/Logging_2280/tillsyn/A 34545-2025 tillsynsbegäran.docx", "A 34545-2025")</f>
        <v/>
      </c>
      <c r="AD61">
        <f>HYPERLINK("https://klasma.github.io/Logging_2280/tillsynsmail/A 34545-2025 tillsynsbegäran mail.docx", "A 34545-2025")</f>
        <v/>
      </c>
      <c r="AE61">
        <f>HYPERLINK("https://klasma.github.io/Logging_2280/fåglar/A 34545-2025 prioriterade fågelarter.docx", "A 34545-2025")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46317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54894-2024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46317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Lunglav</t>
        </is>
      </c>
      <c r="W63">
        <f>HYPERLINK("https://klasma.github.io/Logging_2280/artfynd/A 54894-2024 artfynd.xlsx", "A 54894-2024")</f>
        <v/>
      </c>
      <c r="X63">
        <f>HYPERLINK("https://klasma.github.io/Logging_2280/kartor/A 54894-2024 karta.png", "A 54894-2024")</f>
        <v/>
      </c>
      <c r="Y63">
        <f>HYPERLINK("https://klasma.github.io/Logging_2280/kartor_geotiff/A 54894-2024 georefererad karta.tif", "A 54894-2024")</f>
        <v/>
      </c>
      <c r="AA63">
        <f>HYPERLINK("https://klasma.github.io/Logging_2280/klagomål/A 54894-2024 FSC-klagomål.docx", "A 54894-2024")</f>
        <v/>
      </c>
      <c r="AB63">
        <f>HYPERLINK("https://klasma.github.io/Logging_2280/klagomålsmail/A 54894-2024 FSC-klagomål mail.docx", "A 54894-2024")</f>
        <v/>
      </c>
      <c r="AC63">
        <f>HYPERLINK("https://klasma.github.io/Logging_2280/tillsyn/A 54894-2024 tillsynsbegäran.docx", "A 54894-2024")</f>
        <v/>
      </c>
      <c r="AD63">
        <f>HYPERLINK("https://klasma.github.io/Logging_2280/tillsynsmail/A 54894-2024 tillsynsbegäran mail.docx", "A 54894-2024")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46317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46317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46317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46317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46317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46317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46317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46317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26174-2025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46317</v>
      </c>
      <c r="F72" t="inlineStr">
        <is>
          <t>VÄSTERNORRLANDS LÄN</t>
        </is>
      </c>
      <c r="G72" t="inlineStr">
        <is>
          <t>HÄRNÖSAND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HYPERLINK("https://klasma.github.io/Logging_2280/artfynd/A 26174-2025 artfynd.xlsx", "A 26174-2025")</f>
        <v/>
      </c>
      <c r="X72">
        <f>HYPERLINK("https://klasma.github.io/Logging_2280/kartor/A 26174-2025 karta.png", "A 26174-2025")</f>
        <v/>
      </c>
      <c r="Y72">
        <f>HYPERLINK("https://klasma.github.io/Logging_2280/kartor_geotiff/A 26174-2025 georefererad karta.tif", "A 26174-2025")</f>
        <v/>
      </c>
      <c r="AA72">
        <f>HYPERLINK("https://klasma.github.io/Logging_2280/klagomål/A 26174-2025 FSC-klagomål.docx", "A 26174-2025")</f>
        <v/>
      </c>
      <c r="AB72">
        <f>HYPERLINK("https://klasma.github.io/Logging_2280/klagomålsmail/A 26174-2025 FSC-klagomål mail.docx", "A 26174-2025")</f>
        <v/>
      </c>
      <c r="AC72">
        <f>HYPERLINK("https://klasma.github.io/Logging_2280/tillsyn/A 26174-2025 tillsynsbegäran.docx", "A 26174-2025")</f>
        <v/>
      </c>
      <c r="AD72">
        <f>HYPERLINK("https://klasma.github.io/Logging_2280/tillsynsmail/A 26174-2025 tillsynsbegäran mail.docx", "A 26174-2025")</f>
        <v/>
      </c>
    </row>
    <row r="73" ht="15" customHeight="1">
      <c r="A73" t="inlineStr">
        <is>
          <t>A 26086-2025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46317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HYPERLINK("https://klasma.github.io/Logging_2280/artfynd/A 26086-2025 artfynd.xlsx", "A 26086-2025")</f>
        <v/>
      </c>
      <c r="X73">
        <f>HYPERLINK("https://klasma.github.io/Logging_2280/kartor/A 26086-2025 karta.png", "A 26086-2025")</f>
        <v/>
      </c>
      <c r="Y73">
        <f>HYPERLINK("https://klasma.github.io/Logging_2280/kartor_geotiff/A 26086-2025 georefererad karta.tif", "A 26086-2025")</f>
        <v/>
      </c>
      <c r="AA73">
        <f>HYPERLINK("https://klasma.github.io/Logging_2280/klagomål/A 26086-2025 FSC-klagomål.docx", "A 26086-2025")</f>
        <v/>
      </c>
      <c r="AB73">
        <f>HYPERLINK("https://klasma.github.io/Logging_2280/klagomålsmail/A 26086-2025 FSC-klagomål mail.docx", "A 26086-2025")</f>
        <v/>
      </c>
      <c r="AC73">
        <f>HYPERLINK("https://klasma.github.io/Logging_2280/tillsyn/A 26086-2025 tillsynsbegäran.docx", "A 26086-2025")</f>
        <v/>
      </c>
      <c r="AD73">
        <f>HYPERLINK("https://klasma.github.io/Logging_2280/tillsynsmail/A 26086-2025 tillsynsbegäran mail.docx", "A 26086-2025")</f>
        <v/>
      </c>
      <c r="AE73">
        <f>HYPERLINK("https://klasma.github.io/Logging_2280/fåglar/A 26086-2025 prioriterade fågelarter.docx", "A 26086-2025")</f>
        <v/>
      </c>
    </row>
    <row r="74" ht="15" customHeight="1">
      <c r="A74" t="inlineStr">
        <is>
          <t>A 26922-2025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46317</v>
      </c>
      <c r="F74" t="inlineStr">
        <is>
          <t>VÄSTERNORRLANDS LÄN</t>
        </is>
      </c>
      <c r="G74" t="inlineStr">
        <is>
          <t>HÄRNÖSAND</t>
        </is>
      </c>
      <c r="I74" t="n">
        <v>2.4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Barkticka</t>
        </is>
      </c>
      <c r="W74">
        <f>HYPERLINK("https://klasma.github.io/Logging_2280/artfynd/A 26922-2025 artfynd.xlsx", "A 26922-2025")</f>
        <v/>
      </c>
      <c r="X74">
        <f>HYPERLINK("https://klasma.github.io/Logging_2280/kartor/A 26922-2025 karta.png", "A 26922-2025")</f>
        <v/>
      </c>
      <c r="Y74">
        <f>HYPERLINK("https://klasma.github.io/Logging_2280/kartor_geotiff/A 26922-2025 georefererad karta.tif", "A 26922-2025")</f>
        <v/>
      </c>
      <c r="AA74">
        <f>HYPERLINK("https://klasma.github.io/Logging_2280/klagomål/A 26922-2025 FSC-klagomål.docx", "A 26922-2025")</f>
        <v/>
      </c>
      <c r="AB74">
        <f>HYPERLINK("https://klasma.github.io/Logging_2280/klagomålsmail/A 26922-2025 FSC-klagomål mail.docx", "A 26922-2025")</f>
        <v/>
      </c>
      <c r="AC74">
        <f>HYPERLINK("https://klasma.github.io/Logging_2280/tillsyn/A 26922-2025 tillsynsbegäran.docx", "A 26922-2025")</f>
        <v/>
      </c>
      <c r="AD74">
        <f>HYPERLINK("https://klasma.github.io/Logging_2280/tillsynsmail/A 26922-2025 tillsynsbegäran mail.docx", "A 26922-2025")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46317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46317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46707-2024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45583</v>
      </c>
      <c r="E77" s="1" t="n">
        <v>46317</v>
      </c>
      <c r="F77" t="inlineStr">
        <is>
          <t>VÄSTERNORRLANDS LÄN</t>
        </is>
      </c>
      <c r="G77" t="inlineStr">
        <is>
          <t>HÄRNÖSAND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Tretåig hackspett</t>
        </is>
      </c>
      <c r="W77">
        <f>HYPERLINK("https://klasma.github.io/Logging_2280/artfynd/A 46707-2024 artfynd.xlsx", "A 46707-2024")</f>
        <v/>
      </c>
      <c r="X77">
        <f>HYPERLINK("https://klasma.github.io/Logging_2280/kartor/A 46707-2024 karta.png", "A 46707-2024")</f>
        <v/>
      </c>
      <c r="Y77">
        <f>HYPERLINK("https://klasma.github.io/Logging_2280/kartor_geotiff/A 46707-2024 georefererad karta.tif", "A 46707-2024")</f>
        <v/>
      </c>
      <c r="AA77">
        <f>HYPERLINK("https://klasma.github.io/Logging_2280/klagomål/A 46707-2024 FSC-klagomål.docx", "A 46707-2024")</f>
        <v/>
      </c>
      <c r="AB77">
        <f>HYPERLINK("https://klasma.github.io/Logging_2280/klagomålsmail/A 46707-2024 FSC-klagomål mail.docx", "A 46707-2024")</f>
        <v/>
      </c>
      <c r="AC77">
        <f>HYPERLINK("https://klasma.github.io/Logging_2280/tillsyn/A 46707-2024 tillsynsbegäran.docx", "A 46707-2024")</f>
        <v/>
      </c>
      <c r="AD77">
        <f>HYPERLINK("https://klasma.github.io/Logging_2280/tillsynsmail/A 46707-2024 tillsynsbegäran mail.docx", "A 46707-2024")</f>
        <v/>
      </c>
      <c r="AE77">
        <f>HYPERLINK("https://klasma.github.io/Logging_2280/fåglar/A 46707-2024 prioriterade fågelarter.docx", "A 46707-2024")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46317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43541-2022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44837</v>
      </c>
      <c r="E79" s="1" t="n">
        <v>46317</v>
      </c>
      <c r="F79" t="inlineStr">
        <is>
          <t>VÄSTERNORRLANDS LÄN</t>
        </is>
      </c>
      <c r="G79" t="inlineStr">
        <is>
          <t>HÄRNÖSAND</t>
        </is>
      </c>
      <c r="I79" t="n">
        <v>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Sötgräs</t>
        </is>
      </c>
      <c r="W79">
        <f>HYPERLINK("https://klasma.github.io/Logging_2280/artfynd/A 43541-2022 artfynd.xlsx", "A 43541-2022")</f>
        <v/>
      </c>
      <c r="X79">
        <f>HYPERLINK("https://klasma.github.io/Logging_2280/kartor/A 43541-2022 karta.png", "A 43541-2022")</f>
        <v/>
      </c>
      <c r="Y79">
        <f>HYPERLINK("https://klasma.github.io/Logging_2280/kartor_geotiff/A 43541-2022 georefererad karta.tif", "A 43541-2022")</f>
        <v/>
      </c>
      <c r="AA79">
        <f>HYPERLINK("https://klasma.github.io/Logging_2280/klagomål/A 43541-2022 FSC-klagomål.docx", "A 43541-2022")</f>
        <v/>
      </c>
      <c r="AB79">
        <f>HYPERLINK("https://klasma.github.io/Logging_2280/klagomålsmail/A 43541-2022 FSC-klagomål mail.docx", "A 43541-2022")</f>
        <v/>
      </c>
      <c r="AC79">
        <f>HYPERLINK("https://klasma.github.io/Logging_2280/tillsyn/A 43541-2022 tillsynsbegäran.docx", "A 43541-2022")</f>
        <v/>
      </c>
      <c r="AD79">
        <f>HYPERLINK("https://klasma.github.io/Logging_2280/tillsynsmail/A 43541-2022 tillsynsbegäran mail.docx", "A 43541-2022")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46317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18583-2026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46317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Violettgrå tagellav</t>
        </is>
      </c>
      <c r="W81">
        <f>HYPERLINK("https://klasma.github.io/Logging_2280/artfynd/A 18583-2026 artfynd.xlsx", "A 18583-2026")</f>
        <v/>
      </c>
      <c r="X81">
        <f>HYPERLINK("https://klasma.github.io/Logging_2280/kartor/A 18583-2026 karta.png", "A 18583-2026")</f>
        <v/>
      </c>
      <c r="Y81">
        <f>HYPERLINK("https://klasma.github.io/Logging_2280/kartor_geotiff/A 18583-2026 georefererad karta.tif", "A 18583-2026")</f>
        <v/>
      </c>
      <c r="AA81">
        <f>HYPERLINK("https://klasma.github.io/Logging_2280/klagomål/A 18583-2026 FSC-klagomål.docx", "A 18583-2026")</f>
        <v/>
      </c>
      <c r="AB81">
        <f>HYPERLINK("https://klasma.github.io/Logging_2280/klagomålsmail/A 18583-2026 FSC-klagomål mail.docx", "A 18583-2026")</f>
        <v/>
      </c>
      <c r="AC81">
        <f>HYPERLINK("https://klasma.github.io/Logging_2280/tillsyn/A 18583-2026 tillsynsbegäran.docx", "A 18583-2026")</f>
        <v/>
      </c>
      <c r="AD81">
        <f>HYPERLINK("https://klasma.github.io/Logging_2280/tillsynsmail/A 18583-2026 tillsynsbegäran mail.docx", "A 18583-2026")</f>
        <v/>
      </c>
    </row>
    <row r="82" ht="15" customHeight="1">
      <c r="A82" t="inlineStr">
        <is>
          <t>A 74325-2021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46317</v>
      </c>
      <c r="F82" t="inlineStr">
        <is>
          <t>VÄSTERNORRLANDS LÄN</t>
        </is>
      </c>
      <c r="G82" t="inlineStr">
        <is>
          <t>HÄRNÖSAND</t>
        </is>
      </c>
      <c r="I82" t="n">
        <v>4.6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Skogshare</t>
        </is>
      </c>
      <c r="W82">
        <f>HYPERLINK("https://klasma.github.io/Logging_2280/artfynd/A 74325-2021 artfynd.xlsx", "A 74325-2021")</f>
        <v/>
      </c>
      <c r="X82">
        <f>HYPERLINK("https://klasma.github.io/Logging_2280/kartor/A 74325-2021 karta.png", "A 74325-2021")</f>
        <v/>
      </c>
      <c r="Y82">
        <f>HYPERLINK("https://klasma.github.io/Logging_2280/kartor_geotiff/A 74325-2021 georefererad karta.tif", "A 74325-2021")</f>
        <v/>
      </c>
      <c r="AA82">
        <f>HYPERLINK("https://klasma.github.io/Logging_2280/klagomål/A 74325-2021 FSC-klagomål.docx", "A 74325-2021")</f>
        <v/>
      </c>
      <c r="AB82">
        <f>HYPERLINK("https://klasma.github.io/Logging_2280/klagomålsmail/A 74325-2021 FSC-klagomål mail.docx", "A 74325-2021")</f>
        <v/>
      </c>
      <c r="AC82">
        <f>HYPERLINK("https://klasma.github.io/Logging_2280/tillsyn/A 74325-2021 tillsynsbegäran.docx", "A 74325-2021")</f>
        <v/>
      </c>
      <c r="AD82">
        <f>HYPERLINK("https://klasma.github.io/Logging_2280/tillsynsmail/A 74325-2021 tillsynsbegäran mail.docx", "A 74325-2021")</f>
        <v/>
      </c>
    </row>
    <row r="83" ht="15" customHeight="1">
      <c r="A83" t="inlineStr">
        <is>
          <t>A 63724-2023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45276</v>
      </c>
      <c r="E83" s="1" t="n">
        <v>46317</v>
      </c>
      <c r="F83" t="inlineStr">
        <is>
          <t>VÄSTERNORRLANDS LÄN</t>
        </is>
      </c>
      <c r="G83" t="inlineStr">
        <is>
          <t>HÄRNÖSAND</t>
        </is>
      </c>
      <c r="I83" t="n">
        <v>10.1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Älg</t>
        </is>
      </c>
      <c r="W83">
        <f>HYPERLINK("https://klasma.github.io/Logging_2280/artfynd/A 63724-2023 artfynd.xlsx", "A 63724-2023")</f>
        <v/>
      </c>
      <c r="X83">
        <f>HYPERLINK("https://klasma.github.io/Logging_2280/kartor/A 63724-2023 karta.png", "A 63724-2023")</f>
        <v/>
      </c>
      <c r="Y83">
        <f>HYPERLINK("https://klasma.github.io/Logging_2280/kartor_geotiff/A 63724-2023 georefererad karta.tif", "A 63724-2023")</f>
        <v/>
      </c>
      <c r="AA83">
        <f>HYPERLINK("https://klasma.github.io/Logging_2280/klagomål/A 63724-2023 FSC-klagomål.docx", "A 63724-2023")</f>
        <v/>
      </c>
      <c r="AB83">
        <f>HYPERLINK("https://klasma.github.io/Logging_2280/klagomålsmail/A 63724-2023 FSC-klagomål mail.docx", "A 63724-2023")</f>
        <v/>
      </c>
      <c r="AC83">
        <f>HYPERLINK("https://klasma.github.io/Logging_2280/tillsyn/A 63724-2023 tillsynsbegäran.docx", "A 63724-2023")</f>
        <v/>
      </c>
      <c r="AD83">
        <f>HYPERLINK("https://klasma.github.io/Logging_2280/tillsynsmail/A 63724-2023 tillsynsbegäran mail.docx", "A 63724-2023")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46317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7853-2024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46317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4.1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Igelkott</t>
        </is>
      </c>
      <c r="W85">
        <f>HYPERLINK("https://klasma.github.io/Logging_2280/artfynd/A 7853-2024 artfynd.xlsx", "A 7853-2024")</f>
        <v/>
      </c>
      <c r="X85">
        <f>HYPERLINK("https://klasma.github.io/Logging_2280/kartor/A 7853-2024 karta.png", "A 7853-2024")</f>
        <v/>
      </c>
      <c r="Y85">
        <f>HYPERLINK("https://klasma.github.io/Logging_2280/kartor_geotiff/A 7853-2024 georefererad karta.tif", "A 7853-2024")</f>
        <v/>
      </c>
      <c r="AA85">
        <f>HYPERLINK("https://klasma.github.io/Logging_2280/klagomål/A 7853-2024 FSC-klagomål.docx", "A 7853-2024")</f>
        <v/>
      </c>
      <c r="AB85">
        <f>HYPERLINK("https://klasma.github.io/Logging_2280/klagomålsmail/A 7853-2024 FSC-klagomål mail.docx", "A 7853-2024")</f>
        <v/>
      </c>
      <c r="AC85">
        <f>HYPERLINK("https://klasma.github.io/Logging_2280/tillsyn/A 7853-2024 tillsynsbegäran.docx", "A 7853-2024")</f>
        <v/>
      </c>
      <c r="AD85">
        <f>HYPERLINK("https://klasma.github.io/Logging_2280/tillsynsmail/A 7853-2024 tillsynsbegäran mail.docx", "A 7853-2024")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46317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46317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46317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24202-2024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46317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HYPERLINK("https://klasma.github.io/Logging_2280/artfynd/A 24202-2024 artfynd.xlsx", "A 24202-2024")</f>
        <v/>
      </c>
      <c r="X89">
        <f>HYPERLINK("https://klasma.github.io/Logging_2280/kartor/A 24202-2024 karta.png", "A 24202-2024")</f>
        <v/>
      </c>
      <c r="Y89">
        <f>HYPERLINK("https://klasma.github.io/Logging_2280/kartor_geotiff/A 24202-2024 georefererad karta.tif", "A 24202-2024")</f>
        <v/>
      </c>
      <c r="AA89">
        <f>HYPERLINK("https://klasma.github.io/Logging_2280/klagomål/A 24202-2024 FSC-klagomål.docx", "A 24202-2024")</f>
        <v/>
      </c>
      <c r="AB89">
        <f>HYPERLINK("https://klasma.github.io/Logging_2280/klagomålsmail/A 24202-2024 FSC-klagomål mail.docx", "A 24202-2024")</f>
        <v/>
      </c>
      <c r="AC89">
        <f>HYPERLINK("https://klasma.github.io/Logging_2280/tillsyn/A 24202-2024 tillsynsbegäran.docx", "A 24202-2024")</f>
        <v/>
      </c>
      <c r="AD89">
        <f>HYPERLINK("https://klasma.github.io/Logging_2280/tillsynsmail/A 24202-2024 tillsynsbegäran mail.docx", "A 24202-2024")</f>
        <v/>
      </c>
    </row>
    <row r="90" ht="15" customHeight="1">
      <c r="A90" t="inlineStr">
        <is>
          <t>A 30907-2026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46213</v>
      </c>
      <c r="E90" s="1" t="n">
        <v>46317</v>
      </c>
      <c r="F90" t="inlineStr">
        <is>
          <t>VÄSTERNORRLANDS LÄN</t>
        </is>
      </c>
      <c r="G90" t="inlineStr">
        <is>
          <t>HÄRNÖSAND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HYPERLINK("https://klasma.github.io/Logging_2280/artfynd/A 30907-2026 artfynd.xlsx", "A 30907-2026")</f>
        <v/>
      </c>
      <c r="X90">
        <f>HYPERLINK("https://klasma.github.io/Logging_2280/kartor/A 30907-2026 karta.png", "A 30907-2026")</f>
        <v/>
      </c>
      <c r="Y90">
        <f>HYPERLINK("https://klasma.github.io/Logging_2280/kartor_geotiff/A 30907-2026 georefererad karta.tif", "A 30907-2026")</f>
        <v/>
      </c>
      <c r="AA90">
        <f>HYPERLINK("https://klasma.github.io/Logging_2280/klagomål/A 30907-2026 FSC-klagomål.docx", "A 30907-2026")</f>
        <v/>
      </c>
      <c r="AB90">
        <f>HYPERLINK("https://klasma.github.io/Logging_2280/klagomålsmail/A 30907-2026 FSC-klagomål mail.docx", "A 30907-2026")</f>
        <v/>
      </c>
      <c r="AC90">
        <f>HYPERLINK("https://klasma.github.io/Logging_2280/tillsyn/A 30907-2026 tillsynsbegäran.docx", "A 30907-2026")</f>
        <v/>
      </c>
      <c r="AD90">
        <f>HYPERLINK("https://klasma.github.io/Logging_2280/tillsynsmail/A 30907-2026 tillsynsbegäran mail.docx", "A 30907-2026")</f>
        <v/>
      </c>
      <c r="AE90">
        <f>HYPERLINK("https://klasma.github.io/Logging_2280/fåglar/A 30907-2026 prioriterade fågelarter.docx", "A 30907-2026")</f>
        <v/>
      </c>
    </row>
    <row r="91" ht="15" customHeight="1">
      <c r="A91" t="inlineStr">
        <is>
          <t>A 40265-2024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46317</v>
      </c>
      <c r="F91" t="inlineStr">
        <is>
          <t>VÄSTERNORRLANDS LÄN</t>
        </is>
      </c>
      <c r="G91" t="inlineStr">
        <is>
          <t>HÄRNÖSAND</t>
        </is>
      </c>
      <c r="I91" t="n">
        <v>4.9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Stor aspticka</t>
        </is>
      </c>
      <c r="W91">
        <f>HYPERLINK("https://klasma.github.io/Logging_2280/artfynd/A 40265-2024 artfynd.xlsx", "A 40265-2024")</f>
        <v/>
      </c>
      <c r="X91">
        <f>HYPERLINK("https://klasma.github.io/Logging_2280/kartor/A 40265-2024 karta.png", "A 40265-2024")</f>
        <v/>
      </c>
      <c r="Y91">
        <f>HYPERLINK("https://klasma.github.io/Logging_2280/kartor_geotiff/A 40265-2024 georefererad karta.tif", "A 40265-2024")</f>
        <v/>
      </c>
      <c r="AA91">
        <f>HYPERLINK("https://klasma.github.io/Logging_2280/klagomål/A 40265-2024 FSC-klagomål.docx", "A 40265-2024")</f>
        <v/>
      </c>
      <c r="AB91">
        <f>HYPERLINK("https://klasma.github.io/Logging_2280/klagomålsmail/A 40265-2024 FSC-klagomål mail.docx", "A 40265-2024")</f>
        <v/>
      </c>
      <c r="AC91">
        <f>HYPERLINK("https://klasma.github.io/Logging_2280/tillsyn/A 40265-2024 tillsynsbegäran.docx", "A 40265-2024")</f>
        <v/>
      </c>
      <c r="AD91">
        <f>HYPERLINK("https://klasma.github.io/Logging_2280/tillsynsmail/A 40265-2024 tillsynsbegäran mail.docx", "A 40265-2024")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46317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46317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46317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46317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46317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46317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46317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46317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46317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46317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46317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46317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46317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46317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46317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46317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46317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44664</v>
      </c>
      <c r="E109" s="1" t="n">
        <v>46317</v>
      </c>
      <c r="F109" t="inlineStr">
        <is>
          <t>VÄSTERNORRLANDS LÄN</t>
        </is>
      </c>
      <c r="G109" t="inlineStr">
        <is>
          <t>HÄRNÖSAND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36649-2022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44804</v>
      </c>
      <c r="E110" s="1" t="n">
        <v>46317</v>
      </c>
      <c r="F110" t="inlineStr">
        <is>
          <t>VÄSTERNORRLANDS LÄN</t>
        </is>
      </c>
      <c r="G110" t="inlineStr">
        <is>
          <t>HÄRNÖSAND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44512</v>
      </c>
      <c r="E111" s="1" t="n">
        <v>46317</v>
      </c>
      <c r="F111" t="inlineStr">
        <is>
          <t>VÄSTERNORRLANDS LÄN</t>
        </is>
      </c>
      <c r="G111" t="inlineStr">
        <is>
          <t>HÄRNÖSAND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46317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46317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44581</v>
      </c>
      <c r="E114" s="1" t="n">
        <v>46317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44848</v>
      </c>
      <c r="E115" s="1" t="n">
        <v>46317</v>
      </c>
      <c r="F115" t="inlineStr">
        <is>
          <t>VÄSTERNORRLANDS LÄN</t>
        </is>
      </c>
      <c r="G115" t="inlineStr">
        <is>
          <t>HÄRNÖSAND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16616-2022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44672</v>
      </c>
      <c r="E116" s="1" t="n">
        <v>46317</v>
      </c>
      <c r="F116" t="inlineStr">
        <is>
          <t>VÄSTERNORRLANDS LÄN</t>
        </is>
      </c>
      <c r="G116" t="inlineStr">
        <is>
          <t>HÄRNÖSAND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46317</v>
      </c>
      <c r="F117" t="inlineStr">
        <is>
          <t>VÄSTERNORRLANDS LÄN</t>
        </is>
      </c>
      <c r="G117" t="inlineStr">
        <is>
          <t>HÄRNÖSAND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46317</v>
      </c>
      <c r="F118" t="inlineStr">
        <is>
          <t>VÄSTERNORRLANDS LÄN</t>
        </is>
      </c>
      <c r="G118" t="inlineStr">
        <is>
          <t>HÄRNÖSAND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46317</v>
      </c>
      <c r="F119" t="inlineStr">
        <is>
          <t>VÄSTERNORRLANDS LÄN</t>
        </is>
      </c>
      <c r="G119" t="inlineStr">
        <is>
          <t>HÄRNÖSAND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46317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60935-2021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46317</v>
      </c>
      <c r="F121" t="inlineStr">
        <is>
          <t>VÄSTERNORRLANDS LÄN</t>
        </is>
      </c>
      <c r="G121" t="inlineStr">
        <is>
          <t>HÄRNÖSAND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70563-2021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44532</v>
      </c>
      <c r="E122" s="1" t="n">
        <v>46317</v>
      </c>
      <c r="F122" t="inlineStr">
        <is>
          <t>VÄSTERNORRLANDS LÄN</t>
        </is>
      </c>
      <c r="G122" t="inlineStr">
        <is>
          <t>HÄRNÖSAND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46317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46317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46317</v>
      </c>
      <c r="F125" t="inlineStr">
        <is>
          <t>VÄSTERNORRLANDS LÄN</t>
        </is>
      </c>
      <c r="G125" t="inlineStr">
        <is>
          <t>HÄRNÖSAND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46317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67078-2021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46317</v>
      </c>
      <c r="F127" t="inlineStr">
        <is>
          <t>VÄSTERNORRLANDS LÄN</t>
        </is>
      </c>
      <c r="G127" t="inlineStr">
        <is>
          <t>HÄRNÖSAND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44585</v>
      </c>
      <c r="E128" s="1" t="n">
        <v>46317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29429-2024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45483</v>
      </c>
      <c r="E129" s="1" t="n">
        <v>46317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18885-2023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45044</v>
      </c>
      <c r="E130" s="1" t="n">
        <v>46317</v>
      </c>
      <c r="F130" t="inlineStr">
        <is>
          <t>VÄSTERNORRLANDS LÄN</t>
        </is>
      </c>
      <c r="G130" t="inlineStr">
        <is>
          <t>HÄRNÖSAND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46317</v>
      </c>
      <c r="F131" t="inlineStr">
        <is>
          <t>VÄSTERNORRLANDS LÄN</t>
        </is>
      </c>
      <c r="G131" t="inlineStr">
        <is>
          <t>HÄRNÖSAND</t>
        </is>
      </c>
      <c r="H131" t="inlineStr">
        <is>
          <t>SCA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46317</v>
      </c>
      <c r="F132" t="inlineStr">
        <is>
          <t>VÄSTERNORRLANDS LÄN</t>
        </is>
      </c>
      <c r="G132" t="inlineStr">
        <is>
          <t>HÄRNÖSAND</t>
        </is>
      </c>
      <c r="H132" t="inlineStr">
        <is>
          <t>SCA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46317</v>
      </c>
      <c r="F133" t="inlineStr">
        <is>
          <t>VÄSTERNORRLANDS LÄN</t>
        </is>
      </c>
      <c r="G133" t="inlineStr">
        <is>
          <t>HÄRNÖSAND</t>
        </is>
      </c>
      <c r="H133" t="inlineStr">
        <is>
          <t>SCA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45409</v>
      </c>
      <c r="E134" s="1" t="n">
        <v>46317</v>
      </c>
      <c r="F134" t="inlineStr">
        <is>
          <t>VÄSTERNORRLANDS LÄN</t>
        </is>
      </c>
      <c r="G134" t="inlineStr">
        <is>
          <t>HÄRNÖSAND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44806</v>
      </c>
      <c r="E135" s="1" t="n">
        <v>46317</v>
      </c>
      <c r="F135" t="inlineStr">
        <is>
          <t>VÄSTERNORRLANDS LÄN</t>
        </is>
      </c>
      <c r="G135" t="inlineStr">
        <is>
          <t>HÄRNÖSAND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44806</v>
      </c>
      <c r="E136" s="1" t="n">
        <v>46317</v>
      </c>
      <c r="F136" t="inlineStr">
        <is>
          <t>VÄSTERNORRLANDS LÄN</t>
        </is>
      </c>
      <c r="G136" t="inlineStr">
        <is>
          <t>HÄRNÖSAND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46317</v>
      </c>
      <c r="F137" t="inlineStr">
        <is>
          <t>VÄSTERNORRLANDS LÄN</t>
        </is>
      </c>
      <c r="G137" t="inlineStr">
        <is>
          <t>HÄRNÖSAND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46317</v>
      </c>
      <c r="F138" t="inlineStr">
        <is>
          <t>VÄSTERNORRLANDS LÄN</t>
        </is>
      </c>
      <c r="G138" t="inlineStr">
        <is>
          <t>HÄRNÖSAND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23290-2025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45791</v>
      </c>
      <c r="E139" s="1" t="n">
        <v>46317</v>
      </c>
      <c r="F139" t="inlineStr">
        <is>
          <t>VÄSTERNORRLANDS LÄN</t>
        </is>
      </c>
      <c r="G139" t="inlineStr">
        <is>
          <t>HÄRNÖSAND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46317</v>
      </c>
      <c r="F140" t="inlineStr">
        <is>
          <t>VÄSTERNORRLANDS LÄN</t>
        </is>
      </c>
      <c r="G140" t="inlineStr">
        <is>
          <t>HÄRNÖSAND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46317</v>
      </c>
      <c r="F141" t="inlineStr">
        <is>
          <t>VÄSTERNORRLANDS LÄN</t>
        </is>
      </c>
      <c r="G141" t="inlineStr">
        <is>
          <t>HÄRNÖSAND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45433</v>
      </c>
      <c r="E142" s="1" t="n">
        <v>46317</v>
      </c>
      <c r="F142" t="inlineStr">
        <is>
          <t>VÄSTERNORRLANDS LÄN</t>
        </is>
      </c>
      <c r="G142" t="inlineStr">
        <is>
          <t>HÄRNÖSAND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8475-2024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45351</v>
      </c>
      <c r="E143" s="1" t="n">
        <v>46317</v>
      </c>
      <c r="F143" t="inlineStr">
        <is>
          <t>VÄSTERNORRLANDS LÄN</t>
        </is>
      </c>
      <c r="G143" t="inlineStr">
        <is>
          <t>HÄRNÖSAND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46317</v>
      </c>
      <c r="F144" t="inlineStr">
        <is>
          <t>VÄSTERNORRLANDS LÄN</t>
        </is>
      </c>
      <c r="G144" t="inlineStr">
        <is>
          <t>HÄRNÖSAND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46317</v>
      </c>
      <c r="F145" t="inlineStr">
        <is>
          <t>VÄSTERNORRLANDS LÄN</t>
        </is>
      </c>
      <c r="G145" t="inlineStr">
        <is>
          <t>HÄRNÖSAND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45489</v>
      </c>
      <c r="E146" s="1" t="n">
        <v>46317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44571</v>
      </c>
      <c r="E147" s="1" t="n">
        <v>46317</v>
      </c>
      <c r="F147" t="inlineStr">
        <is>
          <t>VÄSTERNORRLANDS LÄN</t>
        </is>
      </c>
      <c r="G147" t="inlineStr">
        <is>
          <t>HÄRNÖSAND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45579</v>
      </c>
      <c r="E148" s="1" t="n">
        <v>46317</v>
      </c>
      <c r="F148" t="inlineStr">
        <is>
          <t>VÄSTERNORRLANDS LÄN</t>
        </is>
      </c>
      <c r="G148" t="inlineStr">
        <is>
          <t>HÄRNÖSAND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45462</v>
      </c>
      <c r="E149" s="1" t="n">
        <v>46317</v>
      </c>
      <c r="F149" t="inlineStr">
        <is>
          <t>VÄSTERNORRLANDS LÄN</t>
        </is>
      </c>
      <c r="G149" t="inlineStr">
        <is>
          <t>HÄRNÖSAND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45793</v>
      </c>
      <c r="E150" s="1" t="n">
        <v>46317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46317</v>
      </c>
      <c r="F151" t="inlineStr">
        <is>
          <t>VÄSTERNORRLANDS LÄN</t>
        </is>
      </c>
      <c r="G151" t="inlineStr">
        <is>
          <t>HÄRNÖSAND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46317</v>
      </c>
      <c r="F152" t="inlineStr">
        <is>
          <t>VÄSTERNORRLANDS LÄN</t>
        </is>
      </c>
      <c r="G152" t="inlineStr">
        <is>
          <t>HÄRNÖSAND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45139</v>
      </c>
      <c r="E153" s="1" t="n">
        <v>46317</v>
      </c>
      <c r="F153" t="inlineStr">
        <is>
          <t>VÄSTERNORRLANDS LÄN</t>
        </is>
      </c>
      <c r="G153" t="inlineStr">
        <is>
          <t>HÄRNÖSAND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46317</v>
      </c>
      <c r="F154" t="inlineStr">
        <is>
          <t>VÄSTERNORRLANDS LÄN</t>
        </is>
      </c>
      <c r="G154" t="inlineStr">
        <is>
          <t>HÄRNÖSAND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46317</v>
      </c>
      <c r="F155" t="inlineStr">
        <is>
          <t>VÄSTERNORRLANDS LÄN</t>
        </is>
      </c>
      <c r="G155" t="inlineStr">
        <is>
          <t>HÄRNÖSAND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45273</v>
      </c>
      <c r="E156" s="1" t="n">
        <v>46317</v>
      </c>
      <c r="F156" t="inlineStr">
        <is>
          <t>VÄSTERNORRLANDS LÄN</t>
        </is>
      </c>
      <c r="G156" t="inlineStr">
        <is>
          <t>HÄRNÖSAND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46317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46317</v>
      </c>
      <c r="F158" t="inlineStr">
        <is>
          <t>VÄSTERNORRLANDS LÄN</t>
        </is>
      </c>
      <c r="G158" t="inlineStr">
        <is>
          <t>HÄRNÖSAND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45761</v>
      </c>
      <c r="E159" s="1" t="n">
        <v>46317</v>
      </c>
      <c r="F159" t="inlineStr">
        <is>
          <t>VÄSTERNORRLANDS LÄN</t>
        </is>
      </c>
      <c r="G159" t="inlineStr">
        <is>
          <t>HÄRNÖSAND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46317</v>
      </c>
      <c r="F160" t="inlineStr">
        <is>
          <t>VÄSTERNORRLANDS LÄN</t>
        </is>
      </c>
      <c r="G160" t="inlineStr">
        <is>
          <t>HÄRNÖSAND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46317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46317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46317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46317</v>
      </c>
      <c r="F164" t="inlineStr">
        <is>
          <t>VÄSTERNORRLANDS LÄN</t>
        </is>
      </c>
      <c r="G164" t="inlineStr">
        <is>
          <t>HÄRNÖSAND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46317</v>
      </c>
      <c r="F165" t="inlineStr">
        <is>
          <t>VÄSTERNORRLANDS LÄN</t>
        </is>
      </c>
      <c r="G165" t="inlineStr">
        <is>
          <t>HÄRNÖSAND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46317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46317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46317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50338-2022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44865</v>
      </c>
      <c r="E169" s="1" t="n">
        <v>46317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46317</v>
      </c>
      <c r="F170" t="inlineStr">
        <is>
          <t>VÄSTERNORRLANDS LÄN</t>
        </is>
      </c>
      <c r="G170" t="inlineStr">
        <is>
          <t>HÄRNÖSAND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46317</v>
      </c>
      <c r="F171" t="inlineStr">
        <is>
          <t>VÄSTERNORRLANDS LÄN</t>
        </is>
      </c>
      <c r="G171" t="inlineStr">
        <is>
          <t>HÄRNÖSAND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46024</v>
      </c>
      <c r="E172" s="1" t="n">
        <v>46317</v>
      </c>
      <c r="F172" t="inlineStr">
        <is>
          <t>VÄSTERNORRLANDS LÄN</t>
        </is>
      </c>
      <c r="G172" t="inlineStr">
        <is>
          <t>HÄRNÖSAND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46317</v>
      </c>
      <c r="F173" t="inlineStr">
        <is>
          <t>VÄSTERNORRLANDS LÄN</t>
        </is>
      </c>
      <c r="G173" t="inlineStr">
        <is>
          <t>HÄRNÖSAND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46317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46023</v>
      </c>
      <c r="E175" s="1" t="n">
        <v>46317</v>
      </c>
      <c r="F175" t="inlineStr">
        <is>
          <t>VÄSTERNORRLANDS LÄN</t>
        </is>
      </c>
      <c r="G175" t="inlineStr">
        <is>
          <t>HÄRNÖSAND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46024</v>
      </c>
      <c r="E176" s="1" t="n">
        <v>46317</v>
      </c>
      <c r="F176" t="inlineStr">
        <is>
          <t>VÄSTERNORRLANDS LÄN</t>
        </is>
      </c>
      <c r="G176" t="inlineStr">
        <is>
          <t>HÄRNÖSAND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46317</v>
      </c>
      <c r="F177" t="inlineStr">
        <is>
          <t>VÄSTERNORRLANDS LÄN</t>
        </is>
      </c>
      <c r="G177" t="inlineStr">
        <is>
          <t>HÄRNÖSAND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46023</v>
      </c>
      <c r="E178" s="1" t="n">
        <v>46317</v>
      </c>
      <c r="F178" t="inlineStr">
        <is>
          <t>VÄSTERNORRLANDS LÄN</t>
        </is>
      </c>
      <c r="G178" t="inlineStr">
        <is>
          <t>HÄRNÖSAND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46317</v>
      </c>
      <c r="F179" t="inlineStr">
        <is>
          <t>VÄSTERNORRLANDS LÄN</t>
        </is>
      </c>
      <c r="G179" t="inlineStr">
        <is>
          <t>HÄRNÖSAND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46317</v>
      </c>
      <c r="F180" t="inlineStr">
        <is>
          <t>VÄSTERNORRLANDS LÄN</t>
        </is>
      </c>
      <c r="G180" t="inlineStr">
        <is>
          <t>HÄRNÖSAND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46317</v>
      </c>
      <c r="F181" t="inlineStr">
        <is>
          <t>VÄSTERNORRLANDS LÄN</t>
        </is>
      </c>
      <c r="G181" t="inlineStr">
        <is>
          <t>HÄRNÖSAND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45805</v>
      </c>
      <c r="E182" s="1" t="n">
        <v>46317</v>
      </c>
      <c r="F182" t="inlineStr">
        <is>
          <t>VÄSTERNORRLANDS LÄN</t>
        </is>
      </c>
      <c r="G182" t="inlineStr">
        <is>
          <t>HÄRNÖSAND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46317</v>
      </c>
      <c r="F183" t="inlineStr">
        <is>
          <t>VÄSTERNORRLANDS LÄN</t>
        </is>
      </c>
      <c r="G183" t="inlineStr">
        <is>
          <t>HÄRNÖSAND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41562-2025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45901</v>
      </c>
      <c r="E184" s="1" t="n">
        <v>46317</v>
      </c>
      <c r="F184" t="inlineStr">
        <is>
          <t>VÄSTERNORRLANDS LÄN</t>
        </is>
      </c>
      <c r="G184" t="inlineStr">
        <is>
          <t>HÄRNÖSAND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45205</v>
      </c>
      <c r="E185" s="1" t="n">
        <v>46317</v>
      </c>
      <c r="F185" t="inlineStr">
        <is>
          <t>VÄSTERNORRLANDS LÄN</t>
        </is>
      </c>
      <c r="G185" t="inlineStr">
        <is>
          <t>HÄRNÖSAND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46317</v>
      </c>
      <c r="F186" t="inlineStr">
        <is>
          <t>VÄSTERNORRLANDS LÄN</t>
        </is>
      </c>
      <c r="G186" t="inlineStr">
        <is>
          <t>HÄRNÖSAND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61102-2021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46317</v>
      </c>
      <c r="F187" t="inlineStr">
        <is>
          <t>VÄSTERNORRLANDS LÄN</t>
        </is>
      </c>
      <c r="G187" t="inlineStr">
        <is>
          <t>HÄRNÖSAND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46317</v>
      </c>
      <c r="F188" t="inlineStr">
        <is>
          <t>VÄSTERNORRLANDS LÄN</t>
        </is>
      </c>
      <c r="G188" t="inlineStr">
        <is>
          <t>HÄRNÖSAND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46317</v>
      </c>
      <c r="F189" t="inlineStr">
        <is>
          <t>VÄSTERNORRLANDS LÄN</t>
        </is>
      </c>
      <c r="G189" t="inlineStr">
        <is>
          <t>HÄRNÖSAND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46317</v>
      </c>
      <c r="F190" t="inlineStr">
        <is>
          <t>VÄSTERNORRLANDS LÄN</t>
        </is>
      </c>
      <c r="G190" t="inlineStr">
        <is>
          <t>HÄRNÖSAND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46317</v>
      </c>
      <c r="F191" t="inlineStr">
        <is>
          <t>VÄSTERNORRLANDS LÄN</t>
        </is>
      </c>
      <c r="G191" t="inlineStr">
        <is>
          <t>HÄRNÖSAND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46026</v>
      </c>
      <c r="E192" s="1" t="n">
        <v>46317</v>
      </c>
      <c r="F192" t="inlineStr">
        <is>
          <t>VÄSTERNORRLANDS LÄN</t>
        </is>
      </c>
      <c r="G192" t="inlineStr">
        <is>
          <t>HÄRNÖSAND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46317</v>
      </c>
      <c r="F193" t="inlineStr">
        <is>
          <t>VÄSTERNORRLANDS LÄN</t>
        </is>
      </c>
      <c r="G193" t="inlineStr">
        <is>
          <t>HÄRNÖSAND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45293</v>
      </c>
      <c r="E194" s="1" t="n">
        <v>46317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780-2026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46029</v>
      </c>
      <c r="E195" s="1" t="n">
        <v>46317</v>
      </c>
      <c r="F195" t="inlineStr">
        <is>
          <t>VÄSTERNORRLANDS LÄN</t>
        </is>
      </c>
      <c r="G195" t="inlineStr">
        <is>
          <t>HÄRNÖSAND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46317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46317</v>
      </c>
      <c r="F197" t="inlineStr">
        <is>
          <t>VÄSTERNORRLANDS LÄN</t>
        </is>
      </c>
      <c r="G197" t="inlineStr">
        <is>
          <t>HÄRNÖSAND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46317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46317</v>
      </c>
      <c r="F199" t="inlineStr">
        <is>
          <t>VÄSTERNORRLANDS LÄN</t>
        </is>
      </c>
      <c r="G199" t="inlineStr">
        <is>
          <t>HÄRNÖSAND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46029</v>
      </c>
      <c r="E200" s="1" t="n">
        <v>46317</v>
      </c>
      <c r="F200" t="inlineStr">
        <is>
          <t>VÄSTERNORRLANDS LÄN</t>
        </is>
      </c>
      <c r="G200" t="inlineStr">
        <is>
          <t>HÄRNÖSAND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46317</v>
      </c>
      <c r="F201" t="inlineStr">
        <is>
          <t>VÄSTERNORRLANDS LÄN</t>
        </is>
      </c>
      <c r="G201" t="inlineStr">
        <is>
          <t>HÄRNÖSAND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69269-2021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46317</v>
      </c>
      <c r="F202" t="inlineStr">
        <is>
          <t>VÄSTERNORRLANDS LÄN</t>
        </is>
      </c>
      <c r="G202" t="inlineStr">
        <is>
          <t>HÄRNÖSAND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46317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45919</v>
      </c>
      <c r="E204" s="1" t="n">
        <v>46317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46317</v>
      </c>
      <c r="F205" t="inlineStr">
        <is>
          <t>VÄSTERNORRLANDS LÄN</t>
        </is>
      </c>
      <c r="G205" t="inlineStr">
        <is>
          <t>HÄRNÖSAND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46317</v>
      </c>
      <c r="F206" t="inlineStr">
        <is>
          <t>VÄSTERNORRLANDS LÄN</t>
        </is>
      </c>
      <c r="G206" t="inlineStr">
        <is>
          <t>HÄRNÖSAND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46317</v>
      </c>
      <c r="F207" t="inlineStr">
        <is>
          <t>VÄSTERNORRLANDS LÄN</t>
        </is>
      </c>
      <c r="G207" t="inlineStr">
        <is>
          <t>HÄRNÖSAND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46317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46317</v>
      </c>
      <c r="F209" t="inlineStr">
        <is>
          <t>VÄSTERNORRLANDS LÄN</t>
        </is>
      </c>
      <c r="G209" t="inlineStr">
        <is>
          <t>HÄRNÖSAND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46317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Kyrkan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45354-2025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46317</v>
      </c>
      <c r="F211" t="inlineStr">
        <is>
          <t>VÄSTERNORRLANDS LÄN</t>
        </is>
      </c>
      <c r="G211" t="inlineStr">
        <is>
          <t>HÄRNÖSAND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46317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45997-2025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46317</v>
      </c>
      <c r="F213" t="inlineStr">
        <is>
          <t>VÄSTERNORRLANDS LÄN</t>
        </is>
      </c>
      <c r="G213" t="inlineStr">
        <is>
          <t>HÄRNÖSAND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46317</v>
      </c>
      <c r="F214" t="inlineStr">
        <is>
          <t>VÄSTERNORRLANDS LÄN</t>
        </is>
      </c>
      <c r="G214" t="inlineStr">
        <is>
          <t>HÄRNÖSAND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46317</v>
      </c>
      <c r="F215" t="inlineStr">
        <is>
          <t>VÄSTERNORRLANDS LÄN</t>
        </is>
      </c>
      <c r="G215" t="inlineStr">
        <is>
          <t>HÄRNÖSAND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46101-2025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46317</v>
      </c>
      <c r="F216" t="inlineStr">
        <is>
          <t>VÄSTERNORRLANDS LÄN</t>
        </is>
      </c>
      <c r="G216" t="inlineStr">
        <is>
          <t>HÄRNÖSAND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45981-2025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45924</v>
      </c>
      <c r="E217" s="1" t="n">
        <v>46317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46317</v>
      </c>
      <c r="F218" t="inlineStr">
        <is>
          <t>VÄSTERNORRLANDS LÄN</t>
        </is>
      </c>
      <c r="G218" t="inlineStr">
        <is>
          <t>HÄRNÖSAND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49039-2023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45209</v>
      </c>
      <c r="E219" s="1" t="n">
        <v>46317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46317</v>
      </c>
      <c r="F220" t="inlineStr">
        <is>
          <t>VÄSTERNORRLANDS LÄN</t>
        </is>
      </c>
      <c r="G220" t="inlineStr">
        <is>
          <t>HÄRNÖSAND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46317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13.5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46317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46317</v>
      </c>
      <c r="F223" t="inlineStr">
        <is>
          <t>VÄSTERNORRLANDS LÄN</t>
        </is>
      </c>
      <c r="G223" t="inlineStr">
        <is>
          <t>HÄRNÖSAND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59073-2022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46317</v>
      </c>
      <c r="F224" t="inlineStr">
        <is>
          <t>VÄSTERNORRLANDS LÄN</t>
        </is>
      </c>
      <c r="G224" t="inlineStr">
        <is>
          <t>HÄRNÖSAND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46317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46317</v>
      </c>
      <c r="F226" t="inlineStr">
        <is>
          <t>VÄSTERNORRLANDS LÄN</t>
        </is>
      </c>
      <c r="G226" t="inlineStr">
        <is>
          <t>HÄRNÖSAND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46317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46317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46317</v>
      </c>
      <c r="F229" t="inlineStr">
        <is>
          <t>VÄSTERNORRLANDS LÄN</t>
        </is>
      </c>
      <c r="G229" t="inlineStr">
        <is>
          <t>HÄRNÖSAND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46317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45837</v>
      </c>
      <c r="E231" s="1" t="n">
        <v>46317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46317</v>
      </c>
      <c r="F232" t="inlineStr">
        <is>
          <t>VÄSTERNORRLANDS LÄN</t>
        </is>
      </c>
      <c r="G232" t="inlineStr">
        <is>
          <t>HÄRNÖSAND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45837</v>
      </c>
      <c r="E233" s="1" t="n">
        <v>46317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46317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46317</v>
      </c>
      <c r="F235" t="inlineStr">
        <is>
          <t>VÄSTERNORRLANDS LÄN</t>
        </is>
      </c>
      <c r="G235" t="inlineStr">
        <is>
          <t>HÄRNÖSAND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54251-2022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44881</v>
      </c>
      <c r="E236" s="1" t="n">
        <v>46317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46317</v>
      </c>
      <c r="F237" t="inlineStr">
        <is>
          <t>VÄSTERNORRLANDS LÄN</t>
        </is>
      </c>
      <c r="G237" t="inlineStr">
        <is>
          <t>HÄRNÖSAND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46317</v>
      </c>
      <c r="F238" t="inlineStr">
        <is>
          <t>VÄSTERNORRLANDS LÄN</t>
        </is>
      </c>
      <c r="G238" t="inlineStr">
        <is>
          <t>HÄRNÖSAND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46317</v>
      </c>
      <c r="F239" t="inlineStr">
        <is>
          <t>VÄSTERNORRLANDS LÄN</t>
        </is>
      </c>
      <c r="G239" t="inlineStr">
        <is>
          <t>HÄRNÖSAND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46317</v>
      </c>
      <c r="F240" t="inlineStr">
        <is>
          <t>VÄSTERNORRLANDS LÄN</t>
        </is>
      </c>
      <c r="G240" t="inlineStr">
        <is>
          <t>HÄRNÖSAND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46317</v>
      </c>
      <c r="F241" t="inlineStr">
        <is>
          <t>VÄSTERNORRLANDS LÄN</t>
        </is>
      </c>
      <c r="G241" t="inlineStr">
        <is>
          <t>HÄRNÖSAND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58588-2022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44894</v>
      </c>
      <c r="E242" s="1" t="n">
        <v>46317</v>
      </c>
      <c r="F242" t="inlineStr">
        <is>
          <t>VÄSTERNORRLANDS LÄN</t>
        </is>
      </c>
      <c r="G242" t="inlineStr">
        <is>
          <t>HÄRNÖSAND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46317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45848</v>
      </c>
      <c r="E244" s="1" t="n">
        <v>46317</v>
      </c>
      <c r="F244" t="inlineStr">
        <is>
          <t>VÄSTERNORRLANDS LÄN</t>
        </is>
      </c>
      <c r="G244" t="inlineStr">
        <is>
          <t>HÄRNÖSAND</t>
        </is>
      </c>
      <c r="I244" t="n">
        <v>7.9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34751-2025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45848</v>
      </c>
      <c r="E245" s="1" t="n">
        <v>46317</v>
      </c>
      <c r="F245" t="inlineStr">
        <is>
          <t>VÄSTERNORRLANDS LÄN</t>
        </is>
      </c>
      <c r="G245" t="inlineStr">
        <is>
          <t>HÄRNÖSAND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8220-2022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44609</v>
      </c>
      <c r="E246" s="1" t="n">
        <v>46317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Övriga statliga verk och myndigheter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46317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49625-2025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46317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46317</v>
      </c>
      <c r="F249" t="inlineStr">
        <is>
          <t>VÄSTERNORRLANDS LÄN</t>
        </is>
      </c>
      <c r="G249" t="inlineStr">
        <is>
          <t>HÄRNÖSAND</t>
        </is>
      </c>
      <c r="I249" t="n">
        <v>10.3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45320</v>
      </c>
      <c r="E250" s="1" t="n">
        <v>46317</v>
      </c>
      <c r="F250" t="inlineStr">
        <is>
          <t>VÄSTERNORRLANDS LÄN</t>
        </is>
      </c>
      <c r="G250" t="inlineStr">
        <is>
          <t>HÄRNÖSAND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45853</v>
      </c>
      <c r="E251" s="1" t="n">
        <v>46317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46317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45729</v>
      </c>
      <c r="E253" s="1" t="n">
        <v>46317</v>
      </c>
      <c r="F253" t="inlineStr">
        <is>
          <t>VÄSTERNORRLANDS LÄN</t>
        </is>
      </c>
      <c r="G253" t="inlineStr">
        <is>
          <t>HÄRNÖSAND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45741</v>
      </c>
      <c r="E254" s="1" t="n">
        <v>46317</v>
      </c>
      <c r="F254" t="inlineStr">
        <is>
          <t>VÄSTERNORRLANDS LÄN</t>
        </is>
      </c>
      <c r="G254" t="inlineStr">
        <is>
          <t>HÄRNÖSAND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44973</v>
      </c>
      <c r="E255" s="1" t="n">
        <v>46317</v>
      </c>
      <c r="F255" t="inlineStr">
        <is>
          <t>VÄSTERNORRLANDS LÄN</t>
        </is>
      </c>
      <c r="G255" t="inlineStr">
        <is>
          <t>HÄRNÖSAND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44459-2024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45574</v>
      </c>
      <c r="E256" s="1" t="n">
        <v>46317</v>
      </c>
      <c r="F256" t="inlineStr">
        <is>
          <t>VÄSTERNORRLANDS LÄN</t>
        </is>
      </c>
      <c r="G256" t="inlineStr">
        <is>
          <t>HÄRNÖSAND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46317</v>
      </c>
      <c r="F257" t="inlineStr">
        <is>
          <t>VÄSTERNORRLANDS LÄN</t>
        </is>
      </c>
      <c r="G257" t="inlineStr">
        <is>
          <t>HÄRNÖSAND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46317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46317</v>
      </c>
      <c r="F259" t="inlineStr">
        <is>
          <t>VÄSTERNORRLANDS LÄN</t>
        </is>
      </c>
      <c r="G259" t="inlineStr">
        <is>
          <t>HÄRNÖSAND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36993-2025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46317</v>
      </c>
      <c r="F260" t="inlineStr">
        <is>
          <t>VÄSTERNORRLANDS LÄN</t>
        </is>
      </c>
      <c r="G260" t="inlineStr">
        <is>
          <t>HÄRNÖSAND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45757</v>
      </c>
      <c r="E261" s="1" t="n">
        <v>46317</v>
      </c>
      <c r="F261" t="inlineStr">
        <is>
          <t>VÄSTERNORRLANDS LÄN</t>
        </is>
      </c>
      <c r="G261" t="inlineStr">
        <is>
          <t>HÄRNÖSAND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46317</v>
      </c>
      <c r="F262" t="inlineStr">
        <is>
          <t>VÄSTERNORRLANDS LÄN</t>
        </is>
      </c>
      <c r="G262" t="inlineStr">
        <is>
          <t>HÄRNÖSAND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46317</v>
      </c>
      <c r="F263" t="inlineStr">
        <is>
          <t>VÄSTERNORRLANDS LÄN</t>
        </is>
      </c>
      <c r="G263" t="inlineStr">
        <is>
          <t>HÄRNÖSAND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46317</v>
      </c>
      <c r="F264" t="inlineStr">
        <is>
          <t>VÄSTERNORRLANDS LÄN</t>
        </is>
      </c>
      <c r="G264" t="inlineStr">
        <is>
          <t>HÄRNÖSAND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31546-2024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45505</v>
      </c>
      <c r="E265" s="1" t="n">
        <v>46317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45959</v>
      </c>
      <c r="E266" s="1" t="n">
        <v>46317</v>
      </c>
      <c r="F266" t="inlineStr">
        <is>
          <t>VÄSTERNORRLANDS LÄN</t>
        </is>
      </c>
      <c r="G266" t="inlineStr">
        <is>
          <t>HÄRNÖSAND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45959</v>
      </c>
      <c r="E267" s="1" t="n">
        <v>46317</v>
      </c>
      <c r="F267" t="inlineStr">
        <is>
          <t>VÄSTERNORRLANDS LÄN</t>
        </is>
      </c>
      <c r="G267" t="inlineStr">
        <is>
          <t>HÄRNÖSAND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46317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46317</v>
      </c>
      <c r="F269" t="inlineStr">
        <is>
          <t>VÄSTERNORRLANDS LÄN</t>
        </is>
      </c>
      <c r="G269" t="inlineStr">
        <is>
          <t>HÄRNÖSAND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46317</v>
      </c>
      <c r="F270" t="inlineStr">
        <is>
          <t>VÄSTERNORRLANDS LÄN</t>
        </is>
      </c>
      <c r="G270" t="inlineStr">
        <is>
          <t>HÄRNÖSAND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46038</v>
      </c>
      <c r="E271" s="1" t="n">
        <v>46317</v>
      </c>
      <c r="F271" t="inlineStr">
        <is>
          <t>VÄSTERNORRLANDS LÄN</t>
        </is>
      </c>
      <c r="G271" t="inlineStr">
        <is>
          <t>HÄRNÖSAND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28325-2022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44747</v>
      </c>
      <c r="E272" s="1" t="n">
        <v>46317</v>
      </c>
      <c r="F272" t="inlineStr">
        <is>
          <t>VÄSTERNORRLANDS LÄN</t>
        </is>
      </c>
      <c r="G272" t="inlineStr">
        <is>
          <t>HÄRNÖSAND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46317</v>
      </c>
      <c r="F273" t="inlineStr">
        <is>
          <t>VÄSTERNORRLANDS LÄN</t>
        </is>
      </c>
      <c r="G273" t="inlineStr">
        <is>
          <t>HÄRNÖSAND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46317</v>
      </c>
      <c r="F274" t="inlineStr">
        <is>
          <t>VÄSTERNORRLANDS LÄN</t>
        </is>
      </c>
      <c r="G274" t="inlineStr">
        <is>
          <t>HÄRNÖSAND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46317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46317</v>
      </c>
      <c r="F276" t="inlineStr">
        <is>
          <t>VÄSTERNORRLANDS LÄN</t>
        </is>
      </c>
      <c r="G276" t="inlineStr">
        <is>
          <t>HÄRNÖSAND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46317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46317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46317</v>
      </c>
      <c r="F279" t="inlineStr">
        <is>
          <t>VÄSTERNORRLANDS LÄN</t>
        </is>
      </c>
      <c r="G279" t="inlineStr">
        <is>
          <t>HÄRNÖSAND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46317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46317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25430-2022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44732</v>
      </c>
      <c r="E282" s="1" t="n">
        <v>46317</v>
      </c>
      <c r="F282" t="inlineStr">
        <is>
          <t>VÄSTERNORRLANDS LÄN</t>
        </is>
      </c>
      <c r="G282" t="inlineStr">
        <is>
          <t>HÄRNÖSAND</t>
        </is>
      </c>
      <c r="I282" t="n">
        <v>18.7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46317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46317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45293</v>
      </c>
      <c r="E285" s="1" t="n">
        <v>46317</v>
      </c>
      <c r="F285" t="inlineStr">
        <is>
          <t>VÄSTERNORRLANDS LÄN</t>
        </is>
      </c>
      <c r="G285" t="inlineStr">
        <is>
          <t>HÄRNÖSAND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46317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Kyrkan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46317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46317</v>
      </c>
      <c r="F288" t="inlineStr">
        <is>
          <t>VÄSTERNORRLANDS LÄN</t>
        </is>
      </c>
      <c r="G288" t="inlineStr">
        <is>
          <t>HÄRNÖSAND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46317</v>
      </c>
      <c r="F289" t="inlineStr">
        <is>
          <t>VÄSTERNORRLANDS LÄN</t>
        </is>
      </c>
      <c r="G289" t="inlineStr">
        <is>
          <t>HÄRNÖSAND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46317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46317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14874-2023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45015</v>
      </c>
      <c r="E292" s="1" t="n">
        <v>46317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46317</v>
      </c>
      <c r="F293" t="inlineStr">
        <is>
          <t>VÄSTERNORRLANDS LÄN</t>
        </is>
      </c>
      <c r="G293" t="inlineStr">
        <is>
          <t>HÄRNÖSAND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45314</v>
      </c>
      <c r="E294" s="1" t="n">
        <v>46317</v>
      </c>
      <c r="F294" t="inlineStr">
        <is>
          <t>VÄSTERNORRLANDS LÄN</t>
        </is>
      </c>
      <c r="G294" t="inlineStr">
        <is>
          <t>HÄRNÖSAND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46317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46317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45987</v>
      </c>
      <c r="E297" s="1" t="n">
        <v>46317</v>
      </c>
      <c r="F297" t="inlineStr">
        <is>
          <t>VÄSTERNORRLANDS LÄN</t>
        </is>
      </c>
      <c r="G297" t="inlineStr">
        <is>
          <t>HÄRNÖSAND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46317</v>
      </c>
      <c r="F298" t="inlineStr">
        <is>
          <t>VÄSTERNORRLANDS LÄN</t>
        </is>
      </c>
      <c r="G298" t="inlineStr">
        <is>
          <t>HÄRNÖSAND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44971</v>
      </c>
      <c r="E299" s="1" t="n">
        <v>46317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59408-2024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45638</v>
      </c>
      <c r="E300" s="1" t="n">
        <v>46317</v>
      </c>
      <c r="F300" t="inlineStr">
        <is>
          <t>VÄSTERNORRLANDS LÄN</t>
        </is>
      </c>
      <c r="G300" t="inlineStr">
        <is>
          <t>HÄRNÖSAND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46317</v>
      </c>
      <c r="F301" t="inlineStr">
        <is>
          <t>VÄSTERNORRLANDS LÄN</t>
        </is>
      </c>
      <c r="G301" t="inlineStr">
        <is>
          <t>HÄRNÖSAND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46317</v>
      </c>
      <c r="F302" t="inlineStr">
        <is>
          <t>VÄSTERNORRLANDS LÄN</t>
        </is>
      </c>
      <c r="G302" t="inlineStr">
        <is>
          <t>HÄRNÖSAND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46052</v>
      </c>
      <c r="E303" s="1" t="n">
        <v>46317</v>
      </c>
      <c r="F303" t="inlineStr">
        <is>
          <t>VÄSTERNORRLANDS LÄN</t>
        </is>
      </c>
      <c r="G303" t="inlineStr">
        <is>
          <t>HÄRNÖSAND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46052</v>
      </c>
      <c r="E304" s="1" t="n">
        <v>46317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46317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46317</v>
      </c>
      <c r="F306" t="inlineStr">
        <is>
          <t>VÄSTERNORRLANDS LÄN</t>
        </is>
      </c>
      <c r="G306" t="inlineStr">
        <is>
          <t>HÄRNÖSAND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46317</v>
      </c>
      <c r="F307" t="inlineStr">
        <is>
          <t>VÄSTERNORRLANDS LÄN</t>
        </is>
      </c>
      <c r="G307" t="inlineStr">
        <is>
          <t>HÄRNÖSAND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46317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46055</v>
      </c>
      <c r="E309" s="1" t="n">
        <v>46317</v>
      </c>
      <c r="F309" t="inlineStr">
        <is>
          <t>VÄSTERNORRLANDS LÄN</t>
        </is>
      </c>
      <c r="G309" t="inlineStr">
        <is>
          <t>HÄRNÖSAND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27912-2022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44743</v>
      </c>
      <c r="E310" s="1" t="n">
        <v>46317</v>
      </c>
      <c r="F310" t="inlineStr">
        <is>
          <t>VÄSTERNORRLANDS LÄN</t>
        </is>
      </c>
      <c r="G310" t="inlineStr">
        <is>
          <t>HÄRNÖSAND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61189-2025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46317</v>
      </c>
      <c r="F311" t="inlineStr">
        <is>
          <t>VÄSTERNORRLANDS LÄN</t>
        </is>
      </c>
      <c r="G311" t="inlineStr">
        <is>
          <t>HÄRNÖSAND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46317</v>
      </c>
      <c r="F312" t="inlineStr">
        <is>
          <t>VÄSTERNORRLANDS LÄN</t>
        </is>
      </c>
      <c r="G312" t="inlineStr">
        <is>
          <t>HÄRNÖSAND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44847</v>
      </c>
      <c r="E313" s="1" t="n">
        <v>46317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Kyrkan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45667</v>
      </c>
      <c r="E314" s="1" t="n">
        <v>46317</v>
      </c>
      <c r="F314" t="inlineStr">
        <is>
          <t>VÄSTERNORRLANDS LÄN</t>
        </is>
      </c>
      <c r="G314" t="inlineStr">
        <is>
          <t>HÄRNÖSAND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46317</v>
      </c>
      <c r="F315" t="inlineStr">
        <is>
          <t>VÄSTERNORRLANDS LÄN</t>
        </is>
      </c>
      <c r="G315" t="inlineStr">
        <is>
          <t>HÄRNÖSAND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46063</v>
      </c>
      <c r="E316" s="1" t="n">
        <v>46317</v>
      </c>
      <c r="F316" t="inlineStr">
        <is>
          <t>VÄSTERNORRLANDS LÄN</t>
        </is>
      </c>
      <c r="G316" t="inlineStr">
        <is>
          <t>HÄRNÖSAND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40452-2023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45168</v>
      </c>
      <c r="E317" s="1" t="n">
        <v>46317</v>
      </c>
      <c r="F317" t="inlineStr">
        <is>
          <t>VÄSTERNORRLANDS LÄN</t>
        </is>
      </c>
      <c r="G317" t="inlineStr">
        <is>
          <t>HÄRNÖSAND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8413-2026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46317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Kyrkan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46065</v>
      </c>
      <c r="E319" s="1" t="n">
        <v>46317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Kyrkan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47939-2022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44853</v>
      </c>
      <c r="E320" s="1" t="n">
        <v>46317</v>
      </c>
      <c r="F320" t="inlineStr">
        <is>
          <t>VÄSTERNORRLANDS LÄN</t>
        </is>
      </c>
      <c r="G320" t="inlineStr">
        <is>
          <t>HÄRNÖSAND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46065</v>
      </c>
      <c r="E321" s="1" t="n">
        <v>46317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45138</v>
      </c>
      <c r="E322" s="1" t="n">
        <v>46317</v>
      </c>
      <c r="F322" t="inlineStr">
        <is>
          <t>VÄSTERNORRLANDS LÄN</t>
        </is>
      </c>
      <c r="G322" t="inlineStr">
        <is>
          <t>HÄRNÖSAND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46065</v>
      </c>
      <c r="E323" s="1" t="n">
        <v>46317</v>
      </c>
      <c r="F323" t="inlineStr">
        <is>
          <t>VÄSTERNORRLANDS LÄN</t>
        </is>
      </c>
      <c r="G323" t="inlineStr">
        <is>
          <t>HÄRNÖSAND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46317</v>
      </c>
      <c r="F324" t="inlineStr">
        <is>
          <t>VÄSTERNORRLANDS LÄN</t>
        </is>
      </c>
      <c r="G324" t="inlineStr">
        <is>
          <t>HÄRNÖSAND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46317</v>
      </c>
      <c r="F325" t="inlineStr">
        <is>
          <t>VÄSTERNORRLANDS LÄN</t>
        </is>
      </c>
      <c r="G325" t="inlineStr">
        <is>
          <t>HÄRNÖSAND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46317</v>
      </c>
      <c r="F326" t="inlineStr">
        <is>
          <t>VÄSTERNORRLANDS LÄN</t>
        </is>
      </c>
      <c r="G326" t="inlineStr">
        <is>
          <t>HÄRNÖSAND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46071</v>
      </c>
      <c r="E327" s="1" t="n">
        <v>46317</v>
      </c>
      <c r="F327" t="inlineStr">
        <is>
          <t>VÄSTERNORRLANDS LÄN</t>
        </is>
      </c>
      <c r="G327" t="inlineStr">
        <is>
          <t>HÄRNÖSAND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46317</v>
      </c>
      <c r="F328" t="inlineStr">
        <is>
          <t>VÄSTERNORRLANDS LÄN</t>
        </is>
      </c>
      <c r="G328" t="inlineStr">
        <is>
          <t>HÄRNÖSAND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46072</v>
      </c>
      <c r="E329" s="1" t="n">
        <v>46317</v>
      </c>
      <c r="F329" t="inlineStr">
        <is>
          <t>VÄSTERNORRLANDS LÄN</t>
        </is>
      </c>
      <c r="G329" t="inlineStr">
        <is>
          <t>HÄRNÖSAND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45545</v>
      </c>
      <c r="E330" s="1" t="n">
        <v>46317</v>
      </c>
      <c r="F330" t="inlineStr">
        <is>
          <t>VÄSTERNORRLANDS LÄN</t>
        </is>
      </c>
      <c r="G330" t="inlineStr">
        <is>
          <t>HÄRNÖSAND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46317</v>
      </c>
      <c r="F331" t="inlineStr">
        <is>
          <t>VÄSTERNORRLANDS LÄN</t>
        </is>
      </c>
      <c r="G331" t="inlineStr">
        <is>
          <t>HÄRNÖSAND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46077</v>
      </c>
      <c r="E332" s="1" t="n">
        <v>46317</v>
      </c>
      <c r="F332" t="inlineStr">
        <is>
          <t>VÄSTERNORRLANDS LÄN</t>
        </is>
      </c>
      <c r="G332" t="inlineStr">
        <is>
          <t>HÄRNÖSAND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45678</v>
      </c>
      <c r="E333" s="1" t="n">
        <v>46317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46317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11202-2026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46080</v>
      </c>
      <c r="E335" s="1" t="n">
        <v>46317</v>
      </c>
      <c r="F335" t="inlineStr">
        <is>
          <t>VÄSTERNORRLANDS LÄN</t>
        </is>
      </c>
      <c r="G335" t="inlineStr">
        <is>
          <t>HÄRNÖSAND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44971</v>
      </c>
      <c r="E336" s="1" t="n">
        <v>46317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44936</v>
      </c>
      <c r="E337" s="1" t="n">
        <v>46317</v>
      </c>
      <c r="F337" t="inlineStr">
        <is>
          <t>VÄSTERNORRLANDS LÄN</t>
        </is>
      </c>
      <c r="G337" t="inlineStr">
        <is>
          <t>HÄRNÖSAND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46317</v>
      </c>
      <c r="F338" t="inlineStr">
        <is>
          <t>VÄSTERNORRLANDS LÄN</t>
        </is>
      </c>
      <c r="G338" t="inlineStr">
        <is>
          <t>HÄRNÖSAND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46317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8375-2026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46064</v>
      </c>
      <c r="E340" s="1" t="n">
        <v>46317</v>
      </c>
      <c r="F340" t="inlineStr">
        <is>
          <t>VÄSTERNORRLANDS LÄN</t>
        </is>
      </c>
      <c r="G340" t="inlineStr">
        <is>
          <t>HÄRNÖSAND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45685</v>
      </c>
      <c r="E341" s="1" t="n">
        <v>46317</v>
      </c>
      <c r="F341" t="inlineStr">
        <is>
          <t>VÄSTERNORRLANDS LÄN</t>
        </is>
      </c>
      <c r="G341" t="inlineStr">
        <is>
          <t>HÄRNÖSAND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46317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Övriga statliga verk och myndigheter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12650-2026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46091</v>
      </c>
      <c r="E343" s="1" t="n">
        <v>46317</v>
      </c>
      <c r="F343" t="inlineStr">
        <is>
          <t>VÄSTERNORRLANDS LÄN</t>
        </is>
      </c>
      <c r="G343" t="inlineStr">
        <is>
          <t>HÄRNÖSAND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46317</v>
      </c>
      <c r="F344" t="inlineStr">
        <is>
          <t>VÄSTERNORRLANDS LÄN</t>
        </is>
      </c>
      <c r="G344" t="inlineStr">
        <is>
          <t>HÄRNÖSAND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46091</v>
      </c>
      <c r="E345" s="1" t="n">
        <v>46317</v>
      </c>
      <c r="F345" t="inlineStr">
        <is>
          <t>VÄSTERNORRLANDS LÄN</t>
        </is>
      </c>
      <c r="G345" t="inlineStr">
        <is>
          <t>HÄRNÖSAND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46317</v>
      </c>
      <c r="F346" t="inlineStr">
        <is>
          <t>VÄSTERNORRLANDS LÄN</t>
        </is>
      </c>
      <c r="G346" t="inlineStr">
        <is>
          <t>HÄRNÖSAND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46317</v>
      </c>
      <c r="F347" t="inlineStr">
        <is>
          <t>VÄSTERNORRLANDS LÄN</t>
        </is>
      </c>
      <c r="G347" t="inlineStr">
        <is>
          <t>HÄRNÖSAND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46091</v>
      </c>
      <c r="E348" s="1" t="n">
        <v>46317</v>
      </c>
      <c r="F348" t="inlineStr">
        <is>
          <t>VÄSTERNORRLANDS LÄN</t>
        </is>
      </c>
      <c r="G348" t="inlineStr">
        <is>
          <t>HÄRNÖSAND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46317</v>
      </c>
      <c r="F349" t="inlineStr">
        <is>
          <t>VÄSTERNORRLANDS LÄN</t>
        </is>
      </c>
      <c r="G349" t="inlineStr">
        <is>
          <t>HÄRNÖSAND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7061-2022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44603</v>
      </c>
      <c r="E350" s="1" t="n">
        <v>46317</v>
      </c>
      <c r="F350" t="inlineStr">
        <is>
          <t>VÄSTERNORRLANDS LÄN</t>
        </is>
      </c>
      <c r="G350" t="inlineStr">
        <is>
          <t>HÄRNÖSAND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45044</v>
      </c>
      <c r="E351" s="1" t="n">
        <v>46317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12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45203</v>
      </c>
      <c r="E352" s="1" t="n">
        <v>46317</v>
      </c>
      <c r="F352" t="inlineStr">
        <is>
          <t>VÄSTERNORRLANDS LÄN</t>
        </is>
      </c>
      <c r="G352" t="inlineStr">
        <is>
          <t>HÄRNÖSAND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29613-2023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46317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46317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46317</v>
      </c>
      <c r="F355" t="inlineStr">
        <is>
          <t>VÄSTERNORRLANDS LÄN</t>
        </is>
      </c>
      <c r="G355" t="inlineStr">
        <is>
          <t>HÄRNÖSAND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45714</v>
      </c>
      <c r="E356" s="1" t="n">
        <v>46317</v>
      </c>
      <c r="F356" t="inlineStr">
        <is>
          <t>VÄSTERNORRLANDS LÄN</t>
        </is>
      </c>
      <c r="G356" t="inlineStr">
        <is>
          <t>HÄRNÖSAND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46317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46317</v>
      </c>
      <c r="F358" t="inlineStr">
        <is>
          <t>VÄSTERNORRLANDS LÄN</t>
        </is>
      </c>
      <c r="G358" t="inlineStr">
        <is>
          <t>HÄRNÖSAND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46317</v>
      </c>
      <c r="F359" t="inlineStr">
        <is>
          <t>VÄSTERNORRLANDS LÄN</t>
        </is>
      </c>
      <c r="G359" t="inlineStr">
        <is>
          <t>HÄRNÖSAND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46317</v>
      </c>
      <c r="F360" t="inlineStr">
        <is>
          <t>VÄSTERNORRLANDS LÄN</t>
        </is>
      </c>
      <c r="G360" t="inlineStr">
        <is>
          <t>HÄRNÖSAND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46317</v>
      </c>
      <c r="F361" t="inlineStr">
        <is>
          <t>VÄSTERNORRLANDS LÄN</t>
        </is>
      </c>
      <c r="G361" t="inlineStr">
        <is>
          <t>HÄRNÖSAND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46317</v>
      </c>
      <c r="F362" t="inlineStr">
        <is>
          <t>VÄSTERNORRLANDS LÄN</t>
        </is>
      </c>
      <c r="G362" t="inlineStr">
        <is>
          <t>HÄRNÖSAND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46317</v>
      </c>
      <c r="F363" t="inlineStr">
        <is>
          <t>VÄSTERNORRLANDS LÄN</t>
        </is>
      </c>
      <c r="G363" t="inlineStr">
        <is>
          <t>HÄRNÖSAND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44596</v>
      </c>
      <c r="E364" s="1" t="n">
        <v>46317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Övriga statliga verk och myndigheter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46317</v>
      </c>
      <c r="F365" t="inlineStr">
        <is>
          <t>VÄSTERNORRLANDS LÄN</t>
        </is>
      </c>
      <c r="G365" t="inlineStr">
        <is>
          <t>HÄRNÖSAND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46107</v>
      </c>
      <c r="E366" s="1" t="n">
        <v>46317</v>
      </c>
      <c r="F366" t="inlineStr">
        <is>
          <t>VÄSTERNORRLANDS LÄN</t>
        </is>
      </c>
      <c r="G366" t="inlineStr">
        <is>
          <t>HÄRNÖSAND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46317</v>
      </c>
      <c r="F367" t="inlineStr">
        <is>
          <t>VÄSTERNORRLANDS LÄN</t>
        </is>
      </c>
      <c r="G367" t="inlineStr">
        <is>
          <t>HÄRNÖSAND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46317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45099</v>
      </c>
      <c r="E369" s="1" t="n">
        <v>46317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46120</v>
      </c>
      <c r="E370" s="1" t="n">
        <v>46317</v>
      </c>
      <c r="F370" t="inlineStr">
        <is>
          <t>VÄSTERNORRLANDS LÄN</t>
        </is>
      </c>
      <c r="G370" t="inlineStr">
        <is>
          <t>HÄRNÖSAND</t>
        </is>
      </c>
      <c r="I370" t="n">
        <v>10.8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45723</v>
      </c>
      <c r="E371" s="1" t="n">
        <v>46317</v>
      </c>
      <c r="F371" t="inlineStr">
        <is>
          <t>VÄSTERNORRLANDS LÄN</t>
        </is>
      </c>
      <c r="G371" t="inlineStr">
        <is>
          <t>HÄRNÖSAND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46317</v>
      </c>
      <c r="F372" t="inlineStr">
        <is>
          <t>VÄSTERNORRLANDS LÄN</t>
        </is>
      </c>
      <c r="G372" t="inlineStr">
        <is>
          <t>HÄRNÖSAND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42197-2024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46317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44991</v>
      </c>
      <c r="E374" s="1" t="n">
        <v>46317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46317</v>
      </c>
      <c r="F375" t="inlineStr">
        <is>
          <t>VÄSTERNORRLANDS LÄN</t>
        </is>
      </c>
      <c r="G375" t="inlineStr">
        <is>
          <t>HÄRNÖSAND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45293</v>
      </c>
      <c r="E376" s="1" t="n">
        <v>46317</v>
      </c>
      <c r="F376" t="inlineStr">
        <is>
          <t>VÄSTERNORRLANDS LÄN</t>
        </is>
      </c>
      <c r="G376" t="inlineStr">
        <is>
          <t>HÄRNÖSAND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61574-2021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44497</v>
      </c>
      <c r="E377" s="1" t="n">
        <v>46317</v>
      </c>
      <c r="F377" t="inlineStr">
        <is>
          <t>VÄSTERNORRLANDS LÄN</t>
        </is>
      </c>
      <c r="G377" t="inlineStr">
        <is>
          <t>HÄRNÖSAND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46317</v>
      </c>
      <c r="F378" t="inlineStr">
        <is>
          <t>VÄSTERNORRLANDS LÄN</t>
        </is>
      </c>
      <c r="G378" t="inlineStr">
        <is>
          <t>HÄRNÖSAND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45329</v>
      </c>
      <c r="E379" s="1" t="n">
        <v>46317</v>
      </c>
      <c r="F379" t="inlineStr">
        <is>
          <t>VÄSTERNORRLANDS LÄN</t>
        </is>
      </c>
      <c r="G379" t="inlineStr">
        <is>
          <t>HÄRNÖSAND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46319-2022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44847</v>
      </c>
      <c r="E380" s="1" t="n">
        <v>46317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Kyrkan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45352</v>
      </c>
      <c r="E381" s="1" t="n">
        <v>46317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19346-2026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46133</v>
      </c>
      <c r="E382" s="1" t="n">
        <v>46317</v>
      </c>
      <c r="F382" t="inlineStr">
        <is>
          <t>VÄSTERNORRLANDS LÄN</t>
        </is>
      </c>
      <c r="G382" t="inlineStr">
        <is>
          <t>HÄRNÖSAND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46317</v>
      </c>
      <c r="F383" t="inlineStr">
        <is>
          <t>VÄSTERNORRLANDS LÄN</t>
        </is>
      </c>
      <c r="G383" t="inlineStr">
        <is>
          <t>HÄRNÖSAND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45265</v>
      </c>
      <c r="E384" s="1" t="n">
        <v>46317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64749-2023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45281</v>
      </c>
      <c r="E385" s="1" t="n">
        <v>46317</v>
      </c>
      <c r="F385" t="inlineStr">
        <is>
          <t>VÄSTERNORRLANDS LÄN</t>
        </is>
      </c>
      <c r="G385" t="inlineStr">
        <is>
          <t>HÄRNÖSAND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46317</v>
      </c>
      <c r="F386" t="inlineStr">
        <is>
          <t>VÄSTERNORRLANDS LÄN</t>
        </is>
      </c>
      <c r="G386" t="inlineStr">
        <is>
          <t>HÄRNÖSAND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45409</v>
      </c>
      <c r="E387" s="1" t="n">
        <v>46317</v>
      </c>
      <c r="F387" t="inlineStr">
        <is>
          <t>VÄSTERNORRLANDS LÄN</t>
        </is>
      </c>
      <c r="G387" t="inlineStr">
        <is>
          <t>HÄRNÖSAND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44819</v>
      </c>
      <c r="E388" s="1" t="n">
        <v>46317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64023-2023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45278</v>
      </c>
      <c r="E389" s="1" t="n">
        <v>46317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45502</v>
      </c>
      <c r="E390" s="1" t="n">
        <v>46317</v>
      </c>
      <c r="F390" t="inlineStr">
        <is>
          <t>VÄSTERNORRLANDS LÄN</t>
        </is>
      </c>
      <c r="G390" t="inlineStr">
        <is>
          <t>HÄRNÖSAND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45526</v>
      </c>
      <c r="E391" s="1" t="n">
        <v>46317</v>
      </c>
      <c r="F391" t="inlineStr">
        <is>
          <t>VÄSTERNORRLANDS LÄN</t>
        </is>
      </c>
      <c r="G391" t="inlineStr">
        <is>
          <t>HÄRNÖSAND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46317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34161-2022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44791</v>
      </c>
      <c r="E393" s="1" t="n">
        <v>46317</v>
      </c>
      <c r="F393" t="inlineStr">
        <is>
          <t>VÄSTERNORRLANDS LÄN</t>
        </is>
      </c>
      <c r="G393" t="inlineStr">
        <is>
          <t>HÄRNÖSAND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45418</v>
      </c>
      <c r="E394" s="1" t="n">
        <v>46317</v>
      </c>
      <c r="F394" t="inlineStr">
        <is>
          <t>VÄSTERNORRLANDS LÄN</t>
        </is>
      </c>
      <c r="G394" t="inlineStr">
        <is>
          <t>HÄRNÖSAND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62333-2021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44502</v>
      </c>
      <c r="E395" s="1" t="n">
        <v>46317</v>
      </c>
      <c r="F395" t="inlineStr">
        <is>
          <t>VÄSTERNORRLANDS LÄN</t>
        </is>
      </c>
      <c r="G395" t="inlineStr">
        <is>
          <t>HÄRNÖSAND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45126</v>
      </c>
      <c r="E396" s="1" t="n">
        <v>46317</v>
      </c>
      <c r="F396" t="inlineStr">
        <is>
          <t>VÄSTERNORRLANDS LÄN</t>
        </is>
      </c>
      <c r="G396" t="inlineStr">
        <is>
          <t>HÄRNÖSAND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53107-2023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45228</v>
      </c>
      <c r="E397" s="1" t="n">
        <v>46317</v>
      </c>
      <c r="F397" t="inlineStr">
        <is>
          <t>VÄSTERNORRLANDS LÄN</t>
        </is>
      </c>
      <c r="G397" t="inlineStr">
        <is>
          <t>HÄRNÖSAND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38379-2023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45161</v>
      </c>
      <c r="E398" s="1" t="n">
        <v>46317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45390</v>
      </c>
      <c r="E399" s="1" t="n">
        <v>46317</v>
      </c>
      <c r="F399" t="inlineStr">
        <is>
          <t>VÄSTERNORRLANDS LÄN</t>
        </is>
      </c>
      <c r="G399" t="inlineStr">
        <is>
          <t>HÄRNÖSAND</t>
        </is>
      </c>
      <c r="I399" t="n">
        <v>14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35969-2023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45148</v>
      </c>
      <c r="E400" s="1" t="n">
        <v>46317</v>
      </c>
      <c r="F400" t="inlineStr">
        <is>
          <t>VÄSTERNORRLANDS LÄN</t>
        </is>
      </c>
      <c r="G400" t="inlineStr">
        <is>
          <t>HÄRNÖSAND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41147-2023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46317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45342</v>
      </c>
      <c r="E402" s="1" t="n">
        <v>46317</v>
      </c>
      <c r="F402" t="inlineStr">
        <is>
          <t>VÄSTERNORRLANDS LÄN</t>
        </is>
      </c>
      <c r="G402" t="inlineStr">
        <is>
          <t>HÄRNÖSAND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46317</v>
      </c>
      <c r="F403" t="inlineStr">
        <is>
          <t>VÄSTERNORRLANDS LÄN</t>
        </is>
      </c>
      <c r="G403" t="inlineStr">
        <is>
          <t>HÄRNÖSAND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46317</v>
      </c>
      <c r="F404" t="inlineStr">
        <is>
          <t>VÄSTERNORRLANDS LÄN</t>
        </is>
      </c>
      <c r="G404" t="inlineStr">
        <is>
          <t>HÄRNÖSAND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19900-2025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45771</v>
      </c>
      <c r="E405" s="1" t="n">
        <v>46317</v>
      </c>
      <c r="F405" t="inlineStr">
        <is>
          <t>VÄSTERNORRLANDS LÄN</t>
        </is>
      </c>
      <c r="G405" t="inlineStr">
        <is>
          <t>HÄRNÖSAND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45825</v>
      </c>
      <c r="E406" s="1" t="n">
        <v>46317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46317</v>
      </c>
      <c r="F407" t="inlineStr">
        <is>
          <t>VÄSTERNORRLANDS LÄN</t>
        </is>
      </c>
      <c r="G407" t="inlineStr">
        <is>
          <t>HÄRNÖSAND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16866-2024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45409</v>
      </c>
      <c r="E408" s="1" t="n">
        <v>46317</v>
      </c>
      <c r="F408" t="inlineStr">
        <is>
          <t>VÄSTERNORRLANDS LÄN</t>
        </is>
      </c>
      <c r="G408" t="inlineStr">
        <is>
          <t>HÄRNÖSAND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45334</v>
      </c>
      <c r="E409" s="1" t="n">
        <v>46317</v>
      </c>
      <c r="F409" t="inlineStr">
        <is>
          <t>VÄSTERNORRLANDS LÄN</t>
        </is>
      </c>
      <c r="G409" t="inlineStr">
        <is>
          <t>HÄRNÖSAND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33156-2025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45840</v>
      </c>
      <c r="E410" s="1" t="n">
        <v>46317</v>
      </c>
      <c r="F410" t="inlineStr">
        <is>
          <t>VÄSTERNORRLANDS LÄN</t>
        </is>
      </c>
      <c r="G410" t="inlineStr">
        <is>
          <t>HÄRNÖSAND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57236-2024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45628</v>
      </c>
      <c r="E411" s="1" t="n">
        <v>46317</v>
      </c>
      <c r="F411" t="inlineStr">
        <is>
          <t>VÄSTERNORRLANDS LÄN</t>
        </is>
      </c>
      <c r="G411" t="inlineStr">
        <is>
          <t>HÄRNÖSAND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45887</v>
      </c>
      <c r="E412" s="1" t="n">
        <v>46317</v>
      </c>
      <c r="F412" t="inlineStr">
        <is>
          <t>VÄSTERNORRLANDS LÄN</t>
        </is>
      </c>
      <c r="G412" t="inlineStr">
        <is>
          <t>HÄRNÖSAND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9658-2026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46317</v>
      </c>
      <c r="F413" t="inlineStr">
        <is>
          <t>VÄSTERNORRLANDS LÄN</t>
        </is>
      </c>
      <c r="G413" t="inlineStr">
        <is>
          <t>HÄRNÖSAND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46024</v>
      </c>
      <c r="E414" s="1" t="n">
        <v>46317</v>
      </c>
      <c r="F414" t="inlineStr">
        <is>
          <t>VÄSTERNORRLANDS LÄN</t>
        </is>
      </c>
      <c r="G414" t="inlineStr">
        <is>
          <t>HÄRNÖSAND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12750-2022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44641</v>
      </c>
      <c r="E415" s="1" t="n">
        <v>46317</v>
      </c>
      <c r="F415" t="inlineStr">
        <is>
          <t>VÄSTERNORRLANDS LÄN</t>
        </is>
      </c>
      <c r="G415" t="inlineStr">
        <is>
          <t>HÄRNÖSAND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46317</v>
      </c>
      <c r="F416" t="inlineStr">
        <is>
          <t>VÄSTERNORRLANDS LÄN</t>
        </is>
      </c>
      <c r="G416" t="inlineStr">
        <is>
          <t>HÄRNÖSAND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20863-2026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46317</v>
      </c>
      <c r="F417" t="inlineStr">
        <is>
          <t>VÄSTERNORRLANDS LÄN</t>
        </is>
      </c>
      <c r="G417" t="inlineStr">
        <is>
          <t>HÄRNÖSAND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45168</v>
      </c>
      <c r="E418" s="1" t="n">
        <v>46317</v>
      </c>
      <c r="F418" t="inlineStr">
        <is>
          <t>VÄSTERNORRLANDS LÄN</t>
        </is>
      </c>
      <c r="G418" t="inlineStr">
        <is>
          <t>HÄRNÖSAND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32421-2024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45512</v>
      </c>
      <c r="E419" s="1" t="n">
        <v>46317</v>
      </c>
      <c r="F419" t="inlineStr">
        <is>
          <t>VÄSTERNORRLANDS LÄN</t>
        </is>
      </c>
      <c r="G419" t="inlineStr">
        <is>
          <t>HÄRNÖSAND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59715-2024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46317</v>
      </c>
      <c r="F420" t="inlineStr">
        <is>
          <t>VÄSTERNORRLANDS LÄN</t>
        </is>
      </c>
      <c r="G420" t="inlineStr">
        <is>
          <t>HÄRNÖSAND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46317</v>
      </c>
      <c r="F421" t="inlineStr">
        <is>
          <t>VÄSTERNORRLANDS LÄN</t>
        </is>
      </c>
      <c r="G421" t="inlineStr">
        <is>
          <t>HÄRNÖSAND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45595</v>
      </c>
      <c r="E422" s="1" t="n">
        <v>46317</v>
      </c>
      <c r="F422" t="inlineStr">
        <is>
          <t>VÄSTERNORRLANDS LÄN</t>
        </is>
      </c>
      <c r="G422" t="inlineStr">
        <is>
          <t>HÄRNÖSAND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49364-2024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45595</v>
      </c>
      <c r="E423" s="1" t="n">
        <v>46317</v>
      </c>
      <c r="F423" t="inlineStr">
        <is>
          <t>VÄSTERNORRLANDS LÄN</t>
        </is>
      </c>
      <c r="G423" t="inlineStr">
        <is>
          <t>HÄRNÖSAND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54091-2024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45616</v>
      </c>
      <c r="E424" s="1" t="n">
        <v>46317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46150</v>
      </c>
      <c r="E425" s="1" t="n">
        <v>46317</v>
      </c>
      <c r="F425" t="inlineStr">
        <is>
          <t>VÄSTERNORRLANDS LÄN</t>
        </is>
      </c>
      <c r="G425" t="inlineStr">
        <is>
          <t>HÄRNÖSAND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16979-2022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44676</v>
      </c>
      <c r="E426" s="1" t="n">
        <v>46317</v>
      </c>
      <c r="F426" t="inlineStr">
        <is>
          <t>VÄSTERNORRLANDS LÄN</t>
        </is>
      </c>
      <c r="G426" t="inlineStr">
        <is>
          <t>HÄRNÖSAND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46317</v>
      </c>
      <c r="F427" t="inlineStr">
        <is>
          <t>VÄSTERNORRLANDS LÄN</t>
        </is>
      </c>
      <c r="G427" t="inlineStr">
        <is>
          <t>HÄRNÖSAND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22200-2026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46317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46317</v>
      </c>
      <c r="F429" t="inlineStr">
        <is>
          <t>VÄSTERNORRLANDS LÄN</t>
        </is>
      </c>
      <c r="G429" t="inlineStr">
        <is>
          <t>HÄRNÖSAND</t>
        </is>
      </c>
      <c r="I429" t="n">
        <v>16.7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44694</v>
      </c>
      <c r="E430" s="1" t="n">
        <v>46317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46317</v>
      </c>
      <c r="F431" t="inlineStr">
        <is>
          <t>VÄSTERNORRLANDS LÄN</t>
        </is>
      </c>
      <c r="G431" t="inlineStr">
        <is>
          <t>HÄRNÖSAND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45617</v>
      </c>
      <c r="E432" s="1" t="n">
        <v>46317</v>
      </c>
      <c r="F432" t="inlineStr">
        <is>
          <t>VÄSTERNORRLANDS LÄN</t>
        </is>
      </c>
      <c r="G432" t="inlineStr">
        <is>
          <t>HÄRNÖSAND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47224-2025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45930</v>
      </c>
      <c r="E433" s="1" t="n">
        <v>46317</v>
      </c>
      <c r="F433" t="inlineStr">
        <is>
          <t>VÄSTERNORRLANDS LÄN</t>
        </is>
      </c>
      <c r="G433" t="inlineStr">
        <is>
          <t>HÄRNÖSAND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46317</v>
      </c>
      <c r="F434" t="inlineStr">
        <is>
          <t>VÄSTERNORRLANDS LÄN</t>
        </is>
      </c>
      <c r="G434" t="inlineStr">
        <is>
          <t>HÄRNÖSAND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46160</v>
      </c>
      <c r="E435" s="1" t="n">
        <v>46317</v>
      </c>
      <c r="F435" t="inlineStr">
        <is>
          <t>VÄSTERNORRLANDS LÄN</t>
        </is>
      </c>
      <c r="G435" t="inlineStr">
        <is>
          <t>HÄRNÖSAND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9727-2022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44617</v>
      </c>
      <c r="E436" s="1" t="n">
        <v>46317</v>
      </c>
      <c r="F436" t="inlineStr">
        <is>
          <t>VÄSTERNORRLANDS LÄN</t>
        </is>
      </c>
      <c r="G436" t="inlineStr">
        <is>
          <t>HÄRNÖSAND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45428</v>
      </c>
      <c r="E437" s="1" t="n">
        <v>46317</v>
      </c>
      <c r="F437" t="inlineStr">
        <is>
          <t>VÄSTERNORRLANDS LÄN</t>
        </is>
      </c>
      <c r="G437" t="inlineStr">
        <is>
          <t>HÄRNÖSAND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45163</v>
      </c>
      <c r="E438" s="1" t="n">
        <v>46317</v>
      </c>
      <c r="F438" t="inlineStr">
        <is>
          <t>VÄSTERNORRLANDS LÄN</t>
        </is>
      </c>
      <c r="G438" t="inlineStr">
        <is>
          <t>HÄRNÖSAND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36496-2023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45152</v>
      </c>
      <c r="E439" s="1" t="n">
        <v>46317</v>
      </c>
      <c r="F439" t="inlineStr">
        <is>
          <t>VÄSTERNORRLANDS LÄN</t>
        </is>
      </c>
      <c r="G439" t="inlineStr">
        <is>
          <t>HÄRNÖSAND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46317</v>
      </c>
      <c r="F440" t="inlineStr">
        <is>
          <t>VÄSTERNORRLANDS LÄN</t>
        </is>
      </c>
      <c r="G440" t="inlineStr">
        <is>
          <t>HÄRNÖSAND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46317</v>
      </c>
      <c r="F441" t="inlineStr">
        <is>
          <t>VÄSTERNORRLANDS LÄN</t>
        </is>
      </c>
      <c r="G441" t="inlineStr">
        <is>
          <t>HÄRNÖSAND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49261-2022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44858</v>
      </c>
      <c r="E442" s="1" t="n">
        <v>46317</v>
      </c>
      <c r="F442" t="inlineStr">
        <is>
          <t>VÄSTERNORRLANDS LÄN</t>
        </is>
      </c>
      <c r="G442" t="inlineStr">
        <is>
          <t>HÄRNÖSAND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46317</v>
      </c>
      <c r="F443" t="inlineStr">
        <is>
          <t>VÄSTERNORRLANDS LÄN</t>
        </is>
      </c>
      <c r="G443" t="inlineStr">
        <is>
          <t>HÄRNÖSAND</t>
        </is>
      </c>
      <c r="I443" t="n">
        <v>9.199999999999999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46317</v>
      </c>
      <c r="F444" t="inlineStr">
        <is>
          <t>VÄSTERNORRLANDS LÄN</t>
        </is>
      </c>
      <c r="G444" t="inlineStr">
        <is>
          <t>HÄRNÖSAND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46317</v>
      </c>
      <c r="F445" t="inlineStr">
        <is>
          <t>VÄSTERNORRLANDS LÄN</t>
        </is>
      </c>
      <c r="G445" t="inlineStr">
        <is>
          <t>HÄRNÖSAND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23185-2026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46161</v>
      </c>
      <c r="E446" s="1" t="n">
        <v>46317</v>
      </c>
      <c r="F446" t="inlineStr">
        <is>
          <t>VÄSTERNORRLANDS LÄN</t>
        </is>
      </c>
      <c r="G446" t="inlineStr">
        <is>
          <t>HÄRNÖSAND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23231-2026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46317</v>
      </c>
      <c r="F447" t="inlineStr">
        <is>
          <t>VÄSTERNORRLANDS LÄN</t>
        </is>
      </c>
      <c r="G447" t="inlineStr">
        <is>
          <t>HÄRNÖSAND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46317</v>
      </c>
      <c r="F448" t="inlineStr">
        <is>
          <t>VÄSTERNORRLANDS LÄN</t>
        </is>
      </c>
      <c r="G448" t="inlineStr">
        <is>
          <t>HÄRNÖSAND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45786</v>
      </c>
      <c r="E449" s="1" t="n">
        <v>46317</v>
      </c>
      <c r="F449" t="inlineStr">
        <is>
          <t>VÄSTERNORRLANDS LÄN</t>
        </is>
      </c>
      <c r="G449" t="inlineStr">
        <is>
          <t>HÄRNÖSAND</t>
        </is>
      </c>
      <c r="H449" t="inlineStr">
        <is>
          <t>SCA</t>
        </is>
      </c>
      <c r="I449" t="n">
        <v>31.8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27694-2025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45813</v>
      </c>
      <c r="E450" s="1" t="n">
        <v>46317</v>
      </c>
      <c r="F450" t="inlineStr">
        <is>
          <t>VÄSTERNORRLANDS LÄN</t>
        </is>
      </c>
      <c r="G450" t="inlineStr">
        <is>
          <t>HÄRNÖSAND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46317</v>
      </c>
      <c r="F451" t="inlineStr">
        <is>
          <t>VÄSTERNORRLANDS LÄN</t>
        </is>
      </c>
      <c r="G451" t="inlineStr">
        <is>
          <t>HÄRNÖSAND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45790</v>
      </c>
      <c r="E452" s="1" t="n">
        <v>46317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31.8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46317</v>
      </c>
      <c r="F453" t="inlineStr">
        <is>
          <t>VÄSTERNORRLANDS LÄN</t>
        </is>
      </c>
      <c r="G453" t="inlineStr">
        <is>
          <t>HÄRNÖSAND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46317</v>
      </c>
      <c r="F454" t="inlineStr">
        <is>
          <t>VÄSTERNORRLANDS LÄN</t>
        </is>
      </c>
      <c r="G454" t="inlineStr">
        <is>
          <t>HÄRNÖSAND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45163</v>
      </c>
      <c r="E455" s="1" t="n">
        <v>46317</v>
      </c>
      <c r="F455" t="inlineStr">
        <is>
          <t>VÄSTERNORRLANDS LÄN</t>
        </is>
      </c>
      <c r="G455" t="inlineStr">
        <is>
          <t>HÄRNÖSAND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44706</v>
      </c>
      <c r="E456" s="1" t="n">
        <v>46317</v>
      </c>
      <c r="F456" t="inlineStr">
        <is>
          <t>VÄSTERNORRLANDS LÄN</t>
        </is>
      </c>
      <c r="G456" t="inlineStr">
        <is>
          <t>HÄRNÖSAND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44728</v>
      </c>
      <c r="E457" s="1" t="n">
        <v>46317</v>
      </c>
      <c r="F457" t="inlineStr">
        <is>
          <t>VÄSTERNORRLANDS LÄN</t>
        </is>
      </c>
      <c r="G457" t="inlineStr">
        <is>
          <t>HÄRNÖSAND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46317</v>
      </c>
      <c r="F458" t="inlineStr">
        <is>
          <t>VÄSTERNORRLANDS LÄN</t>
        </is>
      </c>
      <c r="G458" t="inlineStr">
        <is>
          <t>HÄRNÖSAND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46317</v>
      </c>
      <c r="F459" t="inlineStr">
        <is>
          <t>VÄSTERNORRLANDS LÄN</t>
        </is>
      </c>
      <c r="G459" t="inlineStr">
        <is>
          <t>HÄRNÖSAND</t>
        </is>
      </c>
      <c r="I459" t="n">
        <v>12.3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46317</v>
      </c>
      <c r="F460" t="inlineStr">
        <is>
          <t>VÄSTERNORRLANDS LÄN</t>
        </is>
      </c>
      <c r="G460" t="inlineStr">
        <is>
          <t>HÄRNÖSAND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59591-2024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45638</v>
      </c>
      <c r="E461" s="1" t="n">
        <v>46317</v>
      </c>
      <c r="F461" t="inlineStr">
        <is>
          <t>VÄSTERNORRLANDS LÄN</t>
        </is>
      </c>
      <c r="G461" t="inlineStr">
        <is>
          <t>HÄRNÖSAND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46317</v>
      </c>
      <c r="F462" t="inlineStr">
        <is>
          <t>VÄSTERNORRLANDS LÄN</t>
        </is>
      </c>
      <c r="G462" t="inlineStr">
        <is>
          <t>HÄRNÖSAND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46149</v>
      </c>
      <c r="E463" s="1" t="n">
        <v>46317</v>
      </c>
      <c r="F463" t="inlineStr">
        <is>
          <t>VÄSTERNORRLANDS LÄN</t>
        </is>
      </c>
      <c r="G463" t="inlineStr">
        <is>
          <t>HÄRNÖSAND</t>
        </is>
      </c>
      <c r="I463" t="n">
        <v>13.8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45181</v>
      </c>
      <c r="E464" s="1" t="n">
        <v>46317</v>
      </c>
      <c r="F464" t="inlineStr">
        <is>
          <t>VÄSTERNORRLANDS LÄN</t>
        </is>
      </c>
      <c r="G464" t="inlineStr">
        <is>
          <t>HÄRNÖSAND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25007-2022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44728</v>
      </c>
      <c r="E465" s="1" t="n">
        <v>46317</v>
      </c>
      <c r="F465" t="inlineStr">
        <is>
          <t>VÄSTERNORRLANDS LÄN</t>
        </is>
      </c>
      <c r="G465" t="inlineStr">
        <is>
          <t>HÄRNÖSAND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45189</v>
      </c>
      <c r="E466" s="1" t="n">
        <v>46317</v>
      </c>
      <c r="F466" t="inlineStr">
        <is>
          <t>VÄSTERNORRLANDS LÄN</t>
        </is>
      </c>
      <c r="G466" t="inlineStr">
        <is>
          <t>HÄRNÖSAND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46165</v>
      </c>
      <c r="E467" s="1" t="n">
        <v>46317</v>
      </c>
      <c r="F467" t="inlineStr">
        <is>
          <t>VÄSTERNORRLANDS LÄN</t>
        </is>
      </c>
      <c r="G467" t="inlineStr">
        <is>
          <t>HÄRNÖSAND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46317</v>
      </c>
      <c r="F468" t="inlineStr">
        <is>
          <t>VÄSTERNORRLANDS LÄN</t>
        </is>
      </c>
      <c r="G468" t="inlineStr">
        <is>
          <t>HÄRNÖSAND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45699</v>
      </c>
      <c r="E469" s="1" t="n">
        <v>46317</v>
      </c>
      <c r="F469" t="inlineStr">
        <is>
          <t>VÄSTERNORRLANDS LÄN</t>
        </is>
      </c>
      <c r="G469" t="inlineStr">
        <is>
          <t>HÄRNÖSAND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45910</v>
      </c>
      <c r="E470" s="1" t="n">
        <v>46317</v>
      </c>
      <c r="F470" t="inlineStr">
        <is>
          <t>VÄSTERNORRLANDS LÄN</t>
        </is>
      </c>
      <c r="G470" t="inlineStr">
        <is>
          <t>HÄRNÖSAND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45168</v>
      </c>
      <c r="E471" s="1" t="n">
        <v>46317</v>
      </c>
      <c r="F471" t="inlineStr">
        <is>
          <t>VÄSTERNORRLANDS LÄN</t>
        </is>
      </c>
      <c r="G471" t="inlineStr">
        <is>
          <t>HÄRNÖSAND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46317</v>
      </c>
      <c r="F472" t="inlineStr">
        <is>
          <t>VÄSTERNORRLANDS LÄN</t>
        </is>
      </c>
      <c r="G472" t="inlineStr">
        <is>
          <t>HÄRNÖSAND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46317</v>
      </c>
      <c r="F473" t="inlineStr">
        <is>
          <t>VÄSTERNORRLANDS LÄN</t>
        </is>
      </c>
      <c r="G473" t="inlineStr">
        <is>
          <t>HÄRNÖSAND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25254-2026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46317</v>
      </c>
      <c r="F474" t="inlineStr">
        <is>
          <t>VÄSTERNORRLANDS LÄN</t>
        </is>
      </c>
      <c r="G474" t="inlineStr">
        <is>
          <t>HÄRNÖSAND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13417-2026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46317</v>
      </c>
      <c r="F475" t="inlineStr">
        <is>
          <t>VÄSTERNORRLANDS LÄN</t>
        </is>
      </c>
      <c r="G475" t="inlineStr">
        <is>
          <t>HÄRNÖSAND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46317</v>
      </c>
      <c r="F476" t="inlineStr">
        <is>
          <t>VÄSTERNORRLANDS LÄN</t>
        </is>
      </c>
      <c r="G476" t="inlineStr">
        <is>
          <t>HÄRNÖSAND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44726</v>
      </c>
      <c r="E477" s="1" t="n">
        <v>46317</v>
      </c>
      <c r="F477" t="inlineStr">
        <is>
          <t>VÄSTERNORRLANDS LÄN</t>
        </is>
      </c>
      <c r="G477" t="inlineStr">
        <is>
          <t>HÄRNÖSAND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46317</v>
      </c>
      <c r="F478" t="inlineStr">
        <is>
          <t>VÄSTERNORRLANDS LÄN</t>
        </is>
      </c>
      <c r="G478" t="inlineStr">
        <is>
          <t>HÄRNÖSAND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46317</v>
      </c>
      <c r="F479" t="inlineStr">
        <is>
          <t>VÄSTERNORRLANDS LÄN</t>
        </is>
      </c>
      <c r="G479" t="inlineStr">
        <is>
          <t>HÄRNÖSAND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45723</v>
      </c>
      <c r="E480" s="1" t="n">
        <v>46317</v>
      </c>
      <c r="F480" t="inlineStr">
        <is>
          <t>VÄSTERNORRLANDS LÄN</t>
        </is>
      </c>
      <c r="G480" t="inlineStr">
        <is>
          <t>HÄRNÖSAND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46317</v>
      </c>
      <c r="F481" t="inlineStr">
        <is>
          <t>VÄSTERNORRLANDS LÄN</t>
        </is>
      </c>
      <c r="G481" t="inlineStr">
        <is>
          <t>HÄRNÖSAND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25452-2026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46177</v>
      </c>
      <c r="E482" s="1" t="n">
        <v>46317</v>
      </c>
      <c r="F482" t="inlineStr">
        <is>
          <t>VÄSTERNORRLANDS LÄN</t>
        </is>
      </c>
      <c r="G482" t="inlineStr">
        <is>
          <t>HÄRNÖSAND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25466-2026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46317</v>
      </c>
      <c r="F483" t="inlineStr">
        <is>
          <t>VÄSTERNORRLANDS LÄN</t>
        </is>
      </c>
      <c r="G483" t="inlineStr">
        <is>
          <t>HÄRNÖSAND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46317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46177</v>
      </c>
      <c r="E485" s="1" t="n">
        <v>46317</v>
      </c>
      <c r="F485" t="inlineStr">
        <is>
          <t>VÄSTERNORRLANDS LÄN</t>
        </is>
      </c>
      <c r="G485" t="inlineStr">
        <is>
          <t>HÄRNÖSAND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46178</v>
      </c>
      <c r="E486" s="1" t="n">
        <v>46317</v>
      </c>
      <c r="F486" t="inlineStr">
        <is>
          <t>VÄSTERNORRLANDS LÄN</t>
        </is>
      </c>
      <c r="G486" t="inlineStr">
        <is>
          <t>HÄRNÖSAND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59155-2023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45251</v>
      </c>
      <c r="E487" s="1" t="n">
        <v>46317</v>
      </c>
      <c r="F487" t="inlineStr">
        <is>
          <t>VÄSTERNORRLANDS LÄN</t>
        </is>
      </c>
      <c r="G487" t="inlineStr">
        <is>
          <t>HÄRNÖSAND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7852-2024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45350</v>
      </c>
      <c r="E488" s="1" t="n">
        <v>46317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45293</v>
      </c>
      <c r="E489" s="1" t="n">
        <v>46317</v>
      </c>
      <c r="F489" t="inlineStr">
        <is>
          <t>VÄSTERNORRLANDS LÄN</t>
        </is>
      </c>
      <c r="G489" t="inlineStr">
        <is>
          <t>HÄRNÖSAND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45320</v>
      </c>
      <c r="E490" s="1" t="n">
        <v>46317</v>
      </c>
      <c r="F490" t="inlineStr">
        <is>
          <t>VÄSTERNORRLANDS LÄN</t>
        </is>
      </c>
      <c r="G490" t="inlineStr">
        <is>
          <t>HÄRNÖSAND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46181</v>
      </c>
      <c r="E491" s="1" t="n">
        <v>46317</v>
      </c>
      <c r="F491" t="inlineStr">
        <is>
          <t>VÄSTERNORRLANDS LÄN</t>
        </is>
      </c>
      <c r="G491" t="inlineStr">
        <is>
          <t>HÄRNÖSAND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46317</v>
      </c>
      <c r="F492" t="inlineStr">
        <is>
          <t>VÄSTERNORRLANDS LÄN</t>
        </is>
      </c>
      <c r="G492" t="inlineStr">
        <is>
          <t>HÄRNÖSAND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55276-2023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45231</v>
      </c>
      <c r="E493" s="1" t="n">
        <v>46317</v>
      </c>
      <c r="F493" t="inlineStr">
        <is>
          <t>VÄSTERNORRLANDS LÄN</t>
        </is>
      </c>
      <c r="G493" t="inlineStr">
        <is>
          <t>HÄRNÖSAND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44747</v>
      </c>
      <c r="E494" s="1" t="n">
        <v>46317</v>
      </c>
      <c r="F494" t="inlineStr">
        <is>
          <t>VÄSTERNORRLANDS LÄN</t>
        </is>
      </c>
      <c r="G494" t="inlineStr">
        <is>
          <t>HÄRNÖSAND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45072</v>
      </c>
      <c r="E495" s="1" t="n">
        <v>46317</v>
      </c>
      <c r="F495" t="inlineStr">
        <is>
          <t>VÄSTERNORRLANDS LÄN</t>
        </is>
      </c>
      <c r="G495" t="inlineStr">
        <is>
          <t>HÄRNÖSAND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46317</v>
      </c>
      <c r="F496" t="inlineStr">
        <is>
          <t>VÄSTERNORRLANDS LÄN</t>
        </is>
      </c>
      <c r="G496" t="inlineStr">
        <is>
          <t>HÄRNÖSAND</t>
        </is>
      </c>
      <c r="I496" t="n">
        <v>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46317</v>
      </c>
      <c r="F497" t="inlineStr">
        <is>
          <t>VÄSTERNORRLANDS LÄN</t>
        </is>
      </c>
      <c r="G497" t="inlineStr">
        <is>
          <t>HÄRNÖSAND</t>
        </is>
      </c>
      <c r="I497" t="n">
        <v>9.1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45313</v>
      </c>
      <c r="E498" s="1" t="n">
        <v>46317</v>
      </c>
      <c r="F498" t="inlineStr">
        <is>
          <t>VÄSTERNORRLANDS LÄN</t>
        </is>
      </c>
      <c r="G498" t="inlineStr">
        <is>
          <t>HÄRNÖSAND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46317</v>
      </c>
      <c r="F499" t="inlineStr">
        <is>
          <t>VÄSTERNORRLANDS LÄN</t>
        </is>
      </c>
      <c r="G499" t="inlineStr">
        <is>
          <t>HÄRNÖSAND</t>
        </is>
      </c>
      <c r="I499" t="n">
        <v>8.4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47944-2022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44853</v>
      </c>
      <c r="E500" s="1" t="n">
        <v>46317</v>
      </c>
      <c r="F500" t="inlineStr">
        <is>
          <t>VÄSTERNORRLANDS LÄN</t>
        </is>
      </c>
      <c r="G500" t="inlineStr">
        <is>
          <t>HÄRNÖSAND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46317</v>
      </c>
      <c r="F501" t="inlineStr">
        <is>
          <t>VÄSTERNORRLANDS LÄN</t>
        </is>
      </c>
      <c r="G501" t="inlineStr">
        <is>
          <t>HÄRNÖSAND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16246-2025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46317</v>
      </c>
      <c r="F502" t="inlineStr">
        <is>
          <t>VÄSTERNORRLANDS LÄN</t>
        </is>
      </c>
      <c r="G502" t="inlineStr">
        <is>
          <t>HÄRNÖSAND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45757</v>
      </c>
      <c r="E503" s="1" t="n">
        <v>46317</v>
      </c>
      <c r="F503" t="inlineStr">
        <is>
          <t>VÄSTERNORRLANDS LÄN</t>
        </is>
      </c>
      <c r="G503" t="inlineStr">
        <is>
          <t>HÄRNÖSAND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45800</v>
      </c>
      <c r="E504" s="1" t="n">
        <v>46317</v>
      </c>
      <c r="F504" t="inlineStr">
        <is>
          <t>VÄSTERNORRLANDS LÄN</t>
        </is>
      </c>
      <c r="G504" t="inlineStr">
        <is>
          <t>HÄRNÖSAND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46317</v>
      </c>
      <c r="F505" t="inlineStr">
        <is>
          <t>VÄSTERNORRLANDS LÄN</t>
        </is>
      </c>
      <c r="G505" t="inlineStr">
        <is>
          <t>HÄRNÖSAND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46189</v>
      </c>
      <c r="E506" s="1" t="n">
        <v>46317</v>
      </c>
      <c r="F506" t="inlineStr">
        <is>
          <t>VÄSTERNORRLANDS LÄN</t>
        </is>
      </c>
      <c r="G506" t="inlineStr">
        <is>
          <t>HÄRNÖSAND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44792</v>
      </c>
      <c r="E507" s="1" t="n">
        <v>46317</v>
      </c>
      <c r="F507" t="inlineStr">
        <is>
          <t>VÄSTERNORRLANDS LÄN</t>
        </is>
      </c>
      <c r="G507" t="inlineStr">
        <is>
          <t>HÄRNÖSAND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46189</v>
      </c>
      <c r="E508" s="1" t="n">
        <v>46317</v>
      </c>
      <c r="F508" t="inlineStr">
        <is>
          <t>VÄSTERNORRLANDS LÄN</t>
        </is>
      </c>
      <c r="G508" t="inlineStr">
        <is>
          <t>HÄRNÖSAND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46317</v>
      </c>
      <c r="F509" t="inlineStr">
        <is>
          <t>VÄSTERNORRLANDS LÄN</t>
        </is>
      </c>
      <c r="G509" t="inlineStr">
        <is>
          <t>HÄRNÖSAND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12675-2025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45733</v>
      </c>
      <c r="E510" s="1" t="n">
        <v>46317</v>
      </c>
      <c r="F510" t="inlineStr">
        <is>
          <t>VÄSTERNORRLANDS LÄN</t>
        </is>
      </c>
      <c r="G510" t="inlineStr">
        <is>
          <t>HÄRNÖSAND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30710-2024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45496</v>
      </c>
      <c r="E511" s="1" t="n">
        <v>46317</v>
      </c>
      <c r="F511" t="inlineStr">
        <is>
          <t>VÄSTERNORRLANDS LÄN</t>
        </is>
      </c>
      <c r="G511" t="inlineStr">
        <is>
          <t>HÄRNÖSAND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8411-2024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45352</v>
      </c>
      <c r="E512" s="1" t="n">
        <v>46317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SCA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46317</v>
      </c>
      <c r="F513" t="inlineStr">
        <is>
          <t>VÄSTERNORRLANDS LÄN</t>
        </is>
      </c>
      <c r="G513" t="inlineStr">
        <is>
          <t>HÄRNÖSAND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26976-2023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46317</v>
      </c>
      <c r="F514" t="inlineStr">
        <is>
          <t>VÄSTERNORRLANDS LÄN</t>
        </is>
      </c>
      <c r="G514" t="inlineStr">
        <is>
          <t>HÄRNÖSAND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64377-2023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45280</v>
      </c>
      <c r="E515" s="1" t="n">
        <v>46317</v>
      </c>
      <c r="F515" t="inlineStr">
        <is>
          <t>VÄSTERNORRLANDS LÄN</t>
        </is>
      </c>
      <c r="G515" t="inlineStr">
        <is>
          <t>HÄRNÖSAND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27922-2026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46191</v>
      </c>
      <c r="E516" s="1" t="n">
        <v>46317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46317</v>
      </c>
      <c r="F517" t="inlineStr">
        <is>
          <t>VÄSTERNORRLANDS LÄN</t>
        </is>
      </c>
      <c r="G517" t="inlineStr">
        <is>
          <t>HÄRNÖSAND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46317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46317</v>
      </c>
      <c r="F519" t="inlineStr">
        <is>
          <t>VÄSTERNORRLANDS LÄN</t>
        </is>
      </c>
      <c r="G519" t="inlineStr">
        <is>
          <t>HÄRNÖSAND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46317</v>
      </c>
      <c r="F520" t="inlineStr">
        <is>
          <t>VÄSTERNORRLANDS LÄN</t>
        </is>
      </c>
      <c r="G520" t="inlineStr">
        <is>
          <t>HÄRNÖSAND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45462</v>
      </c>
      <c r="E521" s="1" t="n">
        <v>46317</v>
      </c>
      <c r="F521" t="inlineStr">
        <is>
          <t>VÄSTERNORRLANDS LÄN</t>
        </is>
      </c>
      <c r="G521" t="inlineStr">
        <is>
          <t>HÄRNÖSAND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46317</v>
      </c>
      <c r="F522" t="inlineStr">
        <is>
          <t>VÄSTERNORRLANDS LÄN</t>
        </is>
      </c>
      <c r="G522" t="inlineStr">
        <is>
          <t>HÄRNÖSAND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46317</v>
      </c>
      <c r="F523" t="inlineStr">
        <is>
          <t>VÄSTERNORRLANDS LÄN</t>
        </is>
      </c>
      <c r="G523" t="inlineStr">
        <is>
          <t>HÄRNÖSAND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46317</v>
      </c>
      <c r="F524" t="inlineStr">
        <is>
          <t>VÄSTERNORRLANDS LÄN</t>
        </is>
      </c>
      <c r="G524" t="inlineStr">
        <is>
          <t>HÄRNÖSAND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52987-2022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44875</v>
      </c>
      <c r="E525" s="1" t="n">
        <v>46317</v>
      </c>
      <c r="F525" t="inlineStr">
        <is>
          <t>VÄSTERNORRLANDS LÄN</t>
        </is>
      </c>
      <c r="G525" t="inlineStr">
        <is>
          <t>HÄRNÖSAND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45482</v>
      </c>
      <c r="E526" s="1" t="n">
        <v>46317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45496</v>
      </c>
      <c r="E527" s="1" t="n">
        <v>46317</v>
      </c>
      <c r="F527" t="inlineStr">
        <is>
          <t>VÄSTERNORRLANDS LÄN</t>
        </is>
      </c>
      <c r="G527" t="inlineStr">
        <is>
          <t>HÄRNÖSAND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44957</v>
      </c>
      <c r="E528" s="1" t="n">
        <v>46317</v>
      </c>
      <c r="F528" t="inlineStr">
        <is>
          <t>VÄSTERNORRLANDS LÄN</t>
        </is>
      </c>
      <c r="G528" t="inlineStr">
        <is>
          <t>HÄRNÖSAND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59034-2022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44903</v>
      </c>
      <c r="E529" s="1" t="n">
        <v>46317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46317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46317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46317</v>
      </c>
      <c r="F532" t="inlineStr">
        <is>
          <t>VÄSTERNORRLANDS LÄN</t>
        </is>
      </c>
      <c r="G532" t="inlineStr">
        <is>
          <t>HÄRNÖSAND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46317</v>
      </c>
      <c r="F533" t="inlineStr">
        <is>
          <t>VÄSTERNORRLANDS LÄN</t>
        </is>
      </c>
      <c r="G533" t="inlineStr">
        <is>
          <t>HÄRNÖSAND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11881-2024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45376</v>
      </c>
      <c r="E534" s="1" t="n">
        <v>46317</v>
      </c>
      <c r="F534" t="inlineStr">
        <is>
          <t>VÄSTERNORRLANDS LÄN</t>
        </is>
      </c>
      <c r="G534" t="inlineStr">
        <is>
          <t>HÄRNÖSAND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29877-2026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46205</v>
      </c>
      <c r="E535" s="1" t="n">
        <v>46317</v>
      </c>
      <c r="F535" t="inlineStr">
        <is>
          <t>VÄSTERNORRLANDS LÄN</t>
        </is>
      </c>
      <c r="G535" t="inlineStr">
        <is>
          <t>HÄRNÖSAND</t>
        </is>
      </c>
      <c r="I535" t="n">
        <v>14.6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46317</v>
      </c>
      <c r="F536" t="inlineStr">
        <is>
          <t>VÄSTERNORRLANDS LÄN</t>
        </is>
      </c>
      <c r="G536" t="inlineStr">
        <is>
          <t>HÄRNÖSAND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46317</v>
      </c>
      <c r="F537" t="inlineStr">
        <is>
          <t>VÄSTERNORRLANDS LÄN</t>
        </is>
      </c>
      <c r="G537" t="inlineStr">
        <is>
          <t>HÄRNÖSAND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46317</v>
      </c>
      <c r="F538" t="inlineStr">
        <is>
          <t>VÄSTERNORRLANDS LÄN</t>
        </is>
      </c>
      <c r="G538" t="inlineStr">
        <is>
          <t>HÄRNÖSAND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46317</v>
      </c>
      <c r="F539" t="inlineStr">
        <is>
          <t>VÄSTERNORRLANDS LÄN</t>
        </is>
      </c>
      <c r="G539" t="inlineStr">
        <is>
          <t>HÄRNÖSAND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45800</v>
      </c>
      <c r="E540" s="1" t="n">
        <v>46317</v>
      </c>
      <c r="F540" t="inlineStr">
        <is>
          <t>VÄSTERNORRLANDS LÄN</t>
        </is>
      </c>
      <c r="G540" t="inlineStr">
        <is>
          <t>HÄRNÖSAND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56165-2022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44889</v>
      </c>
      <c r="E541" s="1" t="n">
        <v>46317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SCA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46317</v>
      </c>
      <c r="F542" t="inlineStr">
        <is>
          <t>VÄSTERNORRLANDS LÄN</t>
        </is>
      </c>
      <c r="G542" t="inlineStr">
        <is>
          <t>HÄRNÖSAND</t>
        </is>
      </c>
      <c r="I542" t="n">
        <v>7.9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65224-2023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45289</v>
      </c>
      <c r="E543" s="1" t="n">
        <v>46317</v>
      </c>
      <c r="F543" t="inlineStr">
        <is>
          <t>VÄSTERNORRLANDS LÄN</t>
        </is>
      </c>
      <c r="G543" t="inlineStr">
        <is>
          <t>HÄRNÖSAND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45687-2022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44845</v>
      </c>
      <c r="E544" s="1" t="n">
        <v>46317</v>
      </c>
      <c r="F544" t="inlineStr">
        <is>
          <t>VÄSTERNORRLANDS LÄN</t>
        </is>
      </c>
      <c r="G544" t="inlineStr">
        <is>
          <t>HÄRNÖSAND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30017-2026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46317</v>
      </c>
      <c r="F545" t="inlineStr">
        <is>
          <t>VÄSTERNORRLANDS LÄN</t>
        </is>
      </c>
      <c r="G545" t="inlineStr">
        <is>
          <t>HÄRNÖSAND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46317</v>
      </c>
      <c r="F546" t="inlineStr">
        <is>
          <t>VÄSTERNORRLANDS LÄN</t>
        </is>
      </c>
      <c r="G546" t="inlineStr">
        <is>
          <t>HÄRNÖSAND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46317</v>
      </c>
      <c r="F547" t="inlineStr">
        <is>
          <t>VÄSTERNORRLANDS LÄN</t>
        </is>
      </c>
      <c r="G547" t="inlineStr">
        <is>
          <t>HÄRNÖSAND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46317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Kyrkan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46317</v>
      </c>
      <c r="F549" t="inlineStr">
        <is>
          <t>VÄSTERNORRLANDS LÄN</t>
        </is>
      </c>
      <c r="G549" t="inlineStr">
        <is>
          <t>HÄRNÖSAND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46211</v>
      </c>
      <c r="E550" s="1" t="n">
        <v>46317</v>
      </c>
      <c r="F550" t="inlineStr">
        <is>
          <t>VÄSTERNORRLANDS LÄN</t>
        </is>
      </c>
      <c r="G550" t="inlineStr">
        <is>
          <t>HÄRNÖSAND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46508-2023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45194</v>
      </c>
      <c r="E551" s="1" t="n">
        <v>46317</v>
      </c>
      <c r="F551" t="inlineStr">
        <is>
          <t>VÄSTERNORRLANDS LÄN</t>
        </is>
      </c>
      <c r="G551" t="inlineStr">
        <is>
          <t>HÄRNÖSAND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65222-2023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45289</v>
      </c>
      <c r="E552" s="1" t="n">
        <v>46317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44580</v>
      </c>
      <c r="E553" s="1" t="n">
        <v>46317</v>
      </c>
      <c r="F553" t="inlineStr">
        <is>
          <t>VÄSTERNORRLANDS LÄN</t>
        </is>
      </c>
      <c r="G553" t="inlineStr">
        <is>
          <t>HÄRNÖSAND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46211</v>
      </c>
      <c r="E554" s="1" t="n">
        <v>46317</v>
      </c>
      <c r="F554" t="inlineStr">
        <is>
          <t>VÄSTERNORRLANDS LÄN</t>
        </is>
      </c>
      <c r="G554" t="inlineStr">
        <is>
          <t>HÄRNÖSAND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27976-2024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45476</v>
      </c>
      <c r="E555" s="1" t="n">
        <v>46317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30971-2026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46213</v>
      </c>
      <c r="E556" s="1" t="n">
        <v>46317</v>
      </c>
      <c r="F556" t="inlineStr">
        <is>
          <t>VÄSTERNORRLANDS LÄN</t>
        </is>
      </c>
      <c r="G556" t="inlineStr">
        <is>
          <t>HÄRNÖSAND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7793-2024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45348</v>
      </c>
      <c r="E557" s="1" t="n">
        <v>46317</v>
      </c>
      <c r="F557" t="inlineStr">
        <is>
          <t>VÄSTERNORRLANDS LÄN</t>
        </is>
      </c>
      <c r="G557" t="inlineStr">
        <is>
          <t>HÄRNÖSAND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46213</v>
      </c>
      <c r="E558" s="1" t="n">
        <v>46317</v>
      </c>
      <c r="F558" t="inlineStr">
        <is>
          <t>VÄSTERNORRLANDS LÄN</t>
        </is>
      </c>
      <c r="G558" t="inlineStr">
        <is>
          <t>HÄRNÖSAND</t>
        </is>
      </c>
      <c r="I558" t="n">
        <v>13.6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13611-2023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45006</v>
      </c>
      <c r="E559" s="1" t="n">
        <v>46317</v>
      </c>
      <c r="F559" t="inlineStr">
        <is>
          <t>VÄSTERNORRLANDS LÄN</t>
        </is>
      </c>
      <c r="G559" t="inlineStr">
        <is>
          <t>HÄRNÖSAND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46215</v>
      </c>
      <c r="E560" s="1" t="n">
        <v>46317</v>
      </c>
      <c r="F560" t="inlineStr">
        <is>
          <t>VÄSTERNORRLANDS LÄN</t>
        </is>
      </c>
      <c r="G560" t="inlineStr">
        <is>
          <t>HÄRNÖSAND</t>
        </is>
      </c>
      <c r="I560" t="n">
        <v>12.7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31050-2026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46215</v>
      </c>
      <c r="E561" s="1" t="n">
        <v>46317</v>
      </c>
      <c r="F561" t="inlineStr">
        <is>
          <t>VÄSTERNORRLANDS LÄN</t>
        </is>
      </c>
      <c r="G561" t="inlineStr">
        <is>
          <t>HÄRNÖSAND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46317</v>
      </c>
      <c r="F562" t="inlineStr">
        <is>
          <t>VÄSTERNORRLANDS LÄN</t>
        </is>
      </c>
      <c r="G562" t="inlineStr">
        <is>
          <t>HÄRNÖSAND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17431-2023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45035</v>
      </c>
      <c r="E563" s="1" t="n">
        <v>46317</v>
      </c>
      <c r="F563" t="inlineStr">
        <is>
          <t>VÄSTERNORRLANDS LÄN</t>
        </is>
      </c>
      <c r="G563" t="inlineStr">
        <is>
          <t>HÄRNÖSAND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10544-2023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44987</v>
      </c>
      <c r="E564" s="1" t="n">
        <v>46317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46219</v>
      </c>
      <c r="E565" s="1" t="n">
        <v>46317</v>
      </c>
      <c r="F565" t="inlineStr">
        <is>
          <t>VÄSTERNORRLANDS LÄN</t>
        </is>
      </c>
      <c r="G565" t="inlineStr">
        <is>
          <t>HÄRNÖSAND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46219</v>
      </c>
      <c r="E566" s="1" t="n">
        <v>46317</v>
      </c>
      <c r="F566" t="inlineStr">
        <is>
          <t>VÄSTERNORRLANDS LÄN</t>
        </is>
      </c>
      <c r="G566" t="inlineStr">
        <is>
          <t>HÄRNÖSAND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31506-2026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46219</v>
      </c>
      <c r="E567" s="1" t="n">
        <v>46317</v>
      </c>
      <c r="F567" t="inlineStr">
        <is>
          <t>VÄSTERNORRLANDS LÄN</t>
        </is>
      </c>
      <c r="G567" t="inlineStr">
        <is>
          <t>HÄRNÖSAND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52237-2022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44869</v>
      </c>
      <c r="E568" s="1" t="n">
        <v>46317</v>
      </c>
      <c r="F568" t="inlineStr">
        <is>
          <t>VÄSTERNORRLANDS LÄN</t>
        </is>
      </c>
      <c r="G568" t="inlineStr">
        <is>
          <t>HÄRNÖSAND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46317</v>
      </c>
      <c r="F569" t="inlineStr">
        <is>
          <t>VÄSTERNORRLANDS LÄN</t>
        </is>
      </c>
      <c r="G569" t="inlineStr">
        <is>
          <t>HÄRNÖSAND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29483-2026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46317</v>
      </c>
      <c r="F570" t="inlineStr">
        <is>
          <t>VÄSTERNORRLANDS LÄN</t>
        </is>
      </c>
      <c r="G570" t="inlineStr">
        <is>
          <t>HÄRNÖSAND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46213</v>
      </c>
      <c r="E571" s="1" t="n">
        <v>46317</v>
      </c>
      <c r="F571" t="inlineStr">
        <is>
          <t>VÄSTERNORRLANDS LÄN</t>
        </is>
      </c>
      <c r="G571" t="inlineStr">
        <is>
          <t>HÄRNÖSAND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46317</v>
      </c>
      <c r="F572" t="inlineStr">
        <is>
          <t>VÄSTERNORRLANDS LÄN</t>
        </is>
      </c>
      <c r="G572" t="inlineStr">
        <is>
          <t>HÄRNÖSAND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12533-2023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45000</v>
      </c>
      <c r="E573" s="1" t="n">
        <v>46317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12543-2023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45000</v>
      </c>
      <c r="E574" s="1" t="n">
        <v>46317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58869-2023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45250</v>
      </c>
      <c r="E575" s="1" t="n">
        <v>46317</v>
      </c>
      <c r="F575" t="inlineStr">
        <is>
          <t>VÄSTERNORRLANDS LÄN</t>
        </is>
      </c>
      <c r="G575" t="inlineStr">
        <is>
          <t>HÄRNÖSAND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46232</v>
      </c>
      <c r="E576" s="1" t="n">
        <v>46317</v>
      </c>
      <c r="F576" t="inlineStr">
        <is>
          <t>VÄSTERNORRLANDS LÄN</t>
        </is>
      </c>
      <c r="G576" t="inlineStr">
        <is>
          <t>HÄRNÖSAND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46275</v>
      </c>
      <c r="E577" s="1" t="n">
        <v>46317</v>
      </c>
      <c r="F577" t="inlineStr">
        <is>
          <t>VÄSTERNORRLANDS LÄN</t>
        </is>
      </c>
      <c r="G577" t="inlineStr">
        <is>
          <t>HÄRNÖSAND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45044</v>
      </c>
      <c r="E578" s="1" t="n">
        <v>46317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SCA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34226-2023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45126</v>
      </c>
      <c r="E579" s="1" t="n">
        <v>46317</v>
      </c>
      <c r="F579" t="inlineStr">
        <is>
          <t>VÄSTERNORRLANDS LÄN</t>
        </is>
      </c>
      <c r="G579" t="inlineStr">
        <is>
          <t>HÄRNÖSAND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32293-2026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46237</v>
      </c>
      <c r="E580" s="1" t="n">
        <v>46317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18345-2025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45762</v>
      </c>
      <c r="E581" s="1" t="n">
        <v>46317</v>
      </c>
      <c r="F581" t="inlineStr">
        <is>
          <t>VÄSTERNORRLANDS LÄN</t>
        </is>
      </c>
      <c r="G581" t="inlineStr">
        <is>
          <t>HÄRNÖSAND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43248-2023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45180</v>
      </c>
      <c r="E582" s="1" t="n">
        <v>46317</v>
      </c>
      <c r="F582" t="inlineStr">
        <is>
          <t>VÄSTERNORRLANDS LÄN</t>
        </is>
      </c>
      <c r="G582" t="inlineStr">
        <is>
          <t>HÄRNÖSAND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38471-2026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46282</v>
      </c>
      <c r="E583" s="1" t="n">
        <v>46317</v>
      </c>
      <c r="F583" t="inlineStr">
        <is>
          <t>VÄSTERNORRLANDS LÄN</t>
        </is>
      </c>
      <c r="G583" t="inlineStr">
        <is>
          <t>HÄRNÖSAND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45580</v>
      </c>
      <c r="E584" s="1" t="n">
        <v>46317</v>
      </c>
      <c r="F584" t="inlineStr">
        <is>
          <t>VÄSTERNORRLANDS LÄN</t>
        </is>
      </c>
      <c r="G584" t="inlineStr">
        <is>
          <t>HÄRNÖSAND</t>
        </is>
      </c>
      <c r="I584" t="n">
        <v>14.2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35785-2023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45147</v>
      </c>
      <c r="E585" s="1" t="n">
        <v>46317</v>
      </c>
      <c r="F585" t="inlineStr">
        <is>
          <t>VÄSTERNORRLANDS LÄN</t>
        </is>
      </c>
      <c r="G585" t="inlineStr">
        <is>
          <t>HÄRNÖSAND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38229-2026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46281</v>
      </c>
      <c r="E586" s="1" t="n">
        <v>46317</v>
      </c>
      <c r="F586" t="inlineStr">
        <is>
          <t>VÄSTERNORRLANDS LÄN</t>
        </is>
      </c>
      <c r="G586" t="inlineStr">
        <is>
          <t>HÄRNÖSAND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46239</v>
      </c>
      <c r="E587" s="1" t="n">
        <v>46317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46281</v>
      </c>
      <c r="E588" s="1" t="n">
        <v>46317</v>
      </c>
      <c r="F588" t="inlineStr">
        <is>
          <t>VÄSTERNORRLANDS LÄN</t>
        </is>
      </c>
      <c r="G588" t="inlineStr">
        <is>
          <t>HÄRNÖSAND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45251</v>
      </c>
      <c r="E589" s="1" t="n">
        <v>46317</v>
      </c>
      <c r="F589" t="inlineStr">
        <is>
          <t>VÄSTERNORRLANDS LÄN</t>
        </is>
      </c>
      <c r="G589" t="inlineStr">
        <is>
          <t>HÄRNÖSAND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29255-2024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45482</v>
      </c>
      <c r="E590" s="1" t="n">
        <v>46317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38849-2026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46286</v>
      </c>
      <c r="E591" s="1" t="n">
        <v>46317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23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19167-2025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45769</v>
      </c>
      <c r="E592" s="1" t="n">
        <v>46317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61337-2024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45646</v>
      </c>
      <c r="E593" s="1" t="n">
        <v>46317</v>
      </c>
      <c r="F593" t="inlineStr">
        <is>
          <t>VÄSTERNORRLANDS LÄN</t>
        </is>
      </c>
      <c r="G593" t="inlineStr">
        <is>
          <t>HÄRNÖSAND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25981-2026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46317</v>
      </c>
      <c r="F594" t="inlineStr">
        <is>
          <t>VÄSTERNORRLANDS LÄN</t>
        </is>
      </c>
      <c r="G594" t="inlineStr">
        <is>
          <t>HÄRNÖSAND</t>
        </is>
      </c>
      <c r="I594" t="n">
        <v>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32140-2023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45107</v>
      </c>
      <c r="E595" s="1" t="n">
        <v>46317</v>
      </c>
      <c r="F595" t="inlineStr">
        <is>
          <t>VÄSTERNORRLANDS LÄN</t>
        </is>
      </c>
      <c r="G595" t="inlineStr">
        <is>
          <t>HÄRNÖSAND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38854-2026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46286</v>
      </c>
      <c r="E596" s="1" t="n">
        <v>46317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9160-2026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46070</v>
      </c>
      <c r="E597" s="1" t="n">
        <v>46317</v>
      </c>
      <c r="F597" t="inlineStr">
        <is>
          <t>VÄSTERNORRLANDS LÄN</t>
        </is>
      </c>
      <c r="G597" t="inlineStr">
        <is>
          <t>HÄRNÖSAND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46317</v>
      </c>
      <c r="F598" t="inlineStr">
        <is>
          <t>VÄSTERNORRLANDS LÄN</t>
        </is>
      </c>
      <c r="G598" t="inlineStr">
        <is>
          <t>HÄRNÖSAND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46286</v>
      </c>
      <c r="E599" s="1" t="n">
        <v>46317</v>
      </c>
      <c r="F599" t="inlineStr">
        <is>
          <t>VÄSTERNORRLANDS LÄN</t>
        </is>
      </c>
      <c r="G599" t="inlineStr">
        <is>
          <t>HÄRNÖSAND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39390-2026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46288</v>
      </c>
      <c r="E600" s="1" t="n">
        <v>46317</v>
      </c>
      <c r="F600" t="inlineStr">
        <is>
          <t>VÄSTERNORRLANDS LÄN</t>
        </is>
      </c>
      <c r="G600" t="inlineStr">
        <is>
          <t>HÄRNÖSAND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46317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Kyrkan</t>
        </is>
      </c>
      <c r="I601" t="n">
        <v>24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46287</v>
      </c>
      <c r="E602" s="1" t="n">
        <v>46317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46317</v>
      </c>
      <c r="F603" t="inlineStr">
        <is>
          <t>VÄSTERNORRLANDS LÄN</t>
        </is>
      </c>
      <c r="G603" t="inlineStr">
        <is>
          <t>HÄRNÖSAND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39395-2026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46288</v>
      </c>
      <c r="E604" s="1" t="n">
        <v>46317</v>
      </c>
      <c r="F604" t="inlineStr">
        <is>
          <t>VÄSTERNORRLANDS LÄN</t>
        </is>
      </c>
      <c r="G604" t="inlineStr">
        <is>
          <t>HÄRNÖSAND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46317</v>
      </c>
      <c r="F605" t="inlineStr">
        <is>
          <t>VÄSTERNORRLANDS LÄN</t>
        </is>
      </c>
      <c r="G605" t="inlineStr">
        <is>
          <t>HÄRNÖSAND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29104-2023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45097</v>
      </c>
      <c r="E606" s="1" t="n">
        <v>46317</v>
      </c>
      <c r="F606" t="inlineStr">
        <is>
          <t>VÄSTERNORRLANDS LÄN</t>
        </is>
      </c>
      <c r="G606" t="inlineStr">
        <is>
          <t>HÄRNÖSAND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48047-2022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44855</v>
      </c>
      <c r="E607" s="1" t="n">
        <v>46317</v>
      </c>
      <c r="F607" t="inlineStr">
        <is>
          <t>VÄSTERNORRLANDS LÄN</t>
        </is>
      </c>
      <c r="G607" t="inlineStr">
        <is>
          <t>HÄRNÖSAND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57154-2024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45629</v>
      </c>
      <c r="E608" s="1" t="n">
        <v>46317</v>
      </c>
      <c r="F608" t="inlineStr">
        <is>
          <t>VÄSTERNORRLANDS LÄN</t>
        </is>
      </c>
      <c r="G608" t="inlineStr">
        <is>
          <t>HÄRNÖSAND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45323</v>
      </c>
      <c r="E609" s="1" t="n">
        <v>46317</v>
      </c>
      <c r="F609" t="inlineStr">
        <is>
          <t>VÄSTERNORRLANDS LÄN</t>
        </is>
      </c>
      <c r="G609" t="inlineStr">
        <is>
          <t>HÄRNÖSAND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45500-2024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45578</v>
      </c>
      <c r="E610" s="1" t="n">
        <v>46317</v>
      </c>
      <c r="F610" t="inlineStr">
        <is>
          <t>VÄSTERNORRLANDS LÄN</t>
        </is>
      </c>
      <c r="G610" t="inlineStr">
        <is>
          <t>HÄRNÖSAND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45504-2024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45578</v>
      </c>
      <c r="E611" s="1" t="n">
        <v>46317</v>
      </c>
      <c r="F611" t="inlineStr">
        <is>
          <t>VÄSTERNORRLANDS LÄN</t>
        </is>
      </c>
      <c r="G611" t="inlineStr">
        <is>
          <t>HÄRNÖSAND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44951</v>
      </c>
      <c r="E612" s="1" t="n">
        <v>46317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35387-2024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45531</v>
      </c>
      <c r="E613" s="1" t="n">
        <v>46317</v>
      </c>
      <c r="F613" t="inlineStr">
        <is>
          <t>VÄSTERNORRLANDS LÄN</t>
        </is>
      </c>
      <c r="G613" t="inlineStr">
        <is>
          <t>HÄRNÖSAND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32418-2024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45512</v>
      </c>
      <c r="E614" s="1" t="n">
        <v>46317</v>
      </c>
      <c r="F614" t="inlineStr">
        <is>
          <t>VÄSTERNORRLANDS LÄN</t>
        </is>
      </c>
      <c r="G614" t="inlineStr">
        <is>
          <t>HÄRNÖSAND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51001-2022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44867</v>
      </c>
      <c r="E615" s="1" t="n">
        <v>46317</v>
      </c>
      <c r="F615" t="inlineStr">
        <is>
          <t>VÄSTERNORRLANDS LÄN</t>
        </is>
      </c>
      <c r="G615" t="inlineStr">
        <is>
          <t>HÄRNÖSAND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12129-2025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45729</v>
      </c>
      <c r="E616" s="1" t="n">
        <v>46317</v>
      </c>
      <c r="F616" t="inlineStr">
        <is>
          <t>VÄSTERNORRLANDS LÄN</t>
        </is>
      </c>
      <c r="G616" t="inlineStr">
        <is>
          <t>HÄRNÖSAND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33659-2026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46248</v>
      </c>
      <c r="E617" s="1" t="n">
        <v>46317</v>
      </c>
      <c r="F617" t="inlineStr">
        <is>
          <t>VÄSTERNORRLANDS LÄN</t>
        </is>
      </c>
      <c r="G617" t="inlineStr">
        <is>
          <t>HÄRNÖSAND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40797-2026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46296</v>
      </c>
      <c r="E618" s="1" t="n">
        <v>46317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11903-2024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45376</v>
      </c>
      <c r="E619" s="1" t="n">
        <v>46317</v>
      </c>
      <c r="F619" t="inlineStr">
        <is>
          <t>VÄSTERNORRLANDS LÄN</t>
        </is>
      </c>
      <c r="G619" t="inlineStr">
        <is>
          <t>HÄRNÖSAND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34028-2026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46252</v>
      </c>
      <c r="E620" s="1" t="n">
        <v>46317</v>
      </c>
      <c r="F620" t="inlineStr">
        <is>
          <t>VÄSTERNORRLANDS LÄN</t>
        </is>
      </c>
      <c r="G620" t="inlineStr">
        <is>
          <t>HÄRNÖSAND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40832-2026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46296</v>
      </c>
      <c r="E621" s="1" t="n">
        <v>46317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11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45730</v>
      </c>
      <c r="E622" s="1" t="n">
        <v>46317</v>
      </c>
      <c r="F622" t="inlineStr">
        <is>
          <t>VÄSTERNORRLANDS LÄN</t>
        </is>
      </c>
      <c r="G622" t="inlineStr">
        <is>
          <t>HÄRNÖSAND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40833-2026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46296</v>
      </c>
      <c r="E623" s="1" t="n">
        <v>46317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40816-2026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46296</v>
      </c>
      <c r="E624" s="1" t="n">
        <v>46317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45685</v>
      </c>
      <c r="E625" s="1" t="n">
        <v>46317</v>
      </c>
      <c r="F625" t="inlineStr">
        <is>
          <t>VÄSTERNORRLANDS LÄN</t>
        </is>
      </c>
      <c r="G625" t="inlineStr">
        <is>
          <t>HÄRNÖSAND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20822-2025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45776</v>
      </c>
      <c r="E626" s="1" t="n">
        <v>46317</v>
      </c>
      <c r="F626" t="inlineStr">
        <is>
          <t>VÄSTERNORRLANDS LÄN</t>
        </is>
      </c>
      <c r="G626" t="inlineStr">
        <is>
          <t>HÄRNÖSAND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45776</v>
      </c>
      <c r="E627" s="1" t="n">
        <v>46317</v>
      </c>
      <c r="F627" t="inlineStr">
        <is>
          <t>VÄSTERNORRLANDS LÄN</t>
        </is>
      </c>
      <c r="G627" t="inlineStr">
        <is>
          <t>HÄRNÖSAND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40868-2026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46297</v>
      </c>
      <c r="E628" s="1" t="n">
        <v>46317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Kyrkan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21484-2025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45782</v>
      </c>
      <c r="E629" s="1" t="n">
        <v>46317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32.1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21480-2025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45782</v>
      </c>
      <c r="E630" s="1" t="n">
        <v>46317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46317</v>
      </c>
      <c r="F631" t="inlineStr">
        <is>
          <t>VÄSTERNORRLANDS LÄN</t>
        </is>
      </c>
      <c r="G631" t="inlineStr">
        <is>
          <t>HÄRNÖSAND</t>
        </is>
      </c>
      <c r="I631" t="n">
        <v>15.6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33747-2026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46251</v>
      </c>
      <c r="E632" s="1" t="n">
        <v>46317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41010-2026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46297</v>
      </c>
      <c r="E633" s="1" t="n">
        <v>46317</v>
      </c>
      <c r="F633" t="inlineStr">
        <is>
          <t>VÄSTERNORRLANDS LÄN</t>
        </is>
      </c>
      <c r="G633" t="inlineStr">
        <is>
          <t>HÄRNÖSAND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39369-2026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46288</v>
      </c>
      <c r="E634" s="1" t="n">
        <v>46317</v>
      </c>
      <c r="F634" t="inlineStr">
        <is>
          <t>VÄSTERNORRLANDS LÄN</t>
        </is>
      </c>
      <c r="G634" t="inlineStr">
        <is>
          <t>HÄRNÖSAND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45502-2024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45578</v>
      </c>
      <c r="E635" s="1" t="n">
        <v>46317</v>
      </c>
      <c r="F635" t="inlineStr">
        <is>
          <t>VÄSTERNORRLANDS LÄN</t>
        </is>
      </c>
      <c r="G635" t="inlineStr">
        <is>
          <t>HÄRNÖSAND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41439-2026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46301</v>
      </c>
      <c r="E636" s="1" t="n">
        <v>46317</v>
      </c>
      <c r="F636" t="inlineStr">
        <is>
          <t>VÄSTERNORRLANDS LÄN</t>
        </is>
      </c>
      <c r="G636" t="inlineStr">
        <is>
          <t>HÄRNÖSAND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34768-2026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46258</v>
      </c>
      <c r="E637" s="1" t="n">
        <v>46317</v>
      </c>
      <c r="F637" t="inlineStr">
        <is>
          <t>VÄSTERNORRLANDS LÄN</t>
        </is>
      </c>
      <c r="G637" t="inlineStr">
        <is>
          <t>HÄRNÖSAND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41997-2026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46303</v>
      </c>
      <c r="E638" s="1" t="n">
        <v>46317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Kyrkan</t>
        </is>
      </c>
      <c r="I638" t="n">
        <v>6.7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46260</v>
      </c>
      <c r="E639" s="1" t="n">
        <v>46317</v>
      </c>
      <c r="F639" t="inlineStr">
        <is>
          <t>VÄSTERNORRLANDS LÄN</t>
        </is>
      </c>
      <c r="G639" t="inlineStr">
        <is>
          <t>HÄRNÖSAND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42116-2026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46304</v>
      </c>
      <c r="E640" s="1" t="n">
        <v>46317</v>
      </c>
      <c r="F640" t="inlineStr">
        <is>
          <t>VÄSTERNORRLANDS LÄN</t>
        </is>
      </c>
      <c r="G640" t="inlineStr">
        <is>
          <t>HÄRNÖSAND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5021-2026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46317</v>
      </c>
      <c r="F641" t="inlineStr">
        <is>
          <t>VÄSTERNORRLANDS LÄN</t>
        </is>
      </c>
      <c r="G641" t="inlineStr">
        <is>
          <t>HÄRNÖSAND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35670-2026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46265</v>
      </c>
      <c r="E642" s="1" t="n">
        <v>46317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22.1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46307</v>
      </c>
      <c r="E643" s="1" t="n">
        <v>46317</v>
      </c>
      <c r="F643" t="inlineStr">
        <is>
          <t>VÄSTERNORRLANDS LÄN</t>
        </is>
      </c>
      <c r="G643" t="inlineStr">
        <is>
          <t>HÄRNÖSAND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35563-2026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46262</v>
      </c>
      <c r="E644" s="1" t="n">
        <v>46317</v>
      </c>
      <c r="F644" t="inlineStr">
        <is>
          <t>VÄSTERNORRLANDS LÄN</t>
        </is>
      </c>
      <c r="G644" t="inlineStr">
        <is>
          <t>HÄRNÖSAND</t>
        </is>
      </c>
      <c r="I644" t="n">
        <v>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42640-2026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46309</v>
      </c>
      <c r="E645" s="1" t="n">
        <v>46317</v>
      </c>
      <c r="F645" t="inlineStr">
        <is>
          <t>VÄSTERNORRLANDS LÄN</t>
        </is>
      </c>
      <c r="G645" t="inlineStr">
        <is>
          <t>HÄRNÖSAND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43131-2026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46309</v>
      </c>
      <c r="E646" s="1" t="n">
        <v>46317</v>
      </c>
      <c r="F646" t="inlineStr">
        <is>
          <t>VÄSTERNORRLANDS LÄN</t>
        </is>
      </c>
      <c r="G646" t="inlineStr">
        <is>
          <t>HÄRNÖSAND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43128-2026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46309</v>
      </c>
      <c r="E647" s="1" t="n">
        <v>46317</v>
      </c>
      <c r="F647" t="inlineStr">
        <is>
          <t>VÄSTERNORRLANDS LÄN</t>
        </is>
      </c>
      <c r="G647" t="inlineStr">
        <is>
          <t>HÄRNÖSAND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43133-2026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46309</v>
      </c>
      <c r="E648" s="1" t="n">
        <v>46317</v>
      </c>
      <c r="F648" t="inlineStr">
        <is>
          <t>VÄSTERNORRLANDS LÄN</t>
        </is>
      </c>
      <c r="G648" t="inlineStr">
        <is>
          <t>HÄRNÖSAND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43403-2026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46314</v>
      </c>
      <c r="E649" s="1" t="n">
        <v>46317</v>
      </c>
      <c r="F649" t="inlineStr">
        <is>
          <t>VÄSTERNORRLANDS LÄN</t>
        </is>
      </c>
      <c r="G649" t="inlineStr">
        <is>
          <t>HÄRNÖSAND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43830-2026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46316</v>
      </c>
      <c r="E650" s="1" t="n">
        <v>46317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43603-2026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46315</v>
      </c>
      <c r="E651" s="1" t="n">
        <v>46317</v>
      </c>
      <c r="F651" t="inlineStr">
        <is>
          <t>VÄSTERNORRLANDS LÄN</t>
        </is>
      </c>
      <c r="G651" t="inlineStr">
        <is>
          <t>HÄRNÖSAND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37246-2026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46274</v>
      </c>
      <c r="E652" s="1" t="n">
        <v>46317</v>
      </c>
      <c r="F652" t="inlineStr">
        <is>
          <t>VÄSTERNORRLANDS LÄN</t>
        </is>
      </c>
      <c r="G652" t="inlineStr">
        <is>
          <t>HÄRNÖSAND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43791-2026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46316</v>
      </c>
      <c r="E653" s="1" t="n">
        <v>46317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43623-2026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46315</v>
      </c>
      <c r="E654" s="1" t="n">
        <v>46317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4299-2021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44393</v>
      </c>
      <c r="E655" s="1" t="n">
        <v>46317</v>
      </c>
      <c r="F655" t="inlineStr">
        <is>
          <t>VÄSTERNORRLANDS LÄN</t>
        </is>
      </c>
      <c r="G655" t="inlineStr">
        <is>
          <t>HÄRNÖSAND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382-2024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45323</v>
      </c>
      <c r="E656" s="1" t="n">
        <v>46317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831-2025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45733</v>
      </c>
      <c r="E657" s="1" t="n">
        <v>46317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113.3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1148-2025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45755</v>
      </c>
      <c r="E658" s="1" t="n">
        <v>46317</v>
      </c>
      <c r="F658" t="inlineStr">
        <is>
          <t>VÄSTERNORRLANDS LÄN</t>
        </is>
      </c>
      <c r="G658" t="inlineStr">
        <is>
          <t>HÄRNÖSAND</t>
        </is>
      </c>
      <c r="I658" t="n">
        <v>10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1559-2025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45793</v>
      </c>
      <c r="E659" s="1" t="n">
        <v>46317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525-2026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46078</v>
      </c>
      <c r="E660" s="1" t="n">
        <v>46317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484-2026</t>
        </is>
      </c>
      <c r="B661" t="inlineStr">
        <is>
          <t>samrådsanmälan</t>
        </is>
      </c>
      <c r="C661" t="inlineStr">
        <is>
          <t>Skogsgödsling</t>
        </is>
      </c>
      <c r="D661" s="1" t="n">
        <v>46073</v>
      </c>
      <c r="E661" s="1" t="n">
        <v>46317</v>
      </c>
      <c r="F661" t="inlineStr">
        <is>
          <t>VÄSTERNORRLANDS LÄN</t>
        </is>
      </c>
      <c r="G661" t="inlineStr">
        <is>
          <t>HÄRNÖSAND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723-2026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46093</v>
      </c>
      <c r="E662" s="1" t="n">
        <v>46317</v>
      </c>
      <c r="F662" t="inlineStr">
        <is>
          <t>VÄSTERNORRLANDS LÄN</t>
        </is>
      </c>
      <c r="G662" t="inlineStr">
        <is>
          <t>HÄRNÖSAND</t>
        </is>
      </c>
      <c r="H662" t="inlineStr">
        <is>
          <t>SCA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1428-2026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46156</v>
      </c>
      <c r="E663" s="1" t="n">
        <v>46317</v>
      </c>
      <c r="F663" t="inlineStr">
        <is>
          <t>VÄSTERNORRLANDS LÄN</t>
        </is>
      </c>
      <c r="G663" t="inlineStr">
        <is>
          <t>HÄRNÖSAND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>
      <c r="A664" t="inlineStr">
        <is>
          <t>S 2294-2026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46267</v>
      </c>
      <c r="E664" s="1" t="n">
        <v>46317</v>
      </c>
      <c r="F664" t="inlineStr">
        <is>
          <t>VÄSTERNORRLANDS LÄN</t>
        </is>
      </c>
      <c r="G664" t="inlineStr">
        <is>
          <t>HÄRNÖSAND</t>
        </is>
      </c>
      <c r="H664" t="inlineStr">
        <is>
          <t>SCA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2026-10-22T01:53:36Z</dcterms:created>
  <dcterms:modified xmlns:dcterms="http://purl.org/dc/terms/" xmlns:xsi="http://www.w3.org/2001/XMLSchema-instance" xsi:type="dcterms:W3CDTF">2026-10-22T01:53:37Z</dcterms:modified>
</cp:coreProperties>
</file>