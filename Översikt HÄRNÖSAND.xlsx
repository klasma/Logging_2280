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46311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46311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46311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46311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46311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46311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46311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46311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46311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46311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46311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46311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46311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46311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46311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46311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46311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46311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46311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46311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t="n">
        <v>0</v>
      </c>
      <c r="V29" s="2" t="inlineStr">
        <is>
          <t>Garnlav
Raggbock
Apelsinticka
Violettgrå tagellav
Nästlav</t>
        </is>
      </c>
      <c r="W29">
        <f>HYPERLINK("https://klasma.github.io/Logging_2280/artfynd/A 52865-2025 artfynd.xlsx", "A 52865-2025")</f>
        <v/>
      </c>
      <c r="X29">
        <f>HYPERLINK("https://klasma.github.io/Logging_2280/kartor/A 52865-2025 karta.png", "A 52865-2025")</f>
        <v/>
      </c>
      <c r="Y29">
        <f>HYPERLINK("https://klasma.github.io/Logging_2280/kartor_geotiff/A 52865-2025 georefererad karta.tif", "A 52865-2025")</f>
        <v/>
      </c>
      <c r="AA29">
        <f>HYPERLINK("https://klasma.github.io/Logging_2280/klagomål/A 52865-2025 FSC-klagomål.docx", "A 52865-2025")</f>
        <v/>
      </c>
      <c r="AB29">
        <f>HYPERLINK("https://klasma.github.io/Logging_2280/klagomålsmail/A 52865-2025 FSC-klagomål mail.docx", "A 52865-2025")</f>
        <v/>
      </c>
      <c r="AC29">
        <f>HYPERLINK("https://klasma.github.io/Logging_2280/tillsyn/A 52865-2025 tillsynsbegäran.docx", "A 52865-2025")</f>
        <v/>
      </c>
      <c r="AD29">
        <f>HYPERLINK("https://klasma.github.io/Logging_2280/tillsynsmail/A 52865-2025 tillsynsbegäran mail.docx", "A 52865-2025")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46311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46311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46311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46311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46311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41592-2024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46311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6.8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6</v>
      </c>
      <c r="V36" s="2" t="inlineStr">
        <is>
          <t>Garnlav
Ullticka
Vedflamlav
Stuplav</t>
        </is>
      </c>
      <c r="W36">
        <f>HYPERLINK("https://klasma.github.io/Logging_2280/artfynd/A 41592-2024 artfynd.xlsx", "A 41592-2024")</f>
        <v/>
      </c>
      <c r="X36">
        <f>HYPERLINK("https://klasma.github.io/Logging_2280/kartor/A 41592-2024 karta.png", "A 41592-2024")</f>
        <v/>
      </c>
      <c r="Y36">
        <f>HYPERLINK("https://klasma.github.io/Logging_2280/kartor_geotiff/A 41592-2024 georefererad karta.tif", "A 41592-2024")</f>
        <v/>
      </c>
      <c r="AA36">
        <f>HYPERLINK("https://klasma.github.io/Logging_2280/klagomål/A 41592-2024 FSC-klagomål.docx", "A 41592-2024")</f>
        <v/>
      </c>
      <c r="AB36">
        <f>HYPERLINK("https://klasma.github.io/Logging_2280/klagomålsmail/A 41592-2024 FSC-klagomål mail.docx", "A 41592-2024")</f>
        <v/>
      </c>
      <c r="AC36">
        <f>HYPERLINK("https://klasma.github.io/Logging_2280/tillsyn/A 41592-2024 tillsynsbegäran.docx", "A 41592-2024")</f>
        <v/>
      </c>
      <c r="AD36">
        <f>HYPERLINK("https://klasma.github.io/Logging_2280/tillsynsmail/A 41592-2024 tillsynsbegäran mail.docx", "A 41592-2024")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46311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46311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46311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46311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46311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46311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46311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46311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47484-2025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46311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2.7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Ullticka
Vedflamlav
Fläcknycklar</t>
        </is>
      </c>
      <c r="W49">
        <f>HYPERLINK("https://klasma.github.io/Logging_2280/artfynd/A 47484-2025 artfynd.xlsx", "A 47484-2025")</f>
        <v/>
      </c>
      <c r="X49">
        <f>HYPERLINK("https://klasma.github.io/Logging_2280/kartor/A 47484-2025 karta.png", "A 47484-2025")</f>
        <v/>
      </c>
      <c r="Y49">
        <f>HYPERLINK("https://klasma.github.io/Logging_2280/kartor_geotiff/A 47484-2025 georefererad karta.tif", "A 47484-2025")</f>
        <v/>
      </c>
      <c r="AA49">
        <f>HYPERLINK("https://klasma.github.io/Logging_2280/klagomål/A 47484-2025 FSC-klagomål.docx", "A 47484-2025")</f>
        <v/>
      </c>
      <c r="AB49">
        <f>HYPERLINK("https://klasma.github.io/Logging_2280/klagomålsmail/A 47484-2025 FSC-klagomål mail.docx", "A 47484-2025")</f>
        <v/>
      </c>
      <c r="AC49">
        <f>HYPERLINK("https://klasma.github.io/Logging_2280/tillsyn/A 47484-2025 tillsynsbegäran.docx", "A 47484-2025")</f>
        <v/>
      </c>
      <c r="AD49">
        <f>HYPERLINK("https://klasma.github.io/Logging_2280/tillsynsmail/A 47484-2025 tillsynsbegäran mail.docx", "A 47484-2025")</f>
        <v/>
      </c>
    </row>
    <row r="50" ht="15" customHeight="1">
      <c r="A50" t="inlineStr">
        <is>
          <t>A 29814-2022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44755</v>
      </c>
      <c r="E50" s="1" t="n">
        <v>46311</v>
      </c>
      <c r="F50" t="inlineStr">
        <is>
          <t>VÄSTERNORRLANDS LÄN</t>
        </is>
      </c>
      <c r="G50" t="inlineStr">
        <is>
          <t>HÄRNÖSAND</t>
        </is>
      </c>
      <c r="I50" t="n">
        <v>2.7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Sotvaxskivling
Sotriska
Svavelriska</t>
        </is>
      </c>
      <c r="W50">
        <f>HYPERLINK("https://klasma.github.io/Logging_2280/artfynd/A 29814-2022 artfynd.xlsx", "A 29814-2022")</f>
        <v/>
      </c>
      <c r="X50">
        <f>HYPERLINK("https://klasma.github.io/Logging_2280/kartor/A 29814-2022 karta.png", "A 29814-2022")</f>
        <v/>
      </c>
      <c r="Y50">
        <f>HYPERLINK("https://klasma.github.io/Logging_2280/kartor_geotiff/A 29814-2022 georefererad karta.tif", "A 29814-2022")</f>
        <v/>
      </c>
      <c r="AA50">
        <f>HYPERLINK("https://klasma.github.io/Logging_2280/klagomål/A 29814-2022 FSC-klagomål.docx", "A 29814-2022")</f>
        <v/>
      </c>
      <c r="AB50">
        <f>HYPERLINK("https://klasma.github.io/Logging_2280/klagomålsmail/A 29814-2022 FSC-klagomål mail.docx", "A 29814-2022")</f>
        <v/>
      </c>
      <c r="AC50">
        <f>HYPERLINK("https://klasma.github.io/Logging_2280/tillsyn/A 29814-2022 tillsynsbegäran.docx", "A 29814-2022")</f>
        <v/>
      </c>
      <c r="AD50">
        <f>HYPERLINK("https://klasma.github.io/Logging_2280/tillsynsmail/A 29814-2022 tillsynsbegäran mail.docx", "A 29814-2022")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46311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61936-2025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46003</v>
      </c>
      <c r="E52" s="1" t="n">
        <v>46311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5.1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4</v>
      </c>
      <c r="U52" t="n">
        <v>0</v>
      </c>
      <c r="V52" s="2" t="inlineStr">
        <is>
          <t>Gammelgransskål
Rynkskinn
Tretåig hackspett</t>
        </is>
      </c>
      <c r="W52">
        <f>HYPERLINK("https://klasma.github.io/Logging_2280/artfynd/A 61936-2025 artfynd.xlsx", "A 61936-2025")</f>
        <v/>
      </c>
      <c r="X52">
        <f>HYPERLINK("https://klasma.github.io/Logging_2280/kartor/A 61936-2025 karta.png", "A 61936-2025")</f>
        <v/>
      </c>
      <c r="Y52">
        <f>HYPERLINK("https://klasma.github.io/Logging_2280/kartor_geotiff/A 61936-2025 georefererad karta.tif", "A 61936-2025")</f>
        <v/>
      </c>
      <c r="AA52">
        <f>HYPERLINK("https://klasma.github.io/Logging_2280/klagomål/A 61936-2025 FSC-klagomål.docx", "A 61936-2025")</f>
        <v/>
      </c>
      <c r="AB52">
        <f>HYPERLINK("https://klasma.github.io/Logging_2280/klagomålsmail/A 61936-2025 FSC-klagomål mail.docx", "A 61936-2025")</f>
        <v/>
      </c>
      <c r="AC52">
        <f>HYPERLINK("https://klasma.github.io/Logging_2280/tillsyn/A 61936-2025 tillsynsbegäran.docx", "A 61936-2025")</f>
        <v/>
      </c>
      <c r="AD52">
        <f>HYPERLINK("https://klasma.github.io/Logging_2280/tillsynsmail/A 61936-2025 tillsynsbegäran mail.docx", "A 61936-2025")</f>
        <v/>
      </c>
      <c r="AE52">
        <f>HYPERLINK("https://klasma.github.io/Logging_2280/fåglar/A 61936-2025 prioriterade fågelarter.docx", "A 61936-2025")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46311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46311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46311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46311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46311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46311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54894-2024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46311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Lunglav</t>
        </is>
      </c>
      <c r="W60">
        <f>HYPERLINK("https://klasma.github.io/Logging_2280/artfynd/A 54894-2024 artfynd.xlsx", "A 54894-2024")</f>
        <v/>
      </c>
      <c r="X60">
        <f>HYPERLINK("https://klasma.github.io/Logging_2280/kartor/A 54894-2024 karta.png", "A 54894-2024")</f>
        <v/>
      </c>
      <c r="Y60">
        <f>HYPERLINK("https://klasma.github.io/Logging_2280/kartor_geotiff/A 54894-2024 georefererad karta.tif", "A 54894-2024")</f>
        <v/>
      </c>
      <c r="AA60">
        <f>HYPERLINK("https://klasma.github.io/Logging_2280/klagomål/A 54894-2024 FSC-klagomål.docx", "A 54894-2024")</f>
        <v/>
      </c>
      <c r="AB60">
        <f>HYPERLINK("https://klasma.github.io/Logging_2280/klagomålsmail/A 54894-2024 FSC-klagomål mail.docx", "A 54894-2024")</f>
        <v/>
      </c>
      <c r="AC60">
        <f>HYPERLINK("https://klasma.github.io/Logging_2280/tillsyn/A 54894-2024 tillsynsbegäran.docx", "A 54894-2024")</f>
        <v/>
      </c>
      <c r="AD60">
        <f>HYPERLINK("https://klasma.github.io/Logging_2280/tillsynsmail/A 54894-2024 tillsynsbegäran mail.docx", "A 54894-2024")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46311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46311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47487-2025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46311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Lunglav
Tjäder</t>
        </is>
      </c>
      <c r="W63">
        <f>HYPERLINK("https://klasma.github.io/Logging_2280/artfynd/A 47487-2025 artfynd.xlsx", "A 47487-2025")</f>
        <v/>
      </c>
      <c r="X63">
        <f>HYPERLINK("https://klasma.github.io/Logging_2280/kartor/A 47487-2025 karta.png", "A 47487-2025")</f>
        <v/>
      </c>
      <c r="Y63">
        <f>HYPERLINK("https://klasma.github.io/Logging_2280/kartor_geotiff/A 47487-2025 georefererad karta.tif", "A 47487-2025")</f>
        <v/>
      </c>
      <c r="AA63">
        <f>HYPERLINK("https://klasma.github.io/Logging_2280/klagomål/A 47487-2025 FSC-klagomål.docx", "A 47487-2025")</f>
        <v/>
      </c>
      <c r="AB63">
        <f>HYPERLINK("https://klasma.github.io/Logging_2280/klagomålsmail/A 47487-2025 FSC-klagomål mail.docx", "A 47487-2025")</f>
        <v/>
      </c>
      <c r="AC63">
        <f>HYPERLINK("https://klasma.github.io/Logging_2280/tillsyn/A 47487-2025 tillsynsbegäran.docx", "A 47487-2025")</f>
        <v/>
      </c>
      <c r="AD63">
        <f>HYPERLINK("https://klasma.github.io/Logging_2280/tillsynsmail/A 47487-2025 tillsynsbegäran mail.docx", "A 47487-2025")</f>
        <v/>
      </c>
      <c r="AE63">
        <f>HYPERLINK("https://klasma.github.io/Logging_2280/fåglar/A 47487-2025 prioriterade fågelarter.docx", "A 47487-2025")</f>
        <v/>
      </c>
    </row>
    <row r="64" ht="15" customHeight="1">
      <c r="A64" t="inlineStr">
        <is>
          <t>A 43251-2025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45910</v>
      </c>
      <c r="E64" s="1" t="n">
        <v>46311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4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Gammelgransskål</t>
        </is>
      </c>
      <c r="W64">
        <f>HYPERLINK("https://klasma.github.io/Logging_2280/artfynd/A 43251-2025 artfynd.xlsx", "A 43251-2025")</f>
        <v/>
      </c>
      <c r="X64">
        <f>HYPERLINK("https://klasma.github.io/Logging_2280/kartor/A 43251-2025 karta.png", "A 43251-2025")</f>
        <v/>
      </c>
      <c r="Y64">
        <f>HYPERLINK("https://klasma.github.io/Logging_2280/kartor_geotiff/A 43251-2025 georefererad karta.tif", "A 43251-2025")</f>
        <v/>
      </c>
      <c r="AA64">
        <f>HYPERLINK("https://klasma.github.io/Logging_2280/klagomål/A 43251-2025 FSC-klagomål.docx", "A 43251-2025")</f>
        <v/>
      </c>
      <c r="AB64">
        <f>HYPERLINK("https://klasma.github.io/Logging_2280/klagomålsmail/A 43251-2025 FSC-klagomål mail.docx", "A 43251-2025")</f>
        <v/>
      </c>
      <c r="AC64">
        <f>HYPERLINK("https://klasma.github.io/Logging_2280/tillsyn/A 43251-2025 tillsynsbegäran.docx", "A 43251-2025")</f>
        <v/>
      </c>
      <c r="AD64">
        <f>HYPERLINK("https://klasma.github.io/Logging_2280/tillsynsmail/A 43251-2025 tillsynsbegäran mail.docx", "A 43251-2025")</f>
        <v/>
      </c>
    </row>
    <row r="65" ht="15" customHeight="1">
      <c r="A65" t="inlineStr">
        <is>
          <t>A 54964-2025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45967</v>
      </c>
      <c r="E65" s="1" t="n">
        <v>46311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7.2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Gammelgransskål</t>
        </is>
      </c>
      <c r="W65">
        <f>HYPERLINK("https://klasma.github.io/Logging_2280/artfynd/A 54964-2025 artfynd.xlsx", "A 54964-2025")</f>
        <v/>
      </c>
      <c r="X65">
        <f>HYPERLINK("https://klasma.github.io/Logging_2280/kartor/A 54964-2025 karta.png", "A 54964-2025")</f>
        <v/>
      </c>
      <c r="Y65">
        <f>HYPERLINK("https://klasma.github.io/Logging_2280/kartor_geotiff/A 54964-2025 georefererad karta.tif", "A 54964-2025")</f>
        <v/>
      </c>
      <c r="AA65">
        <f>HYPERLINK("https://klasma.github.io/Logging_2280/klagomål/A 54964-2025 FSC-klagomål.docx", "A 54964-2025")</f>
        <v/>
      </c>
      <c r="AB65">
        <f>HYPERLINK("https://klasma.github.io/Logging_2280/klagomålsmail/A 54964-2025 FSC-klagomål mail.docx", "A 54964-2025")</f>
        <v/>
      </c>
      <c r="AC65">
        <f>HYPERLINK("https://klasma.github.io/Logging_2280/tillsyn/A 54964-2025 tillsynsbegäran.docx", "A 54964-2025")</f>
        <v/>
      </c>
      <c r="AD65">
        <f>HYPERLINK("https://klasma.github.io/Logging_2280/tillsynsmail/A 54964-2025 tillsynsbegäran mail.docx", "A 54964-2025")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46311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46311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46311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46311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46311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46311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46311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46311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46311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43541-2022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44837</v>
      </c>
      <c r="E75" s="1" t="n">
        <v>46311</v>
      </c>
      <c r="F75" t="inlineStr">
        <is>
          <t>VÄSTERNORRLANDS LÄN</t>
        </is>
      </c>
      <c r="G75" t="inlineStr">
        <is>
          <t>HÄRNÖSAND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Sötgräs</t>
        </is>
      </c>
      <c r="W75">
        <f>HYPERLINK("https://klasma.github.io/Logging_2280/artfynd/A 43541-2022 artfynd.xlsx", "A 43541-2022")</f>
        <v/>
      </c>
      <c r="X75">
        <f>HYPERLINK("https://klasma.github.io/Logging_2280/kartor/A 43541-2022 karta.png", "A 43541-2022")</f>
        <v/>
      </c>
      <c r="Y75">
        <f>HYPERLINK("https://klasma.github.io/Logging_2280/kartor_geotiff/A 43541-2022 georefererad karta.tif", "A 43541-2022")</f>
        <v/>
      </c>
      <c r="AA75">
        <f>HYPERLINK("https://klasma.github.io/Logging_2280/klagomål/A 43541-2022 FSC-klagomål.docx", "A 43541-2022")</f>
        <v/>
      </c>
      <c r="AB75">
        <f>HYPERLINK("https://klasma.github.io/Logging_2280/klagomålsmail/A 43541-2022 FSC-klagomål mail.docx", "A 43541-2022")</f>
        <v/>
      </c>
      <c r="AC75">
        <f>HYPERLINK("https://klasma.github.io/Logging_2280/tillsyn/A 43541-2022 tillsynsbegäran.docx", "A 43541-2022")</f>
        <v/>
      </c>
      <c r="AD75">
        <f>HYPERLINK("https://klasma.github.io/Logging_2280/tillsynsmail/A 43541-2022 tillsynsbegäran mail.docx", "A 43541-2022")</f>
        <v/>
      </c>
    </row>
    <row r="76" ht="15" customHeight="1">
      <c r="A76" t="inlineStr">
        <is>
          <t>A 61828-2024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45649</v>
      </c>
      <c r="E76" s="1" t="n">
        <v>46311</v>
      </c>
      <c r="F76" t="inlineStr">
        <is>
          <t>VÄSTERNORRLANDS LÄN</t>
        </is>
      </c>
      <c r="G76" t="inlineStr">
        <is>
          <t>HÄRNÖSAND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Luddfingersvamp</t>
        </is>
      </c>
      <c r="W76">
        <f>HYPERLINK("https://klasma.github.io/Logging_2280/artfynd/A 61828-2024 artfynd.xlsx", "A 61828-2024")</f>
        <v/>
      </c>
      <c r="X76">
        <f>HYPERLINK("https://klasma.github.io/Logging_2280/kartor/A 61828-2024 karta.png", "A 61828-2024")</f>
        <v/>
      </c>
      <c r="Y76">
        <f>HYPERLINK("https://klasma.github.io/Logging_2280/kartor_geotiff/A 61828-2024 georefererad karta.tif", "A 61828-2024")</f>
        <v/>
      </c>
      <c r="AA76">
        <f>HYPERLINK("https://klasma.github.io/Logging_2280/klagomål/A 61828-2024 FSC-klagomål.docx", "A 61828-2024")</f>
        <v/>
      </c>
      <c r="AB76">
        <f>HYPERLINK("https://klasma.github.io/Logging_2280/klagomålsmail/A 61828-2024 FSC-klagomål mail.docx", "A 61828-2024")</f>
        <v/>
      </c>
      <c r="AC76">
        <f>HYPERLINK("https://klasma.github.io/Logging_2280/tillsyn/A 61828-2024 tillsynsbegäran.docx", "A 61828-2024")</f>
        <v/>
      </c>
      <c r="AD76">
        <f>HYPERLINK("https://klasma.github.io/Logging_2280/tillsynsmail/A 61828-2024 tillsynsbegäran mail.docx", "A 61828-2024")</f>
        <v/>
      </c>
    </row>
    <row r="77" ht="15" customHeight="1">
      <c r="A77" t="inlineStr">
        <is>
          <t>A 74325-2021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46311</v>
      </c>
      <c r="F77" t="inlineStr">
        <is>
          <t>VÄSTERNORRLANDS LÄN</t>
        </is>
      </c>
      <c r="G77" t="inlineStr">
        <is>
          <t>HÄRNÖSAND</t>
        </is>
      </c>
      <c r="I77" t="n">
        <v>4.6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Skogshare</t>
        </is>
      </c>
      <c r="W77">
        <f>HYPERLINK("https://klasma.github.io/Logging_2280/artfynd/A 74325-2021 artfynd.xlsx", "A 74325-2021")</f>
        <v/>
      </c>
      <c r="X77">
        <f>HYPERLINK("https://klasma.github.io/Logging_2280/kartor/A 74325-2021 karta.png", "A 74325-2021")</f>
        <v/>
      </c>
      <c r="Y77">
        <f>HYPERLINK("https://klasma.github.io/Logging_2280/kartor_geotiff/A 74325-2021 georefererad karta.tif", "A 74325-2021")</f>
        <v/>
      </c>
      <c r="AA77">
        <f>HYPERLINK("https://klasma.github.io/Logging_2280/klagomål/A 74325-2021 FSC-klagomål.docx", "A 74325-2021")</f>
        <v/>
      </c>
      <c r="AB77">
        <f>HYPERLINK("https://klasma.github.io/Logging_2280/klagomålsmail/A 74325-2021 FSC-klagomål mail.docx", "A 74325-2021")</f>
        <v/>
      </c>
      <c r="AC77">
        <f>HYPERLINK("https://klasma.github.io/Logging_2280/tillsyn/A 74325-2021 tillsynsbegäran.docx", "A 74325-2021")</f>
        <v/>
      </c>
      <c r="AD77">
        <f>HYPERLINK("https://klasma.github.io/Logging_2280/tillsynsmail/A 74325-2021 tillsynsbegäran mail.docx", "A 74325-2021")</f>
        <v/>
      </c>
    </row>
    <row r="78" ht="15" customHeight="1">
      <c r="A78" t="inlineStr">
        <is>
          <t>A 18583-2026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46311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HYPERLINK("https://klasma.github.io/Logging_2280/artfynd/A 18583-2026 artfynd.xlsx", "A 18583-2026")</f>
        <v/>
      </c>
      <c r="X78">
        <f>HYPERLINK("https://klasma.github.io/Logging_2280/kartor/A 18583-2026 karta.png", "A 18583-2026")</f>
        <v/>
      </c>
      <c r="Y78">
        <f>HYPERLINK("https://klasma.github.io/Logging_2280/kartor_geotiff/A 18583-2026 georefererad karta.tif", "A 18583-2026")</f>
        <v/>
      </c>
      <c r="AA78">
        <f>HYPERLINK("https://klasma.github.io/Logging_2280/klagomål/A 18583-2026 FSC-klagomål.docx", "A 18583-2026")</f>
        <v/>
      </c>
      <c r="AB78">
        <f>HYPERLINK("https://klasma.github.io/Logging_2280/klagomålsmail/A 18583-2026 FSC-klagomål mail.docx", "A 18583-2026")</f>
        <v/>
      </c>
      <c r="AC78">
        <f>HYPERLINK("https://klasma.github.io/Logging_2280/tillsyn/A 18583-2026 tillsynsbegäran.docx", "A 18583-2026")</f>
        <v/>
      </c>
      <c r="AD78">
        <f>HYPERLINK("https://klasma.github.io/Logging_2280/tillsynsmail/A 18583-2026 tillsynsbegäran mail.docx", "A 18583-2026")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46311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13984-2023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46311</v>
      </c>
      <c r="F80" t="inlineStr">
        <is>
          <t>VÄSTERNORRLANDS LÄN</t>
        </is>
      </c>
      <c r="G80" t="inlineStr">
        <is>
          <t>HÄRNÖSAND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HYPERLINK("https://klasma.github.io/Logging_2280/artfynd/A 13984-2023 artfynd.xlsx", "A 13984-2023")</f>
        <v/>
      </c>
      <c r="X80">
        <f>HYPERLINK("https://klasma.github.io/Logging_2280/kartor/A 13984-2023 karta.png", "A 13984-2023")</f>
        <v/>
      </c>
      <c r="Y80">
        <f>HYPERLINK("https://klasma.github.io/Logging_2280/kartor_geotiff/A 13984-2023 georefererad karta.tif", "A 13984-2023")</f>
        <v/>
      </c>
      <c r="AA80">
        <f>HYPERLINK("https://klasma.github.io/Logging_2280/klagomål/A 13984-2023 FSC-klagomål.docx", "A 13984-2023")</f>
        <v/>
      </c>
      <c r="AB80">
        <f>HYPERLINK("https://klasma.github.io/Logging_2280/klagomålsmail/A 13984-2023 FSC-klagomål mail.docx", "A 13984-2023")</f>
        <v/>
      </c>
      <c r="AC80">
        <f>HYPERLINK("https://klasma.github.io/Logging_2280/tillsyn/A 13984-2023 tillsynsbegäran.docx", "A 13984-2023")</f>
        <v/>
      </c>
      <c r="AD80">
        <f>HYPERLINK("https://klasma.github.io/Logging_2280/tillsynsmail/A 13984-2023 tillsynsbegäran mail.docx", "A 13984-2023")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46311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46311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45060-2025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46311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7.4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Gammelgransskål</t>
        </is>
      </c>
      <c r="W83">
        <f>HYPERLINK("https://klasma.github.io/Logging_2280/artfynd/A 45060-2025 artfynd.xlsx", "A 45060-2025")</f>
        <v/>
      </c>
      <c r="X83">
        <f>HYPERLINK("https://klasma.github.io/Logging_2280/kartor/A 45060-2025 karta.png", "A 45060-2025")</f>
        <v/>
      </c>
      <c r="Y83">
        <f>HYPERLINK("https://klasma.github.io/Logging_2280/kartor_geotiff/A 45060-2025 georefererad karta.tif", "A 45060-2025")</f>
        <v/>
      </c>
      <c r="AA83">
        <f>HYPERLINK("https://klasma.github.io/Logging_2280/klagomål/A 45060-2025 FSC-klagomål.docx", "A 45060-2025")</f>
        <v/>
      </c>
      <c r="AB83">
        <f>HYPERLINK("https://klasma.github.io/Logging_2280/klagomålsmail/A 45060-2025 FSC-klagomål mail.docx", "A 45060-2025")</f>
        <v/>
      </c>
      <c r="AC83">
        <f>HYPERLINK("https://klasma.github.io/Logging_2280/tillsyn/A 45060-2025 tillsynsbegäran.docx", "A 45060-2025")</f>
        <v/>
      </c>
      <c r="AD83">
        <f>HYPERLINK("https://klasma.github.io/Logging_2280/tillsynsmail/A 45060-2025 tillsynsbegäran mail.docx", "A 45060-2025")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46311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46311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46311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46311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46311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40265-2024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45554</v>
      </c>
      <c r="E89" s="1" t="n">
        <v>46311</v>
      </c>
      <c r="F89" t="inlineStr">
        <is>
          <t>VÄSTERNORRLANDS LÄN</t>
        </is>
      </c>
      <c r="G89" t="inlineStr">
        <is>
          <t>HÄRNÖSAND</t>
        </is>
      </c>
      <c r="I89" t="n">
        <v>4.9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aspticka</t>
        </is>
      </c>
      <c r="W89">
        <f>HYPERLINK("https://klasma.github.io/Logging_2280/artfynd/A 40265-2024 artfynd.xlsx", "A 40265-2024")</f>
        <v/>
      </c>
      <c r="X89">
        <f>HYPERLINK("https://klasma.github.io/Logging_2280/kartor/A 40265-2024 karta.png", "A 40265-2024")</f>
        <v/>
      </c>
      <c r="Y89">
        <f>HYPERLINK("https://klasma.github.io/Logging_2280/kartor_geotiff/A 40265-2024 georefererad karta.tif", "A 40265-2024")</f>
        <v/>
      </c>
      <c r="AA89">
        <f>HYPERLINK("https://klasma.github.io/Logging_2280/klagomål/A 40265-2024 FSC-klagomål.docx", "A 40265-2024")</f>
        <v/>
      </c>
      <c r="AB89">
        <f>HYPERLINK("https://klasma.github.io/Logging_2280/klagomålsmail/A 40265-2024 FSC-klagomål mail.docx", "A 40265-2024")</f>
        <v/>
      </c>
      <c r="AC89">
        <f>HYPERLINK("https://klasma.github.io/Logging_2280/tillsyn/A 40265-2024 tillsynsbegäran.docx", "A 40265-2024")</f>
        <v/>
      </c>
      <c r="AD89">
        <f>HYPERLINK("https://klasma.github.io/Logging_2280/tillsynsmail/A 40265-2024 tillsynsbegäran mail.docx", "A 40265-2024")</f>
        <v/>
      </c>
    </row>
    <row r="90" ht="15" customHeight="1">
      <c r="A90" t="inlineStr">
        <is>
          <t>A 30907-2026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46311</v>
      </c>
      <c r="F90" t="inlineStr">
        <is>
          <t>VÄSTERNORRLANDS LÄN</t>
        </is>
      </c>
      <c r="G90" t="inlineStr">
        <is>
          <t>HÄRNÖSAND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HYPERLINK("https://klasma.github.io/Logging_2280/artfynd/A 30907-2026 artfynd.xlsx", "A 30907-2026")</f>
        <v/>
      </c>
      <c r="X90">
        <f>HYPERLINK("https://klasma.github.io/Logging_2280/kartor/A 30907-2026 karta.png", "A 30907-2026")</f>
        <v/>
      </c>
      <c r="Y90">
        <f>HYPERLINK("https://klasma.github.io/Logging_2280/kartor_geotiff/A 30907-2026 georefererad karta.tif", "A 30907-2026")</f>
        <v/>
      </c>
      <c r="AA90">
        <f>HYPERLINK("https://klasma.github.io/Logging_2280/klagomål/A 30907-2026 FSC-klagomål.docx", "A 30907-2026")</f>
        <v/>
      </c>
      <c r="AB90">
        <f>HYPERLINK("https://klasma.github.io/Logging_2280/klagomålsmail/A 30907-2026 FSC-klagomål mail.docx", "A 30907-2026")</f>
        <v/>
      </c>
      <c r="AC90">
        <f>HYPERLINK("https://klasma.github.io/Logging_2280/tillsyn/A 30907-2026 tillsynsbegäran.docx", "A 30907-2026")</f>
        <v/>
      </c>
      <c r="AD90">
        <f>HYPERLINK("https://klasma.github.io/Logging_2280/tillsynsmail/A 30907-2026 tillsynsbegäran mail.docx", "A 30907-2026")</f>
        <v/>
      </c>
      <c r="AE90">
        <f>HYPERLINK("https://klasma.github.io/Logging_2280/fåglar/A 30907-2026 prioriterade fågelarter.docx", "A 30907-2026")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46311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46311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1190-2026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46311</v>
      </c>
      <c r="F93" t="inlineStr">
        <is>
          <t>VÄSTERNORRLANDS LÄN</t>
        </is>
      </c>
      <c r="G93" t="inlineStr">
        <is>
          <t>HÄRNÖSAND</t>
        </is>
      </c>
      <c r="I93" t="n">
        <v>3.5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Tretåig hackspett</t>
        </is>
      </c>
      <c r="W93">
        <f>HYPERLINK("https://klasma.github.io/Logging_2280/artfynd/A 1190-2026 artfynd.xlsx", "A 1190-2026")</f>
        <v/>
      </c>
      <c r="X93">
        <f>HYPERLINK("https://klasma.github.io/Logging_2280/kartor/A 1190-2026 karta.png", "A 1190-2026")</f>
        <v/>
      </c>
      <c r="Y93">
        <f>HYPERLINK("https://klasma.github.io/Logging_2280/kartor_geotiff/A 1190-2026 georefererad karta.tif", "A 1190-2026")</f>
        <v/>
      </c>
      <c r="AA93">
        <f>HYPERLINK("https://klasma.github.io/Logging_2280/klagomål/A 1190-2026 FSC-klagomål.docx", "A 1190-2026")</f>
        <v/>
      </c>
      <c r="AB93">
        <f>HYPERLINK("https://klasma.github.io/Logging_2280/klagomålsmail/A 1190-2026 FSC-klagomål mail.docx", "A 1190-2026")</f>
        <v/>
      </c>
      <c r="AC93">
        <f>HYPERLINK("https://klasma.github.io/Logging_2280/tillsyn/A 1190-2026 tillsynsbegäran.docx", "A 1190-2026")</f>
        <v/>
      </c>
      <c r="AD93">
        <f>HYPERLINK("https://klasma.github.io/Logging_2280/tillsynsmail/A 1190-2026 tillsynsbegäran mail.docx", "A 1190-2026")</f>
        <v/>
      </c>
      <c r="AE93">
        <f>HYPERLINK("https://klasma.github.io/Logging_2280/fåglar/A 1190-2026 prioriterade fågelarter.docx", "A 1190-2026")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46311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46311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46311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46311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46311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46311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46311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46311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46311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46311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46311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46311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46311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46311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46311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46311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46311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46311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46311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46311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46311</v>
      </c>
      <c r="F115" t="inlineStr">
        <is>
          <t>VÄSTERNORRLANDS LÄN</t>
        </is>
      </c>
      <c r="G115" t="inlineStr">
        <is>
          <t>HÄRNÖSAND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46311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46311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46311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46311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46311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46311</v>
      </c>
      <c r="F122" t="inlineStr">
        <is>
          <t>VÄSTERNORRLANDS LÄN</t>
        </is>
      </c>
      <c r="G122" t="inlineStr">
        <is>
          <t>HÄRNÖSAND</t>
        </is>
      </c>
      <c r="H122" t="inlineStr">
        <is>
          <t>SCA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46311</v>
      </c>
      <c r="F123" t="inlineStr">
        <is>
          <t>VÄSTERNORRLANDS LÄN</t>
        </is>
      </c>
      <c r="G123" t="inlineStr">
        <is>
          <t>HÄRNÖSAND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70563-2021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44532</v>
      </c>
      <c r="E124" s="1" t="n">
        <v>46311</v>
      </c>
      <c r="F124" t="inlineStr">
        <is>
          <t>VÄSTERNORRLANDS LÄN</t>
        </is>
      </c>
      <c r="G124" t="inlineStr">
        <is>
          <t>HÄRNÖSAND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46311</v>
      </c>
      <c r="F125" t="inlineStr">
        <is>
          <t>VÄSTERNORRLANDS LÄN</t>
        </is>
      </c>
      <c r="G125" t="inlineStr">
        <is>
          <t>HÄRNÖSAND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46311</v>
      </c>
      <c r="F126" t="inlineStr">
        <is>
          <t>VÄSTERNORRLANDS LÄN</t>
        </is>
      </c>
      <c r="G126" t="inlineStr">
        <is>
          <t>HÄRNÖSAND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46311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46311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46311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46311</v>
      </c>
      <c r="F130" t="inlineStr">
        <is>
          <t>VÄSTERNORRLANDS LÄN</t>
        </is>
      </c>
      <c r="G130" t="inlineStr">
        <is>
          <t>HÄRNÖSAND</t>
        </is>
      </c>
      <c r="H130" t="inlineStr">
        <is>
          <t>SCA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46311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46311</v>
      </c>
      <c r="F132" t="inlineStr">
        <is>
          <t>VÄSTERNORRLANDS LÄN</t>
        </is>
      </c>
      <c r="G132" t="inlineStr">
        <is>
          <t>HÄRNÖSAND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46311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46311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46311</v>
      </c>
      <c r="F135" t="inlineStr">
        <is>
          <t>VÄSTERNORRLANDS LÄN</t>
        </is>
      </c>
      <c r="G135" t="inlineStr">
        <is>
          <t>HÄRNÖSAND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46311</v>
      </c>
      <c r="F136" t="inlineStr">
        <is>
          <t>VÄSTERNORRLANDS LÄN</t>
        </is>
      </c>
      <c r="G136" t="inlineStr">
        <is>
          <t>HÄRNÖSAND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46311</v>
      </c>
      <c r="F137" t="inlineStr">
        <is>
          <t>VÄSTERNORRLANDS LÄN</t>
        </is>
      </c>
      <c r="G137" t="inlineStr">
        <is>
          <t>HÄRNÖSAND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46311</v>
      </c>
      <c r="F138" t="inlineStr">
        <is>
          <t>VÄSTERNORRLANDS LÄN</t>
        </is>
      </c>
      <c r="G138" t="inlineStr">
        <is>
          <t>HÄRNÖSAND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46311</v>
      </c>
      <c r="F139" t="inlineStr">
        <is>
          <t>VÄSTERNORRLANDS LÄN</t>
        </is>
      </c>
      <c r="G139" t="inlineStr">
        <is>
          <t>HÄRNÖSAND</t>
        </is>
      </c>
      <c r="I139" t="n">
        <v>9.300000000000001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46311</v>
      </c>
      <c r="F140" t="inlineStr">
        <is>
          <t>VÄSTERNORRLANDS LÄN</t>
        </is>
      </c>
      <c r="G140" t="inlineStr">
        <is>
          <t>HÄRNÖSAND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70603-2021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44536</v>
      </c>
      <c r="E141" s="1" t="n">
        <v>46311</v>
      </c>
      <c r="F141" t="inlineStr">
        <is>
          <t>VÄSTERNORRLANDS LÄN</t>
        </is>
      </c>
      <c r="G141" t="inlineStr">
        <is>
          <t>HÄRNÖSAND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45044</v>
      </c>
      <c r="E142" s="1" t="n">
        <v>46311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44522</v>
      </c>
      <c r="E143" s="1" t="n">
        <v>46311</v>
      </c>
      <c r="F143" t="inlineStr">
        <is>
          <t>VÄSTERNORRLANDS LÄN</t>
        </is>
      </c>
      <c r="G143" t="inlineStr">
        <is>
          <t>HÄRNÖSAND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46311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46311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46311</v>
      </c>
      <c r="F146" t="inlineStr">
        <is>
          <t>VÄSTERNORRLANDS LÄN</t>
        </is>
      </c>
      <c r="G146" t="inlineStr">
        <is>
          <t>HÄRNÖSAND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46311</v>
      </c>
      <c r="F147" t="inlineStr">
        <is>
          <t>VÄSTERNORRLANDS LÄN</t>
        </is>
      </c>
      <c r="G147" t="inlineStr">
        <is>
          <t>HÄRNÖSAND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46311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46311</v>
      </c>
      <c r="F149" t="inlineStr">
        <is>
          <t>VÄSTERNORRLANDS LÄN</t>
        </is>
      </c>
      <c r="G149" t="inlineStr">
        <is>
          <t>HÄRNÖSAND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46311</v>
      </c>
      <c r="F150" t="inlineStr">
        <is>
          <t>VÄSTERNORRLANDS LÄN</t>
        </is>
      </c>
      <c r="G150" t="inlineStr">
        <is>
          <t>HÄRNÖSAND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46311</v>
      </c>
      <c r="F151" t="inlineStr">
        <is>
          <t>VÄSTERNORRLANDS LÄN</t>
        </is>
      </c>
      <c r="G151" t="inlineStr">
        <is>
          <t>HÄRNÖSAND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46311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46311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45409</v>
      </c>
      <c r="E154" s="1" t="n">
        <v>46311</v>
      </c>
      <c r="F154" t="inlineStr">
        <is>
          <t>VÄSTERNORRLANDS LÄN</t>
        </is>
      </c>
      <c r="G154" t="inlineStr">
        <is>
          <t>HÄRNÖSAND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46311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44596</v>
      </c>
      <c r="E156" s="1" t="n">
        <v>46311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Övriga statliga verk och myndigheter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46311</v>
      </c>
      <c r="F157" t="inlineStr">
        <is>
          <t>VÄSTERNORRLANDS LÄN</t>
        </is>
      </c>
      <c r="G157" t="inlineStr">
        <is>
          <t>HÄRNÖSAND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46311</v>
      </c>
      <c r="F158" t="inlineStr">
        <is>
          <t>VÄSTERNORRLANDS LÄN</t>
        </is>
      </c>
      <c r="G158" t="inlineStr">
        <is>
          <t>HÄRNÖSAND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46311</v>
      </c>
      <c r="F159" t="inlineStr">
        <is>
          <t>VÄSTERNORRLANDS LÄN</t>
        </is>
      </c>
      <c r="G159" t="inlineStr">
        <is>
          <t>HÄRNÖSAND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46311</v>
      </c>
      <c r="F160" t="inlineStr">
        <is>
          <t>VÄSTERNORRLANDS LÄN</t>
        </is>
      </c>
      <c r="G160" t="inlineStr">
        <is>
          <t>HÄRNÖSAND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46311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Kyrkan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46311</v>
      </c>
      <c r="F162" t="inlineStr">
        <is>
          <t>VÄSTERNORRLANDS LÄN</t>
        </is>
      </c>
      <c r="G162" t="inlineStr">
        <is>
          <t>HÄRNÖSAND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44806</v>
      </c>
      <c r="E163" s="1" t="n">
        <v>46311</v>
      </c>
      <c r="F163" t="inlineStr">
        <is>
          <t>VÄSTERNORRLANDS LÄN</t>
        </is>
      </c>
      <c r="G163" t="inlineStr">
        <is>
          <t>HÄRNÖSAND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46311</v>
      </c>
      <c r="F164" t="inlineStr">
        <is>
          <t>VÄSTERNORRLANDS LÄN</t>
        </is>
      </c>
      <c r="G164" t="inlineStr">
        <is>
          <t>HÄRNÖSAND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46311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46311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13.5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45833</v>
      </c>
      <c r="E167" s="1" t="n">
        <v>46311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46311</v>
      </c>
      <c r="F168" t="inlineStr">
        <is>
          <t>VÄSTERNORRLANDS LÄN</t>
        </is>
      </c>
      <c r="G168" t="inlineStr">
        <is>
          <t>HÄRNÖSAND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46311</v>
      </c>
      <c r="F169" t="inlineStr">
        <is>
          <t>VÄSTERNORRLANDS LÄN</t>
        </is>
      </c>
      <c r="G169" t="inlineStr">
        <is>
          <t>HÄRNÖSAND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46311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46311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46311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46311</v>
      </c>
      <c r="F173" t="inlineStr">
        <is>
          <t>VÄSTERNORRLANDS LÄN</t>
        </is>
      </c>
      <c r="G173" t="inlineStr">
        <is>
          <t>HÄRNÖSAND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44853</v>
      </c>
      <c r="E174" s="1" t="n">
        <v>46311</v>
      </c>
      <c r="F174" t="inlineStr">
        <is>
          <t>VÄSTERNORRLANDS LÄN</t>
        </is>
      </c>
      <c r="G174" t="inlineStr">
        <is>
          <t>HÄRNÖSAND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46311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46311</v>
      </c>
      <c r="F176" t="inlineStr">
        <is>
          <t>VÄSTERNORRLANDS LÄN</t>
        </is>
      </c>
      <c r="G176" t="inlineStr">
        <is>
          <t>HÄRNÖSAND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46311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46311</v>
      </c>
      <c r="F178" t="inlineStr">
        <is>
          <t>VÄSTERNORRLANDS LÄN</t>
        </is>
      </c>
      <c r="G178" t="inlineStr">
        <is>
          <t>HÄRNÖSAND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46311</v>
      </c>
      <c r="F179" t="inlineStr">
        <is>
          <t>VÄSTERNORRLANDS LÄN</t>
        </is>
      </c>
      <c r="G179" t="inlineStr">
        <is>
          <t>HÄRNÖSAND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46311</v>
      </c>
      <c r="F180" t="inlineStr">
        <is>
          <t>VÄSTERNORRLANDS LÄN</t>
        </is>
      </c>
      <c r="G180" t="inlineStr">
        <is>
          <t>HÄRNÖSAND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46311</v>
      </c>
      <c r="F181" t="inlineStr">
        <is>
          <t>VÄSTERNORRLANDS LÄN</t>
        </is>
      </c>
      <c r="G181" t="inlineStr">
        <is>
          <t>HÄRNÖSAND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46311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46311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46311</v>
      </c>
      <c r="F184" t="inlineStr">
        <is>
          <t>VÄSTERNORRLANDS LÄN</t>
        </is>
      </c>
      <c r="G184" t="inlineStr">
        <is>
          <t>HÄRNÖSAND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44991</v>
      </c>
      <c r="E185" s="1" t="n">
        <v>46311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45489</v>
      </c>
      <c r="E186" s="1" t="n">
        <v>46311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45848</v>
      </c>
      <c r="E187" s="1" t="n">
        <v>46311</v>
      </c>
      <c r="F187" t="inlineStr">
        <is>
          <t>VÄSTERNORRLANDS LÄN</t>
        </is>
      </c>
      <c r="G187" t="inlineStr">
        <is>
          <t>HÄRNÖSAND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34751-2025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45848</v>
      </c>
      <c r="E188" s="1" t="n">
        <v>46311</v>
      </c>
      <c r="F188" t="inlineStr">
        <is>
          <t>VÄSTERNORRLANDS LÄN</t>
        </is>
      </c>
      <c r="G188" t="inlineStr">
        <is>
          <t>HÄRNÖSAND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46311</v>
      </c>
      <c r="F189" t="inlineStr">
        <is>
          <t>VÄSTERNORRLANDS LÄN</t>
        </is>
      </c>
      <c r="G189" t="inlineStr">
        <is>
          <t>HÄRNÖSAND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46311</v>
      </c>
      <c r="F190" t="inlineStr">
        <is>
          <t>VÄSTERNORRLANDS LÄN</t>
        </is>
      </c>
      <c r="G190" t="inlineStr">
        <is>
          <t>HÄRNÖSAND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61574-2021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44497</v>
      </c>
      <c r="E191" s="1" t="n">
        <v>46311</v>
      </c>
      <c r="F191" t="inlineStr">
        <is>
          <t>VÄSTERNORRLANDS LÄN</t>
        </is>
      </c>
      <c r="G191" t="inlineStr">
        <is>
          <t>HÄRNÖSAND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46311</v>
      </c>
      <c r="F192" t="inlineStr">
        <is>
          <t>VÄSTERNORRLANDS LÄN</t>
        </is>
      </c>
      <c r="G192" t="inlineStr">
        <is>
          <t>HÄRNÖSAND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46311</v>
      </c>
      <c r="F193" t="inlineStr">
        <is>
          <t>VÄSTERNORRLANDS LÄN</t>
        </is>
      </c>
      <c r="G193" t="inlineStr">
        <is>
          <t>HÄRNÖSAND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46311</v>
      </c>
      <c r="F194" t="inlineStr">
        <is>
          <t>VÄSTERNORRLANDS LÄN</t>
        </is>
      </c>
      <c r="G194" t="inlineStr">
        <is>
          <t>HÄRNÖSAND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46311</v>
      </c>
      <c r="F195" t="inlineStr">
        <is>
          <t>VÄSTERNORRLANDS LÄN</t>
        </is>
      </c>
      <c r="G195" t="inlineStr">
        <is>
          <t>HÄRNÖSAND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44952</v>
      </c>
      <c r="E196" s="1" t="n">
        <v>46311</v>
      </c>
      <c r="F196" t="inlineStr">
        <is>
          <t>VÄSTERNORRLANDS LÄN</t>
        </is>
      </c>
      <c r="G196" t="inlineStr">
        <is>
          <t>HÄRNÖSAND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45853</v>
      </c>
      <c r="E197" s="1" t="n">
        <v>46311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46311</v>
      </c>
      <c r="F198" t="inlineStr">
        <is>
          <t>VÄSTERNORRLANDS LÄN</t>
        </is>
      </c>
      <c r="G198" t="inlineStr">
        <is>
          <t>HÄRNÖSAND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46311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46311</v>
      </c>
      <c r="F200" t="inlineStr">
        <is>
          <t>VÄSTERNORRLANDS LÄN</t>
        </is>
      </c>
      <c r="G200" t="inlineStr">
        <is>
          <t>HÄRNÖSAND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46311</v>
      </c>
      <c r="F201" t="inlineStr">
        <is>
          <t>VÄSTERNORRLANDS LÄN</t>
        </is>
      </c>
      <c r="G201" t="inlineStr">
        <is>
          <t>HÄRNÖSAND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46311</v>
      </c>
      <c r="F202" t="inlineStr">
        <is>
          <t>VÄSTERNORRLANDS LÄN</t>
        </is>
      </c>
      <c r="G202" t="inlineStr">
        <is>
          <t>HÄRNÖSAND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44847</v>
      </c>
      <c r="E203" s="1" t="n">
        <v>46311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Kyrkan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46311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46311</v>
      </c>
      <c r="F205" t="inlineStr">
        <is>
          <t>VÄSTERNORRLANDS LÄN</t>
        </is>
      </c>
      <c r="G205" t="inlineStr">
        <is>
          <t>HÄRNÖSAND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45511</v>
      </c>
      <c r="E206" s="1" t="n">
        <v>46311</v>
      </c>
      <c r="F206" t="inlineStr">
        <is>
          <t>VÄSTERNORRLANDS LÄN</t>
        </is>
      </c>
      <c r="G206" t="inlineStr">
        <is>
          <t>HÄRNÖSAND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46311</v>
      </c>
      <c r="F207" t="inlineStr">
        <is>
          <t>VÄSTERNORRLANDS LÄN</t>
        </is>
      </c>
      <c r="G207" t="inlineStr">
        <is>
          <t>HÄRNÖSAND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46311</v>
      </c>
      <c r="F208" t="inlineStr">
        <is>
          <t>VÄSTERNORRLANDS LÄN</t>
        </is>
      </c>
      <c r="G208" t="inlineStr">
        <is>
          <t>HÄRNÖSAND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44881</v>
      </c>
      <c r="E209" s="1" t="n">
        <v>46311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50338-2022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44865</v>
      </c>
      <c r="E210" s="1" t="n">
        <v>46311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46311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46311</v>
      </c>
      <c r="F212" t="inlineStr">
        <is>
          <t>VÄSTERNORRLANDS LÄN</t>
        </is>
      </c>
      <c r="G212" t="inlineStr">
        <is>
          <t>HÄRNÖSAND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45890</v>
      </c>
      <c r="E213" s="1" t="n">
        <v>46311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46311</v>
      </c>
      <c r="F214" t="inlineStr">
        <is>
          <t>VÄSTERNORRLANDS LÄN</t>
        </is>
      </c>
      <c r="G214" t="inlineStr">
        <is>
          <t>HÄRNÖSAND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46311</v>
      </c>
      <c r="F215" t="inlineStr">
        <is>
          <t>VÄSTERNORRLANDS LÄN</t>
        </is>
      </c>
      <c r="G215" t="inlineStr">
        <is>
          <t>HÄRNÖSAND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44937</v>
      </c>
      <c r="E216" s="1" t="n">
        <v>46311</v>
      </c>
      <c r="F216" t="inlineStr">
        <is>
          <t>VÄSTERNORRLANDS LÄN</t>
        </is>
      </c>
      <c r="G216" t="inlineStr">
        <is>
          <t>HÄRNÖSAND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46311</v>
      </c>
      <c r="F217" t="inlineStr">
        <is>
          <t>VÄSTERNORRLANDS LÄN</t>
        </is>
      </c>
      <c r="G217" t="inlineStr">
        <is>
          <t>HÄRNÖSAND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45890</v>
      </c>
      <c r="E218" s="1" t="n">
        <v>46311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46311</v>
      </c>
      <c r="F219" t="inlineStr">
        <is>
          <t>VÄSTERNORRLANDS LÄN</t>
        </is>
      </c>
      <c r="G219" t="inlineStr">
        <is>
          <t>HÄRNÖSAND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46311</v>
      </c>
      <c r="F220" t="inlineStr">
        <is>
          <t>VÄSTERNORRLANDS LÄN</t>
        </is>
      </c>
      <c r="G220" t="inlineStr">
        <is>
          <t>HÄRNÖSAND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46311</v>
      </c>
      <c r="F221" t="inlineStr">
        <is>
          <t>VÄSTERNORRLANDS LÄN</t>
        </is>
      </c>
      <c r="G221" t="inlineStr">
        <is>
          <t>HÄRNÖSAND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61102-2021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44498</v>
      </c>
      <c r="E222" s="1" t="n">
        <v>46311</v>
      </c>
      <c r="F222" t="inlineStr">
        <is>
          <t>VÄSTERNORRLANDS LÄN</t>
        </is>
      </c>
      <c r="G222" t="inlineStr">
        <is>
          <t>HÄRNÖSAND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46311</v>
      </c>
      <c r="F223" t="inlineStr">
        <is>
          <t>VÄSTERNORRLANDS LÄN</t>
        </is>
      </c>
      <c r="G223" t="inlineStr">
        <is>
          <t>HÄRNÖSAND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44853</v>
      </c>
      <c r="E224" s="1" t="n">
        <v>46311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46311</v>
      </c>
      <c r="F225" t="inlineStr">
        <is>
          <t>VÄSTERNORRLANDS LÄN</t>
        </is>
      </c>
      <c r="G225" t="inlineStr">
        <is>
          <t>HÄRNÖSAND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45409</v>
      </c>
      <c r="E226" s="1" t="n">
        <v>46311</v>
      </c>
      <c r="F226" t="inlineStr">
        <is>
          <t>VÄSTERNORRLANDS LÄN</t>
        </is>
      </c>
      <c r="G226" t="inlineStr">
        <is>
          <t>HÄRNÖSAND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45293</v>
      </c>
      <c r="E227" s="1" t="n">
        <v>46311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46311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64023-2023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45278</v>
      </c>
      <c r="E229" s="1" t="n">
        <v>46311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46311</v>
      </c>
      <c r="F230" t="inlineStr">
        <is>
          <t>VÄSTERNORRLANDS LÄN</t>
        </is>
      </c>
      <c r="G230" t="inlineStr">
        <is>
          <t>HÄRNÖSAND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69269-2021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44531</v>
      </c>
      <c r="E231" s="1" t="n">
        <v>46311</v>
      </c>
      <c r="F231" t="inlineStr">
        <is>
          <t>VÄSTERNORRLANDS LÄN</t>
        </is>
      </c>
      <c r="G231" t="inlineStr">
        <is>
          <t>HÄRNÖSAND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46311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46311</v>
      </c>
      <c r="F233" t="inlineStr">
        <is>
          <t>VÄSTERNORRLANDS LÄN</t>
        </is>
      </c>
      <c r="G233" t="inlineStr">
        <is>
          <t>HÄRNÖSAND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46311</v>
      </c>
      <c r="F234" t="inlineStr">
        <is>
          <t>VÄSTERNORRLANDS LÄN</t>
        </is>
      </c>
      <c r="G234" t="inlineStr">
        <is>
          <t>HÄRNÖSAND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49039-2023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45209</v>
      </c>
      <c r="E235" s="1" t="n">
        <v>46311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46311</v>
      </c>
      <c r="F236" t="inlineStr">
        <is>
          <t>VÄSTERNORRLANDS LÄN</t>
        </is>
      </c>
      <c r="G236" t="inlineStr">
        <is>
          <t>HÄRNÖSAND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44791</v>
      </c>
      <c r="E237" s="1" t="n">
        <v>46311</v>
      </c>
      <c r="F237" t="inlineStr">
        <is>
          <t>VÄSTERNORRLANDS LÄN</t>
        </is>
      </c>
      <c r="G237" t="inlineStr">
        <is>
          <t>HÄRNÖSAND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45418</v>
      </c>
      <c r="E238" s="1" t="n">
        <v>46311</v>
      </c>
      <c r="F238" t="inlineStr">
        <is>
          <t>VÄSTERNORRLANDS LÄN</t>
        </is>
      </c>
      <c r="G238" t="inlineStr">
        <is>
          <t>HÄRNÖSAND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46311</v>
      </c>
      <c r="F239" t="inlineStr">
        <is>
          <t>VÄSTERNORRLANDS LÄN</t>
        </is>
      </c>
      <c r="G239" t="inlineStr">
        <is>
          <t>HÄRNÖSAND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46311</v>
      </c>
      <c r="F240" t="inlineStr">
        <is>
          <t>VÄSTERNORRLANDS LÄN</t>
        </is>
      </c>
      <c r="G240" t="inlineStr">
        <is>
          <t>HÄRNÖSAND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46311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46311</v>
      </c>
      <c r="F242" t="inlineStr">
        <is>
          <t>VÄSTERNORRLANDS LÄN</t>
        </is>
      </c>
      <c r="G242" t="inlineStr">
        <is>
          <t>HÄRNÖSAND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62333-2021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44502</v>
      </c>
      <c r="E243" s="1" t="n">
        <v>46311</v>
      </c>
      <c r="F243" t="inlineStr">
        <is>
          <t>VÄSTERNORRLANDS LÄN</t>
        </is>
      </c>
      <c r="G243" t="inlineStr">
        <is>
          <t>HÄRNÖSAND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34185-2023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46311</v>
      </c>
      <c r="F244" t="inlineStr">
        <is>
          <t>VÄSTERNORRLANDS LÄN</t>
        </is>
      </c>
      <c r="G244" t="inlineStr">
        <is>
          <t>HÄRNÖSAND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45228</v>
      </c>
      <c r="E245" s="1" t="n">
        <v>46311</v>
      </c>
      <c r="F245" t="inlineStr">
        <is>
          <t>VÄSTERNORRLANDS LÄN</t>
        </is>
      </c>
      <c r="G245" t="inlineStr">
        <is>
          <t>HÄRNÖSAND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46311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46311</v>
      </c>
      <c r="F247" t="inlineStr">
        <is>
          <t>VÄSTERNORRLANDS LÄN</t>
        </is>
      </c>
      <c r="G247" t="inlineStr">
        <is>
          <t>HÄRNÖSAND</t>
        </is>
      </c>
      <c r="I247" t="n">
        <v>14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46311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46311</v>
      </c>
      <c r="F249" t="inlineStr">
        <is>
          <t>VÄSTERNORRLANDS LÄN</t>
        </is>
      </c>
      <c r="G249" t="inlineStr">
        <is>
          <t>HÄRNÖSAND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54251-2022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44881</v>
      </c>
      <c r="E250" s="1" t="n">
        <v>46311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41147-2023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46311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46311</v>
      </c>
      <c r="F252" t="inlineStr">
        <is>
          <t>VÄSTERNORRLANDS LÄN</t>
        </is>
      </c>
      <c r="G252" t="inlineStr">
        <is>
          <t>HÄRNÖSAND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46311</v>
      </c>
      <c r="F253" t="inlineStr">
        <is>
          <t>VÄSTERNORRLANDS LÄN</t>
        </is>
      </c>
      <c r="G253" t="inlineStr">
        <is>
          <t>HÄRNÖSAND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46311</v>
      </c>
      <c r="F254" t="inlineStr">
        <is>
          <t>VÄSTERNORRLANDS LÄN</t>
        </is>
      </c>
      <c r="G254" t="inlineStr">
        <is>
          <t>HÄRNÖSAND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46311</v>
      </c>
      <c r="F255" t="inlineStr">
        <is>
          <t>VÄSTERNORRLANDS LÄN</t>
        </is>
      </c>
      <c r="G255" t="inlineStr">
        <is>
          <t>HÄRNÖSAND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46311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46311</v>
      </c>
      <c r="F257" t="inlineStr">
        <is>
          <t>VÄSTERNORRLANDS LÄN</t>
        </is>
      </c>
      <c r="G257" t="inlineStr">
        <is>
          <t>HÄRNÖSAND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46311</v>
      </c>
      <c r="F258" t="inlineStr">
        <is>
          <t>VÄSTERNORRLANDS LÄN</t>
        </is>
      </c>
      <c r="G258" t="inlineStr">
        <is>
          <t>HÄRNÖSAND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46311</v>
      </c>
      <c r="F259" t="inlineStr">
        <is>
          <t>VÄSTERNORRLANDS LÄN</t>
        </is>
      </c>
      <c r="G259" t="inlineStr">
        <is>
          <t>HÄRNÖSAND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41562-2025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45901</v>
      </c>
      <c r="E260" s="1" t="n">
        <v>46311</v>
      </c>
      <c r="F260" t="inlineStr">
        <is>
          <t>VÄSTERNORRLANDS LÄN</t>
        </is>
      </c>
      <c r="G260" t="inlineStr">
        <is>
          <t>HÄRNÖSAND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46311</v>
      </c>
      <c r="F261" t="inlineStr">
        <is>
          <t>VÄSTERNORRLANDS LÄN</t>
        </is>
      </c>
      <c r="G261" t="inlineStr">
        <is>
          <t>HÄRNÖSAND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6833-2024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46311</v>
      </c>
      <c r="F262" t="inlineStr">
        <is>
          <t>VÄSTERNORRLANDS LÄN</t>
        </is>
      </c>
      <c r="G262" t="inlineStr">
        <is>
          <t>HÄRNÖSAND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60970-2021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46311</v>
      </c>
      <c r="F263" t="inlineStr">
        <is>
          <t>VÄSTERNORRLANDS LÄN</t>
        </is>
      </c>
      <c r="G263" t="inlineStr">
        <is>
          <t>HÄRNÖSAND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44894</v>
      </c>
      <c r="E264" s="1" t="n">
        <v>46311</v>
      </c>
      <c r="F264" t="inlineStr">
        <is>
          <t>VÄSTERNORRLANDS LÄN</t>
        </is>
      </c>
      <c r="G264" t="inlineStr">
        <is>
          <t>HÄRNÖSAND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45405</v>
      </c>
      <c r="E265" s="1" t="n">
        <v>46311</v>
      </c>
      <c r="F265" t="inlineStr">
        <is>
          <t>VÄSTERNORRLANDS LÄN</t>
        </is>
      </c>
      <c r="G265" t="inlineStr">
        <is>
          <t>HÄRNÖSAND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44609</v>
      </c>
      <c r="E266" s="1" t="n">
        <v>46311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Övriga statliga verk och myndigheter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46311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46311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46311</v>
      </c>
      <c r="F269" t="inlineStr">
        <is>
          <t>VÄSTERNORRLANDS LÄN</t>
        </is>
      </c>
      <c r="G269" t="inlineStr">
        <is>
          <t>HÄRNÖSAND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46311</v>
      </c>
      <c r="F270" t="inlineStr">
        <is>
          <t>VÄSTERNORRLANDS LÄN</t>
        </is>
      </c>
      <c r="G270" t="inlineStr">
        <is>
          <t>HÄRNÖSAND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45409</v>
      </c>
      <c r="E271" s="1" t="n">
        <v>46311</v>
      </c>
      <c r="F271" t="inlineStr">
        <is>
          <t>VÄSTERNORRLANDS LÄN</t>
        </is>
      </c>
      <c r="G271" t="inlineStr">
        <is>
          <t>HÄRNÖSAND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46311</v>
      </c>
      <c r="F272" t="inlineStr">
        <is>
          <t>VÄSTERNORRLANDS LÄN</t>
        </is>
      </c>
      <c r="G272" t="inlineStr">
        <is>
          <t>HÄRNÖSAND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46311</v>
      </c>
      <c r="F273" t="inlineStr">
        <is>
          <t>VÄSTERNORRLANDS LÄN</t>
        </is>
      </c>
      <c r="G273" t="inlineStr">
        <is>
          <t>HÄRNÖSAND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45628</v>
      </c>
      <c r="E274" s="1" t="n">
        <v>46311</v>
      </c>
      <c r="F274" t="inlineStr">
        <is>
          <t>VÄSTERNORRLANDS LÄN</t>
        </is>
      </c>
      <c r="G274" t="inlineStr">
        <is>
          <t>HÄRNÖSAND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18575-2026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46311</v>
      </c>
      <c r="F275" t="inlineStr">
        <is>
          <t>VÄSTERNORRLANDS LÄN</t>
        </is>
      </c>
      <c r="G275" t="inlineStr">
        <is>
          <t>HÄRNÖSAND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46311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46311</v>
      </c>
      <c r="F277" t="inlineStr">
        <is>
          <t>VÄSTERNORRLANDS LÄN</t>
        </is>
      </c>
      <c r="G277" t="inlineStr">
        <is>
          <t>HÄRNÖSAND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44641</v>
      </c>
      <c r="E278" s="1" t="n">
        <v>46311</v>
      </c>
      <c r="F278" t="inlineStr">
        <is>
          <t>VÄSTERNORRLANDS LÄN</t>
        </is>
      </c>
      <c r="G278" t="inlineStr">
        <is>
          <t>HÄRNÖSAND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46311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45512</v>
      </c>
      <c r="E280" s="1" t="n">
        <v>46311</v>
      </c>
      <c r="F280" t="inlineStr">
        <is>
          <t>VÄSTERNORRLANDS LÄN</t>
        </is>
      </c>
      <c r="G280" t="inlineStr">
        <is>
          <t>HÄRNÖSAND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46311</v>
      </c>
      <c r="F281" t="inlineStr">
        <is>
          <t>VÄSTERNORRLANDS LÄN</t>
        </is>
      </c>
      <c r="G281" t="inlineStr">
        <is>
          <t>HÄRNÖSAND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45757</v>
      </c>
      <c r="E282" s="1" t="n">
        <v>46311</v>
      </c>
      <c r="F282" t="inlineStr">
        <is>
          <t>VÄSTERNORRLANDS LÄN</t>
        </is>
      </c>
      <c r="G282" t="inlineStr">
        <is>
          <t>HÄRNÖSAND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45390</v>
      </c>
      <c r="E283" s="1" t="n">
        <v>46311</v>
      </c>
      <c r="F283" t="inlineStr">
        <is>
          <t>VÄSTERNORRLANDS LÄN</t>
        </is>
      </c>
      <c r="G283" t="inlineStr">
        <is>
          <t>HÄRNÖSAND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46311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46311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46311</v>
      </c>
      <c r="F286" t="inlineStr">
        <is>
          <t>VÄSTERNORRLANDS LÄN</t>
        </is>
      </c>
      <c r="G286" t="inlineStr">
        <is>
          <t>HÄRNÖSAND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46311</v>
      </c>
      <c r="F287" t="inlineStr">
        <is>
          <t>VÄSTERNORRLANDS LÄN</t>
        </is>
      </c>
      <c r="G287" t="inlineStr">
        <is>
          <t>HÄRNÖSAND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44755</v>
      </c>
      <c r="E288" s="1" t="n">
        <v>46311</v>
      </c>
      <c r="F288" t="inlineStr">
        <is>
          <t>VÄSTERNORRLANDS LÄN</t>
        </is>
      </c>
      <c r="G288" t="inlineStr">
        <is>
          <t>HÄRNÖSAND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45595</v>
      </c>
      <c r="E289" s="1" t="n">
        <v>46311</v>
      </c>
      <c r="F289" t="inlineStr">
        <is>
          <t>VÄSTERNORRLANDS LÄN</t>
        </is>
      </c>
      <c r="G289" t="inlineStr">
        <is>
          <t>HÄRNÖSAND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46311</v>
      </c>
      <c r="F290" t="inlineStr">
        <is>
          <t>VÄSTERNORRLANDS LÄN</t>
        </is>
      </c>
      <c r="G290" t="inlineStr">
        <is>
          <t>HÄRNÖSAND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54091-2024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45616</v>
      </c>
      <c r="E291" s="1" t="n">
        <v>46311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44747</v>
      </c>
      <c r="E292" s="1" t="n">
        <v>46311</v>
      </c>
      <c r="F292" t="inlineStr">
        <is>
          <t>VÄSTERNORRLANDS LÄN</t>
        </is>
      </c>
      <c r="G292" t="inlineStr">
        <is>
          <t>HÄRNÖSAND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46311</v>
      </c>
      <c r="F293" t="inlineStr">
        <is>
          <t>VÄSTERNORRLANDS LÄN</t>
        </is>
      </c>
      <c r="G293" t="inlineStr">
        <is>
          <t>HÄRNÖSAND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16979-2022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44676</v>
      </c>
      <c r="E294" s="1" t="n">
        <v>46311</v>
      </c>
      <c r="F294" t="inlineStr">
        <is>
          <t>VÄSTERNORRLANDS LÄN</t>
        </is>
      </c>
      <c r="G294" t="inlineStr">
        <is>
          <t>HÄRNÖSAND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46311</v>
      </c>
      <c r="F295" t="inlineStr">
        <is>
          <t>VÄSTERNORRLANDS LÄN</t>
        </is>
      </c>
      <c r="G295" t="inlineStr">
        <is>
          <t>HÄRNÖSAND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46311</v>
      </c>
      <c r="F296" t="inlineStr">
        <is>
          <t>VÄSTERNORRLANDS LÄN</t>
        </is>
      </c>
      <c r="G296" t="inlineStr">
        <is>
          <t>HÄRNÖSAND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44694</v>
      </c>
      <c r="E297" s="1" t="n">
        <v>46311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44732</v>
      </c>
      <c r="E298" s="1" t="n">
        <v>46311</v>
      </c>
      <c r="F298" t="inlineStr">
        <is>
          <t>VÄSTERNORRLANDS LÄN</t>
        </is>
      </c>
      <c r="G298" t="inlineStr">
        <is>
          <t>HÄRNÖSAND</t>
        </is>
      </c>
      <c r="I298" t="n">
        <v>18.7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45526</v>
      </c>
      <c r="E299" s="1" t="n">
        <v>46311</v>
      </c>
      <c r="F299" t="inlineStr">
        <is>
          <t>VÄSTERNORRLANDS LÄN</t>
        </is>
      </c>
      <c r="G299" t="inlineStr">
        <is>
          <t>HÄRNÖSAND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46311</v>
      </c>
      <c r="F300" t="inlineStr">
        <is>
          <t>VÄSTERNORRLANDS LÄN</t>
        </is>
      </c>
      <c r="G300" t="inlineStr">
        <is>
          <t>HÄRNÖSAND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44890</v>
      </c>
      <c r="E301" s="1" t="n">
        <v>46311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Kyrkan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46311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46311</v>
      </c>
      <c r="F303" t="inlineStr">
        <is>
          <t>VÄSTERNORRLANDS LÄN</t>
        </is>
      </c>
      <c r="G303" t="inlineStr">
        <is>
          <t>HÄRNÖSAND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45762</v>
      </c>
      <c r="E304" s="1" t="n">
        <v>46311</v>
      </c>
      <c r="F304" t="inlineStr">
        <is>
          <t>VÄSTERNORRLANDS LÄN</t>
        </is>
      </c>
      <c r="G304" t="inlineStr">
        <is>
          <t>HÄRNÖSAND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44617</v>
      </c>
      <c r="E305" s="1" t="n">
        <v>46311</v>
      </c>
      <c r="F305" t="inlineStr">
        <is>
          <t>VÄSTERNORRLANDS LÄN</t>
        </is>
      </c>
      <c r="G305" t="inlineStr">
        <is>
          <t>HÄRNÖSAND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46311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46311</v>
      </c>
      <c r="F307" t="inlineStr">
        <is>
          <t>VÄSTERNORRLANDS LÄN</t>
        </is>
      </c>
      <c r="G307" t="inlineStr">
        <is>
          <t>HÄRNÖSAND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19122-2024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46311</v>
      </c>
      <c r="F308" t="inlineStr">
        <is>
          <t>VÄSTERNORRLANDS LÄN</t>
        </is>
      </c>
      <c r="G308" t="inlineStr">
        <is>
          <t>HÄRNÖSAND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46311</v>
      </c>
      <c r="F309" t="inlineStr">
        <is>
          <t>VÄSTERNORRLANDS LÄN</t>
        </is>
      </c>
      <c r="G309" t="inlineStr">
        <is>
          <t>HÄRNÖSAND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45152</v>
      </c>
      <c r="E310" s="1" t="n">
        <v>46311</v>
      </c>
      <c r="F310" t="inlineStr">
        <is>
          <t>VÄSTERNORRLANDS LÄN</t>
        </is>
      </c>
      <c r="G310" t="inlineStr">
        <is>
          <t>HÄRNÖSAND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44858</v>
      </c>
      <c r="E311" s="1" t="n">
        <v>46311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44971</v>
      </c>
      <c r="E312" s="1" t="n">
        <v>46311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46311</v>
      </c>
      <c r="F313" t="inlineStr">
        <is>
          <t>VÄSTERNORRLANDS LÄN</t>
        </is>
      </c>
      <c r="G313" t="inlineStr">
        <is>
          <t>HÄRNÖSAND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59408-2024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45638</v>
      </c>
      <c r="E314" s="1" t="n">
        <v>46311</v>
      </c>
      <c r="F314" t="inlineStr">
        <is>
          <t>VÄSTERNORRLANDS LÄN</t>
        </is>
      </c>
      <c r="G314" t="inlineStr">
        <is>
          <t>HÄRNÖSAND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46311</v>
      </c>
      <c r="F315" t="inlineStr">
        <is>
          <t>VÄSTERNORRLANDS LÄN</t>
        </is>
      </c>
      <c r="G315" t="inlineStr">
        <is>
          <t>HÄRNÖSAND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24813-2022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44728</v>
      </c>
      <c r="E316" s="1" t="n">
        <v>46311</v>
      </c>
      <c r="F316" t="inlineStr">
        <is>
          <t>VÄSTERNORRLANDS LÄN</t>
        </is>
      </c>
      <c r="G316" t="inlineStr">
        <is>
          <t>HÄRNÖSAND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46311</v>
      </c>
      <c r="F317" t="inlineStr">
        <is>
          <t>VÄSTERNORRLANDS LÄN</t>
        </is>
      </c>
      <c r="G317" t="inlineStr">
        <is>
          <t>HÄRNÖSAND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44743</v>
      </c>
      <c r="E318" s="1" t="n">
        <v>46311</v>
      </c>
      <c r="F318" t="inlineStr">
        <is>
          <t>VÄSTERNORRLANDS LÄN</t>
        </is>
      </c>
      <c r="G318" t="inlineStr">
        <is>
          <t>HÄRNÖSAND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46311</v>
      </c>
      <c r="F319" t="inlineStr">
        <is>
          <t>VÄSTERNORRLANDS LÄN</t>
        </is>
      </c>
      <c r="G319" t="inlineStr">
        <is>
          <t>HÄRNÖSAND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45523</v>
      </c>
      <c r="E320" s="1" t="n">
        <v>46311</v>
      </c>
      <c r="F320" t="inlineStr">
        <is>
          <t>VÄSTERNORRLANDS LÄN</t>
        </is>
      </c>
      <c r="G320" t="inlineStr">
        <is>
          <t>HÄRNÖSAND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46311</v>
      </c>
      <c r="F321" t="inlineStr">
        <is>
          <t>VÄSTERNORRLANDS LÄN</t>
        </is>
      </c>
      <c r="G321" t="inlineStr">
        <is>
          <t>HÄRNÖSAND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44847</v>
      </c>
      <c r="E322" s="1" t="n">
        <v>46311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Kyrkan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45181</v>
      </c>
      <c r="E323" s="1" t="n">
        <v>46311</v>
      </c>
      <c r="F323" t="inlineStr">
        <is>
          <t>VÄSTERNORRLANDS LÄN</t>
        </is>
      </c>
      <c r="G323" t="inlineStr">
        <is>
          <t>HÄRNÖSAND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45887</v>
      </c>
      <c r="E324" s="1" t="n">
        <v>46311</v>
      </c>
      <c r="F324" t="inlineStr">
        <is>
          <t>VÄSTERNORRLANDS LÄN</t>
        </is>
      </c>
      <c r="G324" t="inlineStr">
        <is>
          <t>HÄRNÖSAND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44728</v>
      </c>
      <c r="E325" s="1" t="n">
        <v>46311</v>
      </c>
      <c r="F325" t="inlineStr">
        <is>
          <t>VÄSTERNORRLANDS LÄN</t>
        </is>
      </c>
      <c r="G325" t="inlineStr">
        <is>
          <t>HÄRNÖSAND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46311</v>
      </c>
      <c r="F326" t="inlineStr">
        <is>
          <t>VÄSTERNORRLANDS LÄN</t>
        </is>
      </c>
      <c r="G326" t="inlineStr">
        <is>
          <t>HÄRNÖSAND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46311</v>
      </c>
      <c r="F327" t="inlineStr">
        <is>
          <t>VÄSTERNORRLANDS LÄN</t>
        </is>
      </c>
      <c r="G327" t="inlineStr">
        <is>
          <t>HÄRNÖSAND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46311</v>
      </c>
      <c r="F328" t="inlineStr">
        <is>
          <t>VÄSTERNORRLANDS LÄN</t>
        </is>
      </c>
      <c r="G328" t="inlineStr">
        <is>
          <t>HÄRNÖSAND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46311</v>
      </c>
      <c r="F329" t="inlineStr">
        <is>
          <t>VÄSTERNORRLANDS LÄN</t>
        </is>
      </c>
      <c r="G329" t="inlineStr">
        <is>
          <t>HÄRNÖSAND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45699</v>
      </c>
      <c r="E330" s="1" t="n">
        <v>46311</v>
      </c>
      <c r="F330" t="inlineStr">
        <is>
          <t>VÄSTERNORRLANDS LÄN</t>
        </is>
      </c>
      <c r="G330" t="inlineStr">
        <is>
          <t>HÄRNÖSAND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46311</v>
      </c>
      <c r="F331" t="inlineStr">
        <is>
          <t>VÄSTERNORRLANDS LÄN</t>
        </is>
      </c>
      <c r="G331" t="inlineStr">
        <is>
          <t>HÄRNÖSAND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46311</v>
      </c>
      <c r="F332" t="inlineStr">
        <is>
          <t>VÄSTERNORRLANDS LÄN</t>
        </is>
      </c>
      <c r="G332" t="inlineStr">
        <is>
          <t>HÄRNÖSAND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46311</v>
      </c>
      <c r="F333" t="inlineStr">
        <is>
          <t>VÄSTERNORRLANDS LÄN</t>
        </is>
      </c>
      <c r="G333" t="inlineStr">
        <is>
          <t>HÄRNÖSAND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46311</v>
      </c>
      <c r="F334" t="inlineStr">
        <is>
          <t>VÄSTERNORRLANDS LÄN</t>
        </is>
      </c>
      <c r="G334" t="inlineStr">
        <is>
          <t>HÄRNÖSAND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40452-2023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45168</v>
      </c>
      <c r="E335" s="1" t="n">
        <v>46311</v>
      </c>
      <c r="F335" t="inlineStr">
        <is>
          <t>VÄSTERNORRLANDS LÄN</t>
        </is>
      </c>
      <c r="G335" t="inlineStr">
        <is>
          <t>HÄRNÖSAND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46311</v>
      </c>
      <c r="F336" t="inlineStr">
        <is>
          <t>VÄSTERNORRLANDS LÄN</t>
        </is>
      </c>
      <c r="G336" t="inlineStr">
        <is>
          <t>HÄRNÖSAND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45138</v>
      </c>
      <c r="E337" s="1" t="n">
        <v>46311</v>
      </c>
      <c r="F337" t="inlineStr">
        <is>
          <t>VÄSTERNORRLANDS LÄN</t>
        </is>
      </c>
      <c r="G337" t="inlineStr">
        <is>
          <t>HÄRNÖSAND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24452-2022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44726</v>
      </c>
      <c r="E338" s="1" t="n">
        <v>46311</v>
      </c>
      <c r="F338" t="inlineStr">
        <is>
          <t>VÄSTERNORRLANDS LÄN</t>
        </is>
      </c>
      <c r="G338" t="inlineStr">
        <is>
          <t>HÄRNÖSAND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46311</v>
      </c>
      <c r="F339" t="inlineStr">
        <is>
          <t>VÄSTERNORRLANDS LÄN</t>
        </is>
      </c>
      <c r="G339" t="inlineStr">
        <is>
          <t>HÄRNÖSAND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45723</v>
      </c>
      <c r="E340" s="1" t="n">
        <v>46311</v>
      </c>
      <c r="F340" t="inlineStr">
        <is>
          <t>VÄSTERNORRLANDS LÄN</t>
        </is>
      </c>
      <c r="G340" t="inlineStr">
        <is>
          <t>HÄRNÖSAND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46311</v>
      </c>
      <c r="F341" t="inlineStr">
        <is>
          <t>VÄSTERNORRLANDS LÄN</t>
        </is>
      </c>
      <c r="G341" t="inlineStr">
        <is>
          <t>HÄRNÖSAND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46311</v>
      </c>
      <c r="F342" t="inlineStr">
        <is>
          <t>VÄSTERNORRLANDS LÄN</t>
        </is>
      </c>
      <c r="G342" t="inlineStr">
        <is>
          <t>HÄRNÖSAND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46311</v>
      </c>
      <c r="F343" t="inlineStr">
        <is>
          <t>VÄSTERNORRLANDS LÄN</t>
        </is>
      </c>
      <c r="G343" t="inlineStr">
        <is>
          <t>HÄRNÖSAND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46311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44980</v>
      </c>
      <c r="E345" s="1" t="n">
        <v>46311</v>
      </c>
      <c r="F345" t="inlineStr">
        <is>
          <t>VÄSTERNORRLANDS LÄN</t>
        </is>
      </c>
      <c r="G345" t="inlineStr">
        <is>
          <t>HÄRNÖSAND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46311</v>
      </c>
      <c r="F346" t="inlineStr">
        <is>
          <t>VÄSTERNORRLANDS LÄN</t>
        </is>
      </c>
      <c r="G346" t="inlineStr">
        <is>
          <t>HÄRNÖSAND</t>
        </is>
      </c>
      <c r="I346" t="n">
        <v>16.7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46311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45251</v>
      </c>
      <c r="E348" s="1" t="n">
        <v>46311</v>
      </c>
      <c r="F348" t="inlineStr">
        <is>
          <t>VÄSTERNORRLANDS LÄN</t>
        </is>
      </c>
      <c r="G348" t="inlineStr">
        <is>
          <t>HÄRNÖSAND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46311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45678</v>
      </c>
      <c r="E350" s="1" t="n">
        <v>46311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45293</v>
      </c>
      <c r="E351" s="1" t="n">
        <v>46311</v>
      </c>
      <c r="F351" t="inlineStr">
        <is>
          <t>VÄSTERNORRLANDS LÄN</t>
        </is>
      </c>
      <c r="G351" t="inlineStr">
        <is>
          <t>HÄRNÖSAND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46311</v>
      </c>
      <c r="F352" t="inlineStr">
        <is>
          <t>VÄSTERNORRLANDS LÄN</t>
        </is>
      </c>
      <c r="G352" t="inlineStr">
        <is>
          <t>HÄRNÖSAND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45764</v>
      </c>
      <c r="E353" s="1" t="n">
        <v>46311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46311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46311</v>
      </c>
      <c r="F355" t="inlineStr">
        <is>
          <t>VÄSTERNORRLANDS LÄN</t>
        </is>
      </c>
      <c r="G355" t="inlineStr">
        <is>
          <t>HÄRNÖSAND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44971</v>
      </c>
      <c r="E356" s="1" t="n">
        <v>46311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44936</v>
      </c>
      <c r="E357" s="1" t="n">
        <v>46311</v>
      </c>
      <c r="F357" t="inlineStr">
        <is>
          <t>VÄSTERNORRLANDS LÄN</t>
        </is>
      </c>
      <c r="G357" t="inlineStr">
        <is>
          <t>HÄRNÖSAND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44765-2025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45917</v>
      </c>
      <c r="E358" s="1" t="n">
        <v>46311</v>
      </c>
      <c r="F358" t="inlineStr">
        <is>
          <t>VÄSTERNORRLANDS LÄN</t>
        </is>
      </c>
      <c r="G358" t="inlineStr">
        <is>
          <t>HÄRNÖSAND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44747</v>
      </c>
      <c r="E359" s="1" t="n">
        <v>46311</v>
      </c>
      <c r="F359" t="inlineStr">
        <is>
          <t>VÄSTERNORRLANDS LÄN</t>
        </is>
      </c>
      <c r="G359" t="inlineStr">
        <is>
          <t>HÄRNÖSAND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46311</v>
      </c>
      <c r="F360" t="inlineStr">
        <is>
          <t>VÄSTERNORRLANDS LÄN</t>
        </is>
      </c>
      <c r="G360" t="inlineStr">
        <is>
          <t>HÄRNÖSAND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45072</v>
      </c>
      <c r="E361" s="1" t="n">
        <v>46311</v>
      </c>
      <c r="F361" t="inlineStr">
        <is>
          <t>VÄSTERNORRLANDS LÄN</t>
        </is>
      </c>
      <c r="G361" t="inlineStr">
        <is>
          <t>HÄRNÖSAND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46311</v>
      </c>
      <c r="F362" t="inlineStr">
        <is>
          <t>VÄSTERNORRLANDS LÄN</t>
        </is>
      </c>
      <c r="G362" t="inlineStr">
        <is>
          <t>HÄRNÖSAND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22990-2026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46160</v>
      </c>
      <c r="E363" s="1" t="n">
        <v>46311</v>
      </c>
      <c r="F363" t="inlineStr">
        <is>
          <t>VÄSTERNORRLANDS LÄN</t>
        </is>
      </c>
      <c r="G363" t="inlineStr">
        <is>
          <t>HÄRNÖSAND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45313</v>
      </c>
      <c r="E364" s="1" t="n">
        <v>46311</v>
      </c>
      <c r="F364" t="inlineStr">
        <is>
          <t>VÄSTERNORRLANDS LÄN</t>
        </is>
      </c>
      <c r="G364" t="inlineStr">
        <is>
          <t>HÄRNÖSAND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46311</v>
      </c>
      <c r="F365" t="inlineStr">
        <is>
          <t>VÄSTERNORRLANDS LÄN</t>
        </is>
      </c>
      <c r="G365" t="inlineStr">
        <is>
          <t>HÄRNÖSAND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46311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46311</v>
      </c>
      <c r="F367" t="inlineStr">
        <is>
          <t>VÄSTERNORRLANDS LÄN</t>
        </is>
      </c>
      <c r="G367" t="inlineStr">
        <is>
          <t>HÄRNÖSAND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46311</v>
      </c>
      <c r="F368" t="inlineStr">
        <is>
          <t>VÄSTERNORRLANDS LÄN</t>
        </is>
      </c>
      <c r="G368" t="inlineStr">
        <is>
          <t>HÄRNÖSAND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46311</v>
      </c>
      <c r="F369" t="inlineStr">
        <is>
          <t>VÄSTERNORRLANDS LÄN</t>
        </is>
      </c>
      <c r="G369" t="inlineStr">
        <is>
          <t>HÄRNÖSAND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44853</v>
      </c>
      <c r="E370" s="1" t="n">
        <v>46311</v>
      </c>
      <c r="F370" t="inlineStr">
        <is>
          <t>VÄSTERNORRLANDS LÄN</t>
        </is>
      </c>
      <c r="G370" t="inlineStr">
        <is>
          <t>HÄRNÖSAND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46311</v>
      </c>
      <c r="F371" t="inlineStr">
        <is>
          <t>VÄSTERNORRLANDS LÄN</t>
        </is>
      </c>
      <c r="G371" t="inlineStr">
        <is>
          <t>HÄRNÖSAND</t>
        </is>
      </c>
      <c r="I371" t="n">
        <v>9.199999999999999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46311</v>
      </c>
      <c r="F372" t="inlineStr">
        <is>
          <t>VÄSTERNORRLANDS LÄN</t>
        </is>
      </c>
      <c r="G372" t="inlineStr">
        <is>
          <t>HÄRNÖSAND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46311</v>
      </c>
      <c r="F373" t="inlineStr">
        <is>
          <t>VÄSTERNORRLANDS LÄN</t>
        </is>
      </c>
      <c r="G373" t="inlineStr">
        <is>
          <t>HÄRNÖSAND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46311</v>
      </c>
      <c r="F374" t="inlineStr">
        <is>
          <t>VÄSTERNORRLANDS LÄN</t>
        </is>
      </c>
      <c r="G374" t="inlineStr">
        <is>
          <t>HÄRNÖSAND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46311</v>
      </c>
      <c r="F375" t="inlineStr">
        <is>
          <t>VÄSTERNORRLANDS LÄN</t>
        </is>
      </c>
      <c r="G375" t="inlineStr">
        <is>
          <t>HÄRNÖSAND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46311</v>
      </c>
      <c r="F376" t="inlineStr">
        <is>
          <t>VÄSTERNORRLANDS LÄN</t>
        </is>
      </c>
      <c r="G376" t="inlineStr">
        <is>
          <t>HÄRNÖSAND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45739-2025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46311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46311</v>
      </c>
      <c r="F378" t="inlineStr">
        <is>
          <t>VÄSTERNORRLANDS LÄN</t>
        </is>
      </c>
      <c r="G378" t="inlineStr">
        <is>
          <t>HÄRNÖSAND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46311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31.8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46311</v>
      </c>
      <c r="F380" t="inlineStr">
        <is>
          <t>VÄSTERNORRLANDS LÄN</t>
        </is>
      </c>
      <c r="G380" t="inlineStr">
        <is>
          <t>HÄRNÖSAND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46311</v>
      </c>
      <c r="F381" t="inlineStr">
        <is>
          <t>VÄSTERNORRLANDS LÄN</t>
        </is>
      </c>
      <c r="G381" t="inlineStr">
        <is>
          <t>HÄRNÖSAND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46162</v>
      </c>
      <c r="E382" s="1" t="n">
        <v>46311</v>
      </c>
      <c r="F382" t="inlineStr">
        <is>
          <t>VÄSTERNORRLANDS LÄN</t>
        </is>
      </c>
      <c r="G382" t="inlineStr">
        <is>
          <t>HÄRNÖSAND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46311</v>
      </c>
      <c r="F383" t="inlineStr">
        <is>
          <t>VÄSTERNORRLANDS LÄN</t>
        </is>
      </c>
      <c r="G383" t="inlineStr">
        <is>
          <t>HÄRNÖSAND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45790</v>
      </c>
      <c r="E384" s="1" t="n">
        <v>46311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31.8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46311</v>
      </c>
      <c r="F385" t="inlineStr">
        <is>
          <t>VÄSTERNORRLANDS LÄN</t>
        </is>
      </c>
      <c r="G385" t="inlineStr">
        <is>
          <t>HÄRNÖSAND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46311</v>
      </c>
      <c r="F386" t="inlineStr">
        <is>
          <t>VÄSTERNORRLANDS LÄN</t>
        </is>
      </c>
      <c r="G386" t="inlineStr">
        <is>
          <t>HÄRNÖSAND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46311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45757</v>
      </c>
      <c r="E388" s="1" t="n">
        <v>46311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46311</v>
      </c>
      <c r="F389" t="inlineStr">
        <is>
          <t>VÄSTERNORRLANDS LÄN</t>
        </is>
      </c>
      <c r="G389" t="inlineStr">
        <is>
          <t>HÄRNÖSAND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45981-2025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45924</v>
      </c>
      <c r="E390" s="1" t="n">
        <v>46311</v>
      </c>
      <c r="F390" t="inlineStr">
        <is>
          <t>VÄSTERNORRLANDS LÄN</t>
        </is>
      </c>
      <c r="G390" t="inlineStr">
        <is>
          <t>HÄRNÖSAND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46311</v>
      </c>
      <c r="F391" t="inlineStr">
        <is>
          <t>VÄSTERNORRLANDS LÄN</t>
        </is>
      </c>
      <c r="G391" t="inlineStr">
        <is>
          <t>HÄRNÖSAND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44792</v>
      </c>
      <c r="E392" s="1" t="n">
        <v>46311</v>
      </c>
      <c r="F392" t="inlineStr">
        <is>
          <t>VÄSTERNORRLANDS LÄN</t>
        </is>
      </c>
      <c r="G392" t="inlineStr">
        <is>
          <t>HÄRNÖSAND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45733</v>
      </c>
      <c r="E393" s="1" t="n">
        <v>46311</v>
      </c>
      <c r="F393" t="inlineStr">
        <is>
          <t>VÄSTERNORRLANDS LÄN</t>
        </is>
      </c>
      <c r="G393" t="inlineStr">
        <is>
          <t>HÄRNÖSAND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45496</v>
      </c>
      <c r="E394" s="1" t="n">
        <v>46311</v>
      </c>
      <c r="F394" t="inlineStr">
        <is>
          <t>VÄSTERNORRLANDS LÄN</t>
        </is>
      </c>
      <c r="G394" t="inlineStr">
        <is>
          <t>HÄRNÖSAND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46311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46311</v>
      </c>
      <c r="F396" t="inlineStr">
        <is>
          <t>VÄSTERNORRLANDS LÄN</t>
        </is>
      </c>
      <c r="G396" t="inlineStr">
        <is>
          <t>HÄRNÖSAND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26976-2023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45091</v>
      </c>
      <c r="E397" s="1" t="n">
        <v>46311</v>
      </c>
      <c r="F397" t="inlineStr">
        <is>
          <t>VÄSTERNORRLANDS LÄN</t>
        </is>
      </c>
      <c r="G397" t="inlineStr">
        <is>
          <t>HÄRNÖSAND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64377-2023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46311</v>
      </c>
      <c r="F398" t="inlineStr">
        <is>
          <t>VÄSTERNORRLANDS LÄN</t>
        </is>
      </c>
      <c r="G398" t="inlineStr">
        <is>
          <t>HÄRNÖSAND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46311</v>
      </c>
      <c r="F399" t="inlineStr">
        <is>
          <t>VÄSTERNORRLANDS LÄN</t>
        </is>
      </c>
      <c r="G399" t="inlineStr">
        <is>
          <t>HÄRNÖSAND</t>
        </is>
      </c>
      <c r="I399" t="n">
        <v>12.3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46311</v>
      </c>
      <c r="F400" t="inlineStr">
        <is>
          <t>VÄSTERNORRLANDS LÄN</t>
        </is>
      </c>
      <c r="G400" t="inlineStr">
        <is>
          <t>HÄRNÖSAND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46311</v>
      </c>
      <c r="F401" t="inlineStr">
        <is>
          <t>VÄSTERNORRLANDS LÄN</t>
        </is>
      </c>
      <c r="G401" t="inlineStr">
        <is>
          <t>HÄRNÖSAND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46311</v>
      </c>
      <c r="F402" t="inlineStr">
        <is>
          <t>VÄSTERNORRLANDS LÄN</t>
        </is>
      </c>
      <c r="G402" t="inlineStr">
        <is>
          <t>HÄRNÖSAND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46311</v>
      </c>
      <c r="F403" t="inlineStr">
        <is>
          <t>VÄSTERNORRLANDS LÄN</t>
        </is>
      </c>
      <c r="G403" t="inlineStr">
        <is>
          <t>HÄRNÖSAND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46311</v>
      </c>
      <c r="F404" t="inlineStr">
        <is>
          <t>VÄSTERNORRLANDS LÄN</t>
        </is>
      </c>
      <c r="G404" t="inlineStr">
        <is>
          <t>HÄRNÖSAND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23818-2026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46165</v>
      </c>
      <c r="E405" s="1" t="n">
        <v>46311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46311</v>
      </c>
      <c r="F406" t="inlineStr">
        <is>
          <t>VÄSTERNORRLANDS LÄN</t>
        </is>
      </c>
      <c r="G406" t="inlineStr">
        <is>
          <t>HÄRNÖSAND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44875</v>
      </c>
      <c r="E407" s="1" t="n">
        <v>46311</v>
      </c>
      <c r="F407" t="inlineStr">
        <is>
          <t>VÄSTERNORRLANDS LÄN</t>
        </is>
      </c>
      <c r="G407" t="inlineStr">
        <is>
          <t>HÄRNÖSAND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45482</v>
      </c>
      <c r="E408" s="1" t="n">
        <v>46311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45910</v>
      </c>
      <c r="E409" s="1" t="n">
        <v>46311</v>
      </c>
      <c r="F409" t="inlineStr">
        <is>
          <t>VÄSTERNORRLANDS LÄN</t>
        </is>
      </c>
      <c r="G409" t="inlineStr">
        <is>
          <t>HÄRNÖSAND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46311</v>
      </c>
      <c r="F410" t="inlineStr">
        <is>
          <t>VÄSTERNORRLANDS LÄN</t>
        </is>
      </c>
      <c r="G410" t="inlineStr">
        <is>
          <t>HÄRNÖSAND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46311</v>
      </c>
      <c r="F411" t="inlineStr">
        <is>
          <t>VÄSTERNORRLANDS LÄN</t>
        </is>
      </c>
      <c r="G411" t="inlineStr">
        <is>
          <t>HÄRNÖSAND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46311</v>
      </c>
      <c r="F412" t="inlineStr">
        <is>
          <t>VÄSTERNORRLANDS LÄN</t>
        </is>
      </c>
      <c r="G412" t="inlineStr">
        <is>
          <t>HÄRNÖSAND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45496</v>
      </c>
      <c r="E413" s="1" t="n">
        <v>46311</v>
      </c>
      <c r="F413" t="inlineStr">
        <is>
          <t>VÄSTERNORRLANDS LÄN</t>
        </is>
      </c>
      <c r="G413" t="inlineStr">
        <is>
          <t>HÄRNÖSAND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46311</v>
      </c>
      <c r="F414" t="inlineStr">
        <is>
          <t>VÄSTERNORRLANDS LÄN</t>
        </is>
      </c>
      <c r="G414" t="inlineStr">
        <is>
          <t>HÄRNÖSAND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44957</v>
      </c>
      <c r="E415" s="1" t="n">
        <v>46311</v>
      </c>
      <c r="F415" t="inlineStr">
        <is>
          <t>VÄSTERNORRLANDS LÄN</t>
        </is>
      </c>
      <c r="G415" t="inlineStr">
        <is>
          <t>HÄRNÖSAND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46311</v>
      </c>
      <c r="F416" t="inlineStr">
        <is>
          <t>VÄSTERNORRLANDS LÄN</t>
        </is>
      </c>
      <c r="G416" t="inlineStr">
        <is>
          <t>HÄRNÖSAND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59034-2022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44903</v>
      </c>
      <c r="E417" s="1" t="n">
        <v>46311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46311</v>
      </c>
      <c r="F418" t="inlineStr">
        <is>
          <t>VÄSTERNORRLANDS LÄN</t>
        </is>
      </c>
      <c r="G418" t="inlineStr">
        <is>
          <t>HÄRNÖSAND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46311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44945</v>
      </c>
      <c r="E420" s="1" t="n">
        <v>46311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25465-2026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46177</v>
      </c>
      <c r="E421" s="1" t="n">
        <v>46311</v>
      </c>
      <c r="F421" t="inlineStr">
        <is>
          <t>VÄSTERNORRLANDS LÄN</t>
        </is>
      </c>
      <c r="G421" t="inlineStr">
        <is>
          <t>HÄRNÖSAND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46311</v>
      </c>
      <c r="F422" t="inlineStr">
        <is>
          <t>VÄSTERNORRLANDS LÄN</t>
        </is>
      </c>
      <c r="G422" t="inlineStr">
        <is>
          <t>HÄRNÖSAND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46311</v>
      </c>
      <c r="F423" t="inlineStr">
        <is>
          <t>VÄSTERNORRLANDS LÄN</t>
        </is>
      </c>
      <c r="G423" t="inlineStr">
        <is>
          <t>HÄRNÖSAND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46177</v>
      </c>
      <c r="E424" s="1" t="n">
        <v>46311</v>
      </c>
      <c r="F424" t="inlineStr">
        <is>
          <t>VÄSTERNORRLANDS LÄN</t>
        </is>
      </c>
      <c r="G424" t="inlineStr">
        <is>
          <t>HÄRNÖSAND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25444-2026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46177</v>
      </c>
      <c r="E425" s="1" t="n">
        <v>46311</v>
      </c>
      <c r="F425" t="inlineStr">
        <is>
          <t>VÄSTERNORRLANDS LÄN</t>
        </is>
      </c>
      <c r="G425" t="inlineStr">
        <is>
          <t>HÄRNÖSAND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46311</v>
      </c>
      <c r="F426" t="inlineStr">
        <is>
          <t>VÄSTERNORRLANDS LÄN</t>
        </is>
      </c>
      <c r="G426" t="inlineStr">
        <is>
          <t>HÄRNÖSAND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46311</v>
      </c>
      <c r="F427" t="inlineStr">
        <is>
          <t>VÄSTERNORRLANDS LÄN</t>
        </is>
      </c>
      <c r="G427" t="inlineStr">
        <is>
          <t>HÄRNÖSAND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45376</v>
      </c>
      <c r="E428" s="1" t="n">
        <v>46311</v>
      </c>
      <c r="F428" t="inlineStr">
        <is>
          <t>VÄSTERNORRLANDS LÄN</t>
        </is>
      </c>
      <c r="G428" t="inlineStr">
        <is>
          <t>HÄRNÖSAND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48633-2025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45936</v>
      </c>
      <c r="E429" s="1" t="n">
        <v>46311</v>
      </c>
      <c r="F429" t="inlineStr">
        <is>
          <t>VÄSTERNORRLANDS LÄN</t>
        </is>
      </c>
      <c r="G429" t="inlineStr">
        <is>
          <t>HÄRNÖSAND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48630-2025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45936</v>
      </c>
      <c r="E430" s="1" t="n">
        <v>46311</v>
      </c>
      <c r="F430" t="inlineStr">
        <is>
          <t>VÄSTERNORRLANDS LÄN</t>
        </is>
      </c>
      <c r="G430" t="inlineStr">
        <is>
          <t>HÄRNÖSAND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46311</v>
      </c>
      <c r="F431" t="inlineStr">
        <is>
          <t>VÄSTERNORRLANDS LÄN</t>
        </is>
      </c>
      <c r="G431" t="inlineStr">
        <is>
          <t>HÄRNÖSAND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46311</v>
      </c>
      <c r="F432" t="inlineStr">
        <is>
          <t>VÄSTERNORRLANDS LÄN</t>
        </is>
      </c>
      <c r="G432" t="inlineStr">
        <is>
          <t>HÄRNÖSAND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46311</v>
      </c>
      <c r="F433" t="inlineStr">
        <is>
          <t>VÄSTERNORRLANDS LÄN</t>
        </is>
      </c>
      <c r="G433" t="inlineStr">
        <is>
          <t>HÄRNÖSAND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46311</v>
      </c>
      <c r="F434" t="inlineStr">
        <is>
          <t>VÄSTERNORRLANDS LÄN</t>
        </is>
      </c>
      <c r="G434" t="inlineStr">
        <is>
          <t>HÄRNÖSAND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56165-2022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44889</v>
      </c>
      <c r="E435" s="1" t="n">
        <v>46311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65224-2023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45289</v>
      </c>
      <c r="E436" s="1" t="n">
        <v>46311</v>
      </c>
      <c r="F436" t="inlineStr">
        <is>
          <t>VÄSTERNORRLANDS LÄN</t>
        </is>
      </c>
      <c r="G436" t="inlineStr">
        <is>
          <t>HÄRNÖSAND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44845</v>
      </c>
      <c r="E437" s="1" t="n">
        <v>46311</v>
      </c>
      <c r="F437" t="inlineStr">
        <is>
          <t>VÄSTERNORRLANDS LÄN</t>
        </is>
      </c>
      <c r="G437" t="inlineStr">
        <is>
          <t>HÄRNÖSAND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46311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Kyrkan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46311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46311</v>
      </c>
      <c r="F440" t="inlineStr">
        <is>
          <t>VÄSTERNORRLANDS LÄN</t>
        </is>
      </c>
      <c r="G440" t="inlineStr">
        <is>
          <t>HÄRNÖSAND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48800-2025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45937</v>
      </c>
      <c r="E441" s="1" t="n">
        <v>46311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45289</v>
      </c>
      <c r="E442" s="1" t="n">
        <v>46311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46311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46311</v>
      </c>
      <c r="F444" t="inlineStr">
        <is>
          <t>VÄSTERNORRLANDS LÄN</t>
        </is>
      </c>
      <c r="G444" t="inlineStr">
        <is>
          <t>HÄRNÖSAND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44580</v>
      </c>
      <c r="E445" s="1" t="n">
        <v>46311</v>
      </c>
      <c r="F445" t="inlineStr">
        <is>
          <t>VÄSTERNORRLANDS LÄN</t>
        </is>
      </c>
      <c r="G445" t="inlineStr">
        <is>
          <t>HÄRNÖSAND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46311</v>
      </c>
      <c r="F446" t="inlineStr">
        <is>
          <t>VÄSTERNORRLANDS LÄN</t>
        </is>
      </c>
      <c r="G446" t="inlineStr">
        <is>
          <t>HÄRNÖSAND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46311</v>
      </c>
      <c r="F447" t="inlineStr">
        <is>
          <t>VÄSTERNORRLANDS LÄN</t>
        </is>
      </c>
      <c r="G447" t="inlineStr">
        <is>
          <t>HÄRNÖSAND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46189</v>
      </c>
      <c r="E448" s="1" t="n">
        <v>46311</v>
      </c>
      <c r="F448" t="inlineStr">
        <is>
          <t>VÄSTERNORRLANDS LÄN</t>
        </is>
      </c>
      <c r="G448" t="inlineStr">
        <is>
          <t>HÄRNÖSAND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27976-2024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45476</v>
      </c>
      <c r="E449" s="1" t="n">
        <v>46311</v>
      </c>
      <c r="F449" t="inlineStr">
        <is>
          <t>VÄSTERNORRLANDS LÄN</t>
        </is>
      </c>
      <c r="G449" t="inlineStr">
        <is>
          <t>HÄRNÖSAND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46311</v>
      </c>
      <c r="F450" t="inlineStr">
        <is>
          <t>VÄSTERNORRLANDS LÄN</t>
        </is>
      </c>
      <c r="G450" t="inlineStr">
        <is>
          <t>HÄRNÖSAND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46311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13611-2023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45006</v>
      </c>
      <c r="E452" s="1" t="n">
        <v>46311</v>
      </c>
      <c r="F452" t="inlineStr">
        <is>
          <t>VÄSTERNORRLANDS LÄN</t>
        </is>
      </c>
      <c r="G452" t="inlineStr">
        <is>
          <t>HÄRNÖSAND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46311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46311</v>
      </c>
      <c r="F454" t="inlineStr">
        <is>
          <t>VÄSTERNORRLANDS LÄN</t>
        </is>
      </c>
      <c r="G454" t="inlineStr">
        <is>
          <t>HÄRNÖSAND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46311</v>
      </c>
      <c r="F455" t="inlineStr">
        <is>
          <t>VÄSTERNORRLANDS LÄN</t>
        </is>
      </c>
      <c r="G455" t="inlineStr">
        <is>
          <t>HÄRNÖSAND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46311</v>
      </c>
      <c r="F456" t="inlineStr">
        <is>
          <t>VÄSTERNORRLANDS LÄN</t>
        </is>
      </c>
      <c r="G456" t="inlineStr">
        <is>
          <t>HÄRNÖSAND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46311</v>
      </c>
      <c r="F457" t="inlineStr">
        <is>
          <t>VÄSTERNORRLANDS LÄN</t>
        </is>
      </c>
      <c r="G457" t="inlineStr">
        <is>
          <t>HÄRNÖSAND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45300</v>
      </c>
      <c r="E458" s="1" t="n">
        <v>46311</v>
      </c>
      <c r="F458" t="inlineStr">
        <is>
          <t>VÄSTERNORRLANDS LÄN</t>
        </is>
      </c>
      <c r="G458" t="inlineStr">
        <is>
          <t>HÄRNÖSAND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17431-2023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45035</v>
      </c>
      <c r="E459" s="1" t="n">
        <v>46311</v>
      </c>
      <c r="F459" t="inlineStr">
        <is>
          <t>VÄSTERNORRLANDS LÄN</t>
        </is>
      </c>
      <c r="G459" t="inlineStr">
        <is>
          <t>HÄRNÖSAND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46311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46311</v>
      </c>
      <c r="F461" t="inlineStr">
        <is>
          <t>VÄSTERNORRLANDS LÄN</t>
        </is>
      </c>
      <c r="G461" t="inlineStr">
        <is>
          <t>HÄRNÖSAND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46311</v>
      </c>
      <c r="F462" t="inlineStr">
        <is>
          <t>VÄSTERNORRLANDS LÄN</t>
        </is>
      </c>
      <c r="G462" t="inlineStr">
        <is>
          <t>HÄRNÖSAND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46311</v>
      </c>
      <c r="F463" t="inlineStr">
        <is>
          <t>VÄSTERNORRLANDS LÄN</t>
        </is>
      </c>
      <c r="G463" t="inlineStr">
        <is>
          <t>HÄRNÖSAND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52237-2022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44869</v>
      </c>
      <c r="E464" s="1" t="n">
        <v>46311</v>
      </c>
      <c r="F464" t="inlineStr">
        <is>
          <t>VÄSTERNORRLANDS LÄN</t>
        </is>
      </c>
      <c r="G464" t="inlineStr">
        <is>
          <t>HÄRNÖSAND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46311</v>
      </c>
      <c r="F465" t="inlineStr">
        <is>
          <t>VÄSTERNORRLANDS LÄN</t>
        </is>
      </c>
      <c r="G465" t="inlineStr">
        <is>
          <t>HÄRNÖSAND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45000</v>
      </c>
      <c r="E466" s="1" t="n">
        <v>46311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45000</v>
      </c>
      <c r="E467" s="1" t="n">
        <v>46311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SCA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46311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58869-2023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45250</v>
      </c>
      <c r="E469" s="1" t="n">
        <v>46311</v>
      </c>
      <c r="F469" t="inlineStr">
        <is>
          <t>VÄSTERNORRLANDS LÄN</t>
        </is>
      </c>
      <c r="G469" t="inlineStr">
        <is>
          <t>HÄRNÖSAND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46311</v>
      </c>
      <c r="F470" t="inlineStr">
        <is>
          <t>VÄSTERNORRLANDS LÄN</t>
        </is>
      </c>
      <c r="G470" t="inlineStr">
        <is>
          <t>HÄRNÖSAND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46311</v>
      </c>
      <c r="F471" t="inlineStr">
        <is>
          <t>VÄSTERNORRLANDS LÄN</t>
        </is>
      </c>
      <c r="G471" t="inlineStr">
        <is>
          <t>HÄRNÖSAND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29877-2026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46311</v>
      </c>
      <c r="F472" t="inlineStr">
        <is>
          <t>VÄSTERNORRLANDS LÄN</t>
        </is>
      </c>
      <c r="G472" t="inlineStr">
        <is>
          <t>HÄRNÖSAND</t>
        </is>
      </c>
      <c r="I472" t="n">
        <v>14.6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18979-2023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46311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45126</v>
      </c>
      <c r="E474" s="1" t="n">
        <v>46311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46311</v>
      </c>
      <c r="F475" t="inlineStr">
        <is>
          <t>VÄSTERNORRLANDS LÄN</t>
        </is>
      </c>
      <c r="G475" t="inlineStr">
        <is>
          <t>HÄRNÖSAND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46311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46311</v>
      </c>
      <c r="F477" t="inlineStr">
        <is>
          <t>VÄSTERNORRLANDS LÄN</t>
        </is>
      </c>
      <c r="G477" t="inlineStr">
        <is>
          <t>HÄRNÖSAND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46205</v>
      </c>
      <c r="E478" s="1" t="n">
        <v>46311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45800</v>
      </c>
      <c r="E479" s="1" t="n">
        <v>46311</v>
      </c>
      <c r="F479" t="inlineStr">
        <is>
          <t>VÄSTERNORRLANDS LÄN</t>
        </is>
      </c>
      <c r="G479" t="inlineStr">
        <is>
          <t>HÄRNÖSAND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46311</v>
      </c>
      <c r="F480" t="inlineStr">
        <is>
          <t>VÄSTERNORRLANDS LÄN</t>
        </is>
      </c>
      <c r="G480" t="inlineStr">
        <is>
          <t>HÄRNÖSAND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46311</v>
      </c>
      <c r="F481" t="inlineStr">
        <is>
          <t>VÄSTERNORRLANDS LÄN</t>
        </is>
      </c>
      <c r="G481" t="inlineStr">
        <is>
          <t>HÄRNÖSAND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46311</v>
      </c>
      <c r="F482" t="inlineStr">
        <is>
          <t>VÄSTERNORRLANDS LÄN</t>
        </is>
      </c>
      <c r="G482" t="inlineStr">
        <is>
          <t>HÄRNÖSAND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46311</v>
      </c>
      <c r="F483" t="inlineStr">
        <is>
          <t>VÄSTERNORRLANDS LÄN</t>
        </is>
      </c>
      <c r="G483" t="inlineStr">
        <is>
          <t>HÄRNÖSAND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30413-2026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46311</v>
      </c>
      <c r="F484" t="inlineStr">
        <is>
          <t>VÄSTERNORRLANDS LÄN</t>
        </is>
      </c>
      <c r="G484" t="inlineStr">
        <is>
          <t>HÄRNÖSAND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46311</v>
      </c>
      <c r="F485" t="inlineStr">
        <is>
          <t>VÄSTERNORRLANDS LÄN</t>
        </is>
      </c>
      <c r="G485" t="inlineStr">
        <is>
          <t>HÄRNÖSAND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30710-2026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46211</v>
      </c>
      <c r="E486" s="1" t="n">
        <v>46311</v>
      </c>
      <c r="F486" t="inlineStr">
        <is>
          <t>VÄSTERNORRLANDS LÄN</t>
        </is>
      </c>
      <c r="G486" t="inlineStr">
        <is>
          <t>HÄRNÖSAND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45762</v>
      </c>
      <c r="E487" s="1" t="n">
        <v>46311</v>
      </c>
      <c r="F487" t="inlineStr">
        <is>
          <t>VÄSTERNORRLANDS LÄN</t>
        </is>
      </c>
      <c r="G487" t="inlineStr">
        <is>
          <t>HÄRNÖSAND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46311</v>
      </c>
      <c r="F488" t="inlineStr">
        <is>
          <t>VÄSTERNORRLANDS LÄN</t>
        </is>
      </c>
      <c r="G488" t="inlineStr">
        <is>
          <t>HÄRNÖSAND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46213</v>
      </c>
      <c r="E489" s="1" t="n">
        <v>46311</v>
      </c>
      <c r="F489" t="inlineStr">
        <is>
          <t>VÄSTERNORRLANDS LÄN</t>
        </is>
      </c>
      <c r="G489" t="inlineStr">
        <is>
          <t>HÄRNÖSAND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45348</v>
      </c>
      <c r="E490" s="1" t="n">
        <v>46311</v>
      </c>
      <c r="F490" t="inlineStr">
        <is>
          <t>VÄSTERNORRLANDS LÄN</t>
        </is>
      </c>
      <c r="G490" t="inlineStr">
        <is>
          <t>HÄRNÖSAND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46213</v>
      </c>
      <c r="E491" s="1" t="n">
        <v>46311</v>
      </c>
      <c r="F491" t="inlineStr">
        <is>
          <t>VÄSTERNORRLANDS LÄN</t>
        </is>
      </c>
      <c r="G491" t="inlineStr">
        <is>
          <t>HÄRNÖSAND</t>
        </is>
      </c>
      <c r="I491" t="n">
        <v>13.6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45580</v>
      </c>
      <c r="E492" s="1" t="n">
        <v>46311</v>
      </c>
      <c r="F492" t="inlineStr">
        <is>
          <t>VÄSTERNORRLANDS LÄN</t>
        </is>
      </c>
      <c r="G492" t="inlineStr">
        <is>
          <t>HÄRNÖSAND</t>
        </is>
      </c>
      <c r="I492" t="n">
        <v>14.2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46215</v>
      </c>
      <c r="E493" s="1" t="n">
        <v>46311</v>
      </c>
      <c r="F493" t="inlineStr">
        <is>
          <t>VÄSTERNORRLANDS LÄN</t>
        </is>
      </c>
      <c r="G493" t="inlineStr">
        <is>
          <t>HÄRNÖSAND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46215</v>
      </c>
      <c r="E494" s="1" t="n">
        <v>46311</v>
      </c>
      <c r="F494" t="inlineStr">
        <is>
          <t>VÄSTERNORRLANDS LÄN</t>
        </is>
      </c>
      <c r="G494" t="inlineStr">
        <is>
          <t>HÄRNÖSAND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45147</v>
      </c>
      <c r="E495" s="1" t="n">
        <v>46311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46219</v>
      </c>
      <c r="E496" s="1" t="n">
        <v>46311</v>
      </c>
      <c r="F496" t="inlineStr">
        <is>
          <t>VÄSTERNORRLANDS LÄN</t>
        </is>
      </c>
      <c r="G496" t="inlineStr">
        <is>
          <t>HÄRNÖSAND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46219</v>
      </c>
      <c r="E497" s="1" t="n">
        <v>46311</v>
      </c>
      <c r="F497" t="inlineStr">
        <is>
          <t>VÄSTERNORRLANDS LÄN</t>
        </is>
      </c>
      <c r="G497" t="inlineStr">
        <is>
          <t>HÄRNÖSAND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46311</v>
      </c>
      <c r="F498" t="inlineStr">
        <is>
          <t>VÄSTERNORRLANDS LÄN</t>
        </is>
      </c>
      <c r="G498" t="inlineStr">
        <is>
          <t>HÄRNÖSAND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46311</v>
      </c>
      <c r="F499" t="inlineStr">
        <is>
          <t>VÄSTERNORRLANDS LÄN</t>
        </is>
      </c>
      <c r="G499" t="inlineStr">
        <is>
          <t>HÄRNÖSAND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46203</v>
      </c>
      <c r="E500" s="1" t="n">
        <v>46311</v>
      </c>
      <c r="F500" t="inlineStr">
        <is>
          <t>VÄSTERNORRLANDS LÄN</t>
        </is>
      </c>
      <c r="G500" t="inlineStr">
        <is>
          <t>HÄRNÖSAND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46311</v>
      </c>
      <c r="F501" t="inlineStr">
        <is>
          <t>VÄSTERNORRLANDS LÄN</t>
        </is>
      </c>
      <c r="G501" t="inlineStr">
        <is>
          <t>HÄRNÖSAND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59121-2023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45251</v>
      </c>
      <c r="E502" s="1" t="n">
        <v>46311</v>
      </c>
      <c r="F502" t="inlineStr">
        <is>
          <t>VÄSTERNORRLANDS LÄN</t>
        </is>
      </c>
      <c r="G502" t="inlineStr">
        <is>
          <t>HÄRNÖSAND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45959</v>
      </c>
      <c r="E503" s="1" t="n">
        <v>46311</v>
      </c>
      <c r="F503" t="inlineStr">
        <is>
          <t>VÄSTERNORRLANDS LÄN</t>
        </is>
      </c>
      <c r="G503" t="inlineStr">
        <is>
          <t>HÄRNÖSAND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53328-2025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45959</v>
      </c>
      <c r="E504" s="1" t="n">
        <v>46311</v>
      </c>
      <c r="F504" t="inlineStr">
        <is>
          <t>VÄSTERNORRLANDS LÄN</t>
        </is>
      </c>
      <c r="G504" t="inlineStr">
        <is>
          <t>HÄRNÖSAND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46311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46311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45646</v>
      </c>
      <c r="E507" s="1" t="n">
        <v>46311</v>
      </c>
      <c r="F507" t="inlineStr">
        <is>
          <t>VÄSTERNORRLANDS LÄN</t>
        </is>
      </c>
      <c r="G507" t="inlineStr">
        <is>
          <t>HÄRNÖSAND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46311</v>
      </c>
      <c r="F508" t="inlineStr">
        <is>
          <t>VÄSTERNORRLANDS LÄN</t>
        </is>
      </c>
      <c r="G508" t="inlineStr">
        <is>
          <t>HÄRNÖSAND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37246-2026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46311</v>
      </c>
      <c r="F509" t="inlineStr">
        <is>
          <t>VÄSTERNORRLANDS LÄN</t>
        </is>
      </c>
      <c r="G509" t="inlineStr">
        <is>
          <t>HÄRNÖSAND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46232</v>
      </c>
      <c r="E510" s="1" t="n">
        <v>46311</v>
      </c>
      <c r="F510" t="inlineStr">
        <is>
          <t>VÄSTERNORRLANDS LÄN</t>
        </is>
      </c>
      <c r="G510" t="inlineStr">
        <is>
          <t>HÄRNÖSAND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37333-2026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46275</v>
      </c>
      <c r="E511" s="1" t="n">
        <v>46311</v>
      </c>
      <c r="F511" t="inlineStr">
        <is>
          <t>VÄSTERNORRLANDS LÄN</t>
        </is>
      </c>
      <c r="G511" t="inlineStr">
        <is>
          <t>HÄRNÖSAND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45723</v>
      </c>
      <c r="E512" s="1" t="n">
        <v>46311</v>
      </c>
      <c r="F512" t="inlineStr">
        <is>
          <t>VÄSTERNORRLANDS LÄN</t>
        </is>
      </c>
      <c r="G512" t="inlineStr">
        <is>
          <t>HÄRNÖSAND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46311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46311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46311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32293-2026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46237</v>
      </c>
      <c r="E516" s="1" t="n">
        <v>46311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46311</v>
      </c>
      <c r="F517" t="inlineStr">
        <is>
          <t>VÄSTERNORRLANDS LÄN</t>
        </is>
      </c>
      <c r="G517" t="inlineStr">
        <is>
          <t>HÄRNÖSAND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55772-2025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45972</v>
      </c>
      <c r="E518" s="1" t="n">
        <v>46311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15.6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46282</v>
      </c>
      <c r="E519" s="1" t="n">
        <v>46311</v>
      </c>
      <c r="F519" t="inlineStr">
        <is>
          <t>VÄSTERNORRLANDS LÄN</t>
        </is>
      </c>
      <c r="G519" t="inlineStr">
        <is>
          <t>HÄRNÖSAND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45323</v>
      </c>
      <c r="E520" s="1" t="n">
        <v>46311</v>
      </c>
      <c r="F520" t="inlineStr">
        <is>
          <t>VÄSTERNORRLANDS LÄN</t>
        </is>
      </c>
      <c r="G520" t="inlineStr">
        <is>
          <t>HÄRNÖSAND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45578</v>
      </c>
      <c r="E521" s="1" t="n">
        <v>46311</v>
      </c>
      <c r="F521" t="inlineStr">
        <is>
          <t>VÄSTERNORRLANDS LÄN</t>
        </is>
      </c>
      <c r="G521" t="inlineStr">
        <is>
          <t>HÄRNÖSAND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46311</v>
      </c>
      <c r="F522" t="inlineStr">
        <is>
          <t>VÄSTERNORRLANDS LÄN</t>
        </is>
      </c>
      <c r="G522" t="inlineStr">
        <is>
          <t>HÄRNÖSAND</t>
        </is>
      </c>
      <c r="I522" t="n">
        <v>10.3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55773-2025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45972</v>
      </c>
      <c r="E523" s="1" t="n">
        <v>46311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46281</v>
      </c>
      <c r="E524" s="1" t="n">
        <v>46311</v>
      </c>
      <c r="F524" t="inlineStr">
        <is>
          <t>VÄSTERNORRLANDS LÄN</t>
        </is>
      </c>
      <c r="G524" t="inlineStr">
        <is>
          <t>HÄRNÖSAND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44951</v>
      </c>
      <c r="E525" s="1" t="n">
        <v>46311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46311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46281</v>
      </c>
      <c r="E527" s="1" t="n">
        <v>46311</v>
      </c>
      <c r="F527" t="inlineStr">
        <is>
          <t>VÄSTERNORRLANDS LÄN</t>
        </is>
      </c>
      <c r="G527" t="inlineStr">
        <is>
          <t>HÄRNÖSAND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56422-2025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45975</v>
      </c>
      <c r="E528" s="1" t="n">
        <v>46311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46311</v>
      </c>
      <c r="F529" t="inlineStr">
        <is>
          <t>VÄSTERNORRLANDS LÄN</t>
        </is>
      </c>
      <c r="G529" t="inlineStr">
        <is>
          <t>HÄRNÖSAND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45978</v>
      </c>
      <c r="E530" s="1" t="n">
        <v>46311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45512</v>
      </c>
      <c r="E531" s="1" t="n">
        <v>46311</v>
      </c>
      <c r="F531" t="inlineStr">
        <is>
          <t>VÄSTERNORRLANDS LÄN</t>
        </is>
      </c>
      <c r="G531" t="inlineStr">
        <is>
          <t>HÄRNÖSAND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51001-2022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46311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46286</v>
      </c>
      <c r="E533" s="1" t="n">
        <v>46311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23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45975</v>
      </c>
      <c r="E534" s="1" t="n">
        <v>46311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57037-2025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46311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46311</v>
      </c>
      <c r="F536" t="inlineStr">
        <is>
          <t>VÄSTERNORRLANDS LÄN</t>
        </is>
      </c>
      <c r="G536" t="inlineStr">
        <is>
          <t>HÄRNÖSAND</t>
        </is>
      </c>
      <c r="I536" t="n">
        <v>8.6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46311</v>
      </c>
      <c r="F537" t="inlineStr">
        <is>
          <t>VÄSTERNORRLANDS LÄN</t>
        </is>
      </c>
      <c r="G537" t="inlineStr">
        <is>
          <t>HÄRNÖSAND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57033-2025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45979</v>
      </c>
      <c r="E538" s="1" t="n">
        <v>46311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46311</v>
      </c>
      <c r="F539" t="inlineStr">
        <is>
          <t>VÄSTERNORRLANDS LÄN</t>
        </is>
      </c>
      <c r="G539" t="inlineStr">
        <is>
          <t>HÄRNÖSAND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46311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57099-2025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45979</v>
      </c>
      <c r="E541" s="1" t="n">
        <v>46311</v>
      </c>
      <c r="F541" t="inlineStr">
        <is>
          <t>VÄSTERNORRLANDS LÄN</t>
        </is>
      </c>
      <c r="G541" t="inlineStr">
        <is>
          <t>HÄRNÖSAND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57041-2025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45979</v>
      </c>
      <c r="E542" s="1" t="n">
        <v>46311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9160-2026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46311</v>
      </c>
      <c r="F543" t="inlineStr">
        <is>
          <t>VÄSTERNORRLANDS LÄN</t>
        </is>
      </c>
      <c r="G543" t="inlineStr">
        <is>
          <t>HÄRNÖSAND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46311</v>
      </c>
      <c r="F544" t="inlineStr">
        <is>
          <t>VÄSTERNORRLANDS LÄN</t>
        </is>
      </c>
      <c r="G544" t="inlineStr">
        <is>
          <t>HÄRNÖSAND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57035-2025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45979</v>
      </c>
      <c r="E545" s="1" t="n">
        <v>46311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39202-2026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46286</v>
      </c>
      <c r="E546" s="1" t="n">
        <v>46311</v>
      </c>
      <c r="F546" t="inlineStr">
        <is>
          <t>VÄSTERNORRLANDS LÄN</t>
        </is>
      </c>
      <c r="G546" t="inlineStr">
        <is>
          <t>HÄRNÖSAND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57089-2025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46311</v>
      </c>
      <c r="F547" t="inlineStr">
        <is>
          <t>VÄSTERNORRLANDS LÄN</t>
        </is>
      </c>
      <c r="G547" t="inlineStr">
        <is>
          <t>HÄRNÖSAND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46311</v>
      </c>
      <c r="F548" t="inlineStr">
        <is>
          <t>VÄSTERNORRLANDS LÄN</t>
        </is>
      </c>
      <c r="G548" t="inlineStr">
        <is>
          <t>HÄRNÖSAND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57618-2025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46311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46311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Kyrkan</t>
        </is>
      </c>
      <c r="I550" t="n">
        <v>24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45376</v>
      </c>
      <c r="E551" s="1" t="n">
        <v>46311</v>
      </c>
      <c r="F551" t="inlineStr">
        <is>
          <t>VÄSTERNORRLANDS LÄN</t>
        </is>
      </c>
      <c r="G551" t="inlineStr">
        <is>
          <t>HÄRNÖSAND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46311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46287</v>
      </c>
      <c r="E553" s="1" t="n">
        <v>46311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46311</v>
      </c>
      <c r="F554" t="inlineStr">
        <is>
          <t>VÄSTERNORRLANDS LÄN</t>
        </is>
      </c>
      <c r="G554" t="inlineStr">
        <is>
          <t>HÄRNÖSAND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39395-2026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46288</v>
      </c>
      <c r="E555" s="1" t="n">
        <v>46311</v>
      </c>
      <c r="F555" t="inlineStr">
        <is>
          <t>VÄSTERNORRLANDS LÄN</t>
        </is>
      </c>
      <c r="G555" t="inlineStr">
        <is>
          <t>HÄRNÖSAND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45730</v>
      </c>
      <c r="E556" s="1" t="n">
        <v>46311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46311</v>
      </c>
      <c r="F557" t="inlineStr">
        <is>
          <t>VÄSTERNORRLANDS LÄN</t>
        </is>
      </c>
      <c r="G557" t="inlineStr">
        <is>
          <t>HÄRNÖSAND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46311</v>
      </c>
      <c r="F558" t="inlineStr">
        <is>
          <t>VÄSTERNORRLANDS LÄN</t>
        </is>
      </c>
      <c r="G558" t="inlineStr">
        <is>
          <t>HÄRNÖSAND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45776</v>
      </c>
      <c r="E559" s="1" t="n">
        <v>46311</v>
      </c>
      <c r="F559" t="inlineStr">
        <is>
          <t>VÄSTERNORRLANDS LÄN</t>
        </is>
      </c>
      <c r="G559" t="inlineStr">
        <is>
          <t>HÄRNÖSAND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58995-2025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45987</v>
      </c>
      <c r="E560" s="1" t="n">
        <v>46311</v>
      </c>
      <c r="F560" t="inlineStr">
        <is>
          <t>VÄSTERNORRLANDS LÄN</t>
        </is>
      </c>
      <c r="G560" t="inlineStr">
        <is>
          <t>HÄRNÖSAND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46311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46311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45562</v>
      </c>
      <c r="E563" s="1" t="n">
        <v>46311</v>
      </c>
      <c r="F563" t="inlineStr">
        <is>
          <t>VÄSTERNORRLANDS LÄN</t>
        </is>
      </c>
      <c r="G563" t="inlineStr">
        <is>
          <t>HÄRNÖSAND</t>
        </is>
      </c>
      <c r="I563" t="n">
        <v>15.6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59869-2025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45992</v>
      </c>
      <c r="E564" s="1" t="n">
        <v>46311</v>
      </c>
      <c r="F564" t="inlineStr">
        <is>
          <t>VÄSTERNORRLANDS LÄN</t>
        </is>
      </c>
      <c r="G564" t="inlineStr">
        <is>
          <t>HÄRNÖSAND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33659-2026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46311</v>
      </c>
      <c r="F565" t="inlineStr">
        <is>
          <t>VÄSTERNORRLANDS LÄN</t>
        </is>
      </c>
      <c r="G565" t="inlineStr">
        <is>
          <t>HÄRNÖSAND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46311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45126</v>
      </c>
      <c r="E567" s="1" t="n">
        <v>46311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60768-2025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45999</v>
      </c>
      <c r="E568" s="1" t="n">
        <v>46311</v>
      </c>
      <c r="F568" t="inlineStr">
        <is>
          <t>VÄSTERNORRLANDS LÄN</t>
        </is>
      </c>
      <c r="G568" t="inlineStr">
        <is>
          <t>HÄRNÖSAND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60771-2025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45999</v>
      </c>
      <c r="E569" s="1" t="n">
        <v>46311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60772-2025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45999</v>
      </c>
      <c r="E570" s="1" t="n">
        <v>46311</v>
      </c>
      <c r="F570" t="inlineStr">
        <is>
          <t>VÄSTERNORRLANDS LÄN</t>
        </is>
      </c>
      <c r="G570" t="inlineStr">
        <is>
          <t>HÄRNÖSAND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61189-2025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46000</v>
      </c>
      <c r="E571" s="1" t="n">
        <v>46311</v>
      </c>
      <c r="F571" t="inlineStr">
        <is>
          <t>VÄSTERNORRLANDS LÄN</t>
        </is>
      </c>
      <c r="G571" t="inlineStr">
        <is>
          <t>HÄRNÖSAND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46311</v>
      </c>
      <c r="F572" t="inlineStr">
        <is>
          <t>VÄSTERNORRLANDS LÄN</t>
        </is>
      </c>
      <c r="G572" t="inlineStr">
        <is>
          <t>HÄRNÖSAND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46311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40833-2026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46296</v>
      </c>
      <c r="E574" s="1" t="n">
        <v>46311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46311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45502-2024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45578</v>
      </c>
      <c r="E576" s="1" t="n">
        <v>46311</v>
      </c>
      <c r="F576" t="inlineStr">
        <is>
          <t>VÄSTERNORRLANDS LÄN</t>
        </is>
      </c>
      <c r="G576" t="inlineStr">
        <is>
          <t>HÄRNÖSAND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46311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Kyrkan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23290-2025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46311</v>
      </c>
      <c r="F578" t="inlineStr">
        <is>
          <t>VÄSTERNORRLANDS LÄN</t>
        </is>
      </c>
      <c r="G578" t="inlineStr">
        <is>
          <t>HÄRNÖSAND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45342</v>
      </c>
      <c r="E579" s="1" t="n">
        <v>46311</v>
      </c>
      <c r="F579" t="inlineStr">
        <is>
          <t>VÄSTERNORRLANDS LÄN</t>
        </is>
      </c>
      <c r="G579" t="inlineStr">
        <is>
          <t>HÄRNÖSAND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46311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45574</v>
      </c>
      <c r="E581" s="1" t="n">
        <v>46311</v>
      </c>
      <c r="F581" t="inlineStr">
        <is>
          <t>VÄSTERNORRLANDS LÄN</t>
        </is>
      </c>
      <c r="G581" t="inlineStr">
        <is>
          <t>HÄRNÖSAND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19949-2024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45433</v>
      </c>
      <c r="E582" s="1" t="n">
        <v>46311</v>
      </c>
      <c r="F582" t="inlineStr">
        <is>
          <t>VÄSTERNORRLANDS LÄN</t>
        </is>
      </c>
      <c r="G582" t="inlineStr">
        <is>
          <t>HÄRNÖSAND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46013</v>
      </c>
      <c r="E583" s="1" t="n">
        <v>46311</v>
      </c>
      <c r="F583" t="inlineStr">
        <is>
          <t>VÄSTERNORRLANDS LÄN</t>
        </is>
      </c>
      <c r="G583" t="inlineStr">
        <is>
          <t>HÄRNÖSAND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8475-2024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45351</v>
      </c>
      <c r="E584" s="1" t="n">
        <v>46311</v>
      </c>
      <c r="F584" t="inlineStr">
        <is>
          <t>VÄSTERNORRLANDS LÄN</t>
        </is>
      </c>
      <c r="G584" t="inlineStr">
        <is>
          <t>HÄRNÖSAND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46297</v>
      </c>
      <c r="E585" s="1" t="n">
        <v>46311</v>
      </c>
      <c r="F585" t="inlineStr">
        <is>
          <t>VÄSTERNORRLANDS LÄN</t>
        </is>
      </c>
      <c r="G585" t="inlineStr">
        <is>
          <t>HÄRNÖSAND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39369-2026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46311</v>
      </c>
      <c r="F586" t="inlineStr">
        <is>
          <t>VÄSTERNORRLANDS LÄN</t>
        </is>
      </c>
      <c r="G586" t="inlineStr">
        <is>
          <t>HÄRNÖSAND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44571</v>
      </c>
      <c r="E587" s="1" t="n">
        <v>46311</v>
      </c>
      <c r="F587" t="inlineStr">
        <is>
          <t>VÄSTERNORRLANDS LÄN</t>
        </is>
      </c>
      <c r="G587" t="inlineStr">
        <is>
          <t>HÄRNÖSAND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46024</v>
      </c>
      <c r="E588" s="1" t="n">
        <v>46311</v>
      </c>
      <c r="F588" t="inlineStr">
        <is>
          <t>VÄSTERNORRLANDS LÄN</t>
        </is>
      </c>
      <c r="G588" t="inlineStr">
        <is>
          <t>HÄRNÖSAND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46024</v>
      </c>
      <c r="E589" s="1" t="n">
        <v>46311</v>
      </c>
      <c r="F589" t="inlineStr">
        <is>
          <t>VÄSTERNORRLANDS LÄN</t>
        </is>
      </c>
      <c r="G589" t="inlineStr">
        <is>
          <t>HÄRNÖSAND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46023</v>
      </c>
      <c r="E590" s="1" t="n">
        <v>46311</v>
      </c>
      <c r="F590" t="inlineStr">
        <is>
          <t>VÄSTERNORRLANDS LÄN</t>
        </is>
      </c>
      <c r="G590" t="inlineStr">
        <is>
          <t>HÄRNÖSAND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46311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46024</v>
      </c>
      <c r="E592" s="1" t="n">
        <v>46311</v>
      </c>
      <c r="F592" t="inlineStr">
        <is>
          <t>VÄSTERNORRLANDS LÄN</t>
        </is>
      </c>
      <c r="G592" t="inlineStr">
        <is>
          <t>HÄRNÖSAND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46311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46023</v>
      </c>
      <c r="E594" s="1" t="n">
        <v>46311</v>
      </c>
      <c r="F594" t="inlineStr">
        <is>
          <t>VÄSTERNORRLANDS LÄN</t>
        </is>
      </c>
      <c r="G594" t="inlineStr">
        <is>
          <t>HÄRNÖSAND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41439-2026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46301</v>
      </c>
      <c r="E595" s="1" t="n">
        <v>46311</v>
      </c>
      <c r="F595" t="inlineStr">
        <is>
          <t>VÄSTERNORRLANDS LÄN</t>
        </is>
      </c>
      <c r="G595" t="inlineStr">
        <is>
          <t>HÄRNÖSAND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46024</v>
      </c>
      <c r="E596" s="1" t="n">
        <v>46311</v>
      </c>
      <c r="F596" t="inlineStr">
        <is>
          <t>VÄSTERNORRLANDS LÄN</t>
        </is>
      </c>
      <c r="G596" t="inlineStr">
        <is>
          <t>HÄRNÖSAND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46311</v>
      </c>
      <c r="F597" t="inlineStr">
        <is>
          <t>VÄSTERNORRLANDS LÄN</t>
        </is>
      </c>
      <c r="G597" t="inlineStr">
        <is>
          <t>HÄRNÖSAND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46258</v>
      </c>
      <c r="E598" s="1" t="n">
        <v>46311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45516</v>
      </c>
      <c r="E599" s="1" t="n">
        <v>46311</v>
      </c>
      <c r="F599" t="inlineStr">
        <is>
          <t>VÄSTERNORRLANDS LÄN</t>
        </is>
      </c>
      <c r="G599" t="inlineStr">
        <is>
          <t>HÄRNÖSAND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46026</v>
      </c>
      <c r="E600" s="1" t="n">
        <v>46311</v>
      </c>
      <c r="F600" t="inlineStr">
        <is>
          <t>VÄSTERNORRLANDS LÄN</t>
        </is>
      </c>
      <c r="G600" t="inlineStr">
        <is>
          <t>HÄRNÖSAND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45139</v>
      </c>
      <c r="E601" s="1" t="n">
        <v>46311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780-2026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46029</v>
      </c>
      <c r="E602" s="1" t="n">
        <v>46311</v>
      </c>
      <c r="F602" t="inlineStr">
        <is>
          <t>VÄSTERNORRLANDS LÄN</t>
        </is>
      </c>
      <c r="G602" t="inlineStr">
        <is>
          <t>HÄRNÖSAND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46029</v>
      </c>
      <c r="E603" s="1" t="n">
        <v>46311</v>
      </c>
      <c r="F603" t="inlineStr">
        <is>
          <t>VÄSTERNORRLANDS LÄN</t>
        </is>
      </c>
      <c r="G603" t="inlineStr">
        <is>
          <t>HÄRNÖSAND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46311</v>
      </c>
      <c r="F604" t="inlineStr">
        <is>
          <t>VÄSTERNORRLANDS LÄN</t>
        </is>
      </c>
      <c r="G604" t="inlineStr">
        <is>
          <t>HÄRNÖSAND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46030</v>
      </c>
      <c r="E605" s="1" t="n">
        <v>46311</v>
      </c>
      <c r="F605" t="inlineStr">
        <is>
          <t>VÄSTERNORRLANDS LÄN</t>
        </is>
      </c>
      <c r="G605" t="inlineStr">
        <is>
          <t>HÄRNÖSAND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46311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46030</v>
      </c>
      <c r="E607" s="1" t="n">
        <v>46311</v>
      </c>
      <c r="F607" t="inlineStr">
        <is>
          <t>VÄSTERNORRLANDS LÄN</t>
        </is>
      </c>
      <c r="G607" t="inlineStr">
        <is>
          <t>HÄRNÖSAND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46311</v>
      </c>
      <c r="F608" t="inlineStr">
        <is>
          <t>VÄSTERNORRLANDS LÄN</t>
        </is>
      </c>
      <c r="G608" t="inlineStr">
        <is>
          <t>HÄRNÖSAND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46035</v>
      </c>
      <c r="E609" s="1" t="n">
        <v>46311</v>
      </c>
      <c r="F609" t="inlineStr">
        <is>
          <t>VÄSTERNORRLANDS LÄN</t>
        </is>
      </c>
      <c r="G609" t="inlineStr">
        <is>
          <t>HÄRNÖSAND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46311</v>
      </c>
      <c r="F610" t="inlineStr">
        <is>
          <t>VÄSTERNORRLANDS LÄN</t>
        </is>
      </c>
      <c r="G610" t="inlineStr">
        <is>
          <t>HÄRNÖSAND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46038</v>
      </c>
      <c r="E611" s="1" t="n">
        <v>46311</v>
      </c>
      <c r="F611" t="inlineStr">
        <is>
          <t>VÄSTERNORRLANDS LÄN</t>
        </is>
      </c>
      <c r="G611" t="inlineStr">
        <is>
          <t>HÄRNÖSAND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46042</v>
      </c>
      <c r="E612" s="1" t="n">
        <v>46311</v>
      </c>
      <c r="F612" t="inlineStr">
        <is>
          <t>VÄSTERNORRLANDS LÄN</t>
        </is>
      </c>
      <c r="G612" t="inlineStr">
        <is>
          <t>HÄRNÖSAND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41997-2026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46303</v>
      </c>
      <c r="E613" s="1" t="n">
        <v>46311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Kyrkan</t>
        </is>
      </c>
      <c r="I613" t="n">
        <v>6.7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46260</v>
      </c>
      <c r="E614" s="1" t="n">
        <v>46311</v>
      </c>
      <c r="F614" t="inlineStr">
        <is>
          <t>VÄSTERNORRLANDS LÄN</t>
        </is>
      </c>
      <c r="G614" t="inlineStr">
        <is>
          <t>HÄRNÖSAND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46304</v>
      </c>
      <c r="E615" s="1" t="n">
        <v>46311</v>
      </c>
      <c r="F615" t="inlineStr">
        <is>
          <t>VÄSTERNORRLANDS LÄN</t>
        </is>
      </c>
      <c r="G615" t="inlineStr">
        <is>
          <t>HÄRNÖSAND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46311</v>
      </c>
      <c r="F616" t="inlineStr">
        <is>
          <t>VÄSTERNORRLANDS LÄN</t>
        </is>
      </c>
      <c r="G616" t="inlineStr">
        <is>
          <t>HÄRNÖSAND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46311</v>
      </c>
      <c r="F617" t="inlineStr">
        <is>
          <t>VÄSTERNORRLANDS LÄN</t>
        </is>
      </c>
      <c r="G617" t="inlineStr">
        <is>
          <t>HÄRNÖSAND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46052</v>
      </c>
      <c r="E618" s="1" t="n">
        <v>46311</v>
      </c>
      <c r="F618" t="inlineStr">
        <is>
          <t>VÄSTERNORRLANDS LÄN</t>
        </is>
      </c>
      <c r="G618" t="inlineStr">
        <is>
          <t>HÄRNÖSAND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46311</v>
      </c>
      <c r="F619" t="inlineStr">
        <is>
          <t>VÄSTERNORRLANDS LÄN</t>
        </is>
      </c>
      <c r="G619" t="inlineStr">
        <is>
          <t>HÄRNÖSAND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46265</v>
      </c>
      <c r="E620" s="1" t="n">
        <v>46311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22.1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46311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46307</v>
      </c>
      <c r="E622" s="1" t="n">
        <v>46311</v>
      </c>
      <c r="F622" t="inlineStr">
        <is>
          <t>VÄSTERNORRLANDS LÄN</t>
        </is>
      </c>
      <c r="G622" t="inlineStr">
        <is>
          <t>HÄRNÖSAND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35563-2026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46262</v>
      </c>
      <c r="E623" s="1" t="n">
        <v>46311</v>
      </c>
      <c r="F623" t="inlineStr">
        <is>
          <t>VÄSTERNORRLANDS LÄN</t>
        </is>
      </c>
      <c r="G623" t="inlineStr">
        <is>
          <t>HÄRNÖSAND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46311</v>
      </c>
      <c r="F624" t="inlineStr">
        <is>
          <t>VÄSTERNORRLANDS LÄN</t>
        </is>
      </c>
      <c r="G624" t="inlineStr">
        <is>
          <t>HÄRNÖSAND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6646-2026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46311</v>
      </c>
      <c r="F625" t="inlineStr">
        <is>
          <t>VÄSTERNORRLANDS LÄN</t>
        </is>
      </c>
      <c r="G625" t="inlineStr">
        <is>
          <t>HÄRNÖSAND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42640-2026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46309</v>
      </c>
      <c r="E626" s="1" t="n">
        <v>46311</v>
      </c>
      <c r="F626" t="inlineStr">
        <is>
          <t>VÄSTERNORRLANDS LÄN</t>
        </is>
      </c>
      <c r="G626" t="inlineStr">
        <is>
          <t>HÄRNÖSAND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7896-2026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46311</v>
      </c>
      <c r="F627" t="inlineStr">
        <is>
          <t>VÄSTERNORRLANDS LÄN</t>
        </is>
      </c>
      <c r="G627" t="inlineStr">
        <is>
          <t>HÄRNÖSAND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8413-2026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46311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Kyrkan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8414-2026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46065</v>
      </c>
      <c r="E629" s="1" t="n">
        <v>46311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Kyrkan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8415-2026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46065</v>
      </c>
      <c r="E630" s="1" t="n">
        <v>46311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Kyrkan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8495-2026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46311</v>
      </c>
      <c r="F631" t="inlineStr">
        <is>
          <t>VÄSTERNORRLANDS LÄN</t>
        </is>
      </c>
      <c r="G631" t="inlineStr">
        <is>
          <t>HÄRNÖSAND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46311</v>
      </c>
      <c r="F632" t="inlineStr">
        <is>
          <t>VÄSTERNORRLANDS LÄN</t>
        </is>
      </c>
      <c r="G632" t="inlineStr">
        <is>
          <t>HÄRNÖSAND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46070</v>
      </c>
      <c r="E633" s="1" t="n">
        <v>46311</v>
      </c>
      <c r="F633" t="inlineStr">
        <is>
          <t>VÄSTERNORRLANDS LÄN</t>
        </is>
      </c>
      <c r="G633" t="inlineStr">
        <is>
          <t>HÄRNÖSAND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46311</v>
      </c>
      <c r="F634" t="inlineStr">
        <is>
          <t>VÄSTERNORRLANDS LÄN</t>
        </is>
      </c>
      <c r="G634" t="inlineStr">
        <is>
          <t>HÄRNÖSAND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9804-2026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46311</v>
      </c>
      <c r="F635" t="inlineStr">
        <is>
          <t>VÄSTERNORRLANDS LÄN</t>
        </is>
      </c>
      <c r="G635" t="inlineStr">
        <is>
          <t>HÄRNÖSAND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46311</v>
      </c>
      <c r="F636" t="inlineStr">
        <is>
          <t>VÄSTERNORRLANDS LÄN</t>
        </is>
      </c>
      <c r="G636" t="inlineStr">
        <is>
          <t>HÄRNÖSAND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46072</v>
      </c>
      <c r="E637" s="1" t="n">
        <v>46311</v>
      </c>
      <c r="F637" t="inlineStr">
        <is>
          <t>VÄSTERNORRLANDS LÄN</t>
        </is>
      </c>
      <c r="G637" t="inlineStr">
        <is>
          <t>HÄRNÖSAND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46077</v>
      </c>
      <c r="E638" s="1" t="n">
        <v>46311</v>
      </c>
      <c r="F638" t="inlineStr">
        <is>
          <t>VÄSTERNORRLANDS LÄN</t>
        </is>
      </c>
      <c r="G638" t="inlineStr">
        <is>
          <t>HÄRNÖSAND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11202-2026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46080</v>
      </c>
      <c r="E639" s="1" t="n">
        <v>46311</v>
      </c>
      <c r="F639" t="inlineStr">
        <is>
          <t>VÄSTERNORRLANDS LÄN</t>
        </is>
      </c>
      <c r="G639" t="inlineStr">
        <is>
          <t>HÄRNÖSAND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46311</v>
      </c>
      <c r="F640" t="inlineStr">
        <is>
          <t>VÄSTERNORRLANDS LÄN</t>
        </is>
      </c>
      <c r="G640" t="inlineStr">
        <is>
          <t>HÄRNÖSAND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8375-2026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46311</v>
      </c>
      <c r="F641" t="inlineStr">
        <is>
          <t>VÄSTERNORRLANDS LÄN</t>
        </is>
      </c>
      <c r="G641" t="inlineStr">
        <is>
          <t>HÄRNÖSAND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46087</v>
      </c>
      <c r="E642" s="1" t="n">
        <v>46311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Övriga statliga verk och myndigheter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12650-2026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46091</v>
      </c>
      <c r="E643" s="1" t="n">
        <v>46311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46091</v>
      </c>
      <c r="E644" s="1" t="n">
        <v>46311</v>
      </c>
      <c r="F644" t="inlineStr">
        <is>
          <t>VÄSTERNORRLANDS LÄN</t>
        </is>
      </c>
      <c r="G644" t="inlineStr">
        <is>
          <t>HÄRNÖSAND</t>
        </is>
      </c>
      <c r="I644" t="n">
        <v>9.9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46091</v>
      </c>
      <c r="E645" s="1" t="n">
        <v>46311</v>
      </c>
      <c r="F645" t="inlineStr">
        <is>
          <t>VÄSTERNORRLANDS LÄN</t>
        </is>
      </c>
      <c r="G645" t="inlineStr">
        <is>
          <t>HÄRNÖSAND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12613-2026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46091</v>
      </c>
      <c r="E646" s="1" t="n">
        <v>46311</v>
      </c>
      <c r="F646" t="inlineStr">
        <is>
          <t>VÄSTERNORRLANDS LÄN</t>
        </is>
      </c>
      <c r="G646" t="inlineStr">
        <is>
          <t>HÄRNÖSAND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46311</v>
      </c>
      <c r="F647" t="inlineStr">
        <is>
          <t>VÄSTERNORRLANDS LÄN</t>
        </is>
      </c>
      <c r="G647" t="inlineStr">
        <is>
          <t>HÄRNÖSAND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46311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46311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46311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46311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46311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46311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46311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46311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46311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46311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2026-10-16T02:18:36Z</dcterms:created>
  <dcterms:modified xmlns:dcterms="http://purl.org/dc/terms/" xmlns:xsi="http://www.w3.org/2001/XMLSchema-instance" xsi:type="dcterms:W3CDTF">2026-10-16T02:18:37Z</dcterms:modified>
</cp:coreProperties>
</file>