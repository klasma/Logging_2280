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46315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23</v>
      </c>
      <c r="T2" t="n">
        <v>83</v>
      </c>
      <c r="U2" t="n">
        <v>69</v>
      </c>
      <c r="V2" s="2" t="inlineStr">
        <is>
          <t>Raggtaggsvamp
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56749-2025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45978</v>
      </c>
      <c r="E3" s="1" t="n">
        <v>46315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7.8</v>
      </c>
      <c r="J3" t="n">
        <v>3</v>
      </c>
      <c r="K3" t="n">
        <v>5</v>
      </c>
      <c r="L3" t="n">
        <v>11</v>
      </c>
      <c r="M3" t="n">
        <v>3</v>
      </c>
      <c r="N3" t="n">
        <v>0</v>
      </c>
      <c r="O3" t="n">
        <v>0</v>
      </c>
      <c r="P3" t="n">
        <v>0</v>
      </c>
      <c r="Q3" t="n">
        <v>14</v>
      </c>
      <c r="R3" t="n">
        <v>3</v>
      </c>
      <c r="S3" t="n">
        <v>20</v>
      </c>
      <c r="T3" t="n">
        <v>166</v>
      </c>
      <c r="U3" t="n">
        <v>162</v>
      </c>
      <c r="V3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3">
        <f>HYPERLINK("https://klasma.github.io/Logging_2280/artfynd/A 56749-2025 artfynd.xlsx", "A 56749-2025")</f>
        <v/>
      </c>
      <c r="X3">
        <f>HYPERLINK("https://klasma.github.io/Logging_2280/kartor/A 56749-2025 karta.png", "A 56749-2025")</f>
        <v/>
      </c>
      <c r="Y3">
        <f>HYPERLINK("https://klasma.github.io/Logging_2280/kartor_geotiff/A 56749-2025 georefererad karta.tif", "A 56749-2025")</f>
        <v/>
      </c>
      <c r="AA3">
        <f>HYPERLINK("https://klasma.github.io/Logging_2280/klagomål/A 56749-2025 FSC-klagomål.docx", "A 56749-2025")</f>
        <v/>
      </c>
      <c r="AB3">
        <f>HYPERLINK("https://klasma.github.io/Logging_2280/klagomålsmail/A 56749-2025 FSC-klagomål mail.docx", "A 56749-2025")</f>
        <v/>
      </c>
      <c r="AC3">
        <f>HYPERLINK("https://klasma.github.io/Logging_2280/tillsyn/A 56749-2025 tillsynsbegäran.docx", "A 56749-2025")</f>
        <v/>
      </c>
      <c r="AD3">
        <f>HYPERLINK("https://klasma.github.io/Logging_2280/tillsynsmail/A 56749-2025 tillsynsbegäran mail.docx", "A 56749-2025")</f>
        <v/>
      </c>
      <c r="AE3">
        <f>HYPERLINK("https://klasma.github.io/Logging_2280/fåglar/A 56749-2025 prioriterade fågelarter.docx", "A 56749-2025")</f>
        <v/>
      </c>
    </row>
    <row r="4" ht="15" customHeight="1">
      <c r="A4" t="inlineStr">
        <is>
          <t>A 47711-2024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45588</v>
      </c>
      <c r="E4" s="1" t="n">
        <v>46315</v>
      </c>
      <c r="F4" t="inlineStr">
        <is>
          <t>VÄSTERNORRLANDS LÄN</t>
        </is>
      </c>
      <c r="G4" t="inlineStr">
        <is>
          <t>HÄRNÖSAND</t>
        </is>
      </c>
      <c r="I4" t="n">
        <v>39.5</v>
      </c>
      <c r="J4" t="n">
        <v>5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20</v>
      </c>
      <c r="T4" t="n">
        <v>66</v>
      </c>
      <c r="U4" t="n">
        <v>52</v>
      </c>
      <c r="V4" s="2" t="inlineStr">
        <is>
          <t>Garnlav
Knärot
Ringlav
Dropptaggsvamp
Motaggsvamp
Orange taggsvamp
Rosenticka
Svartvit taggsvamp
Tallticka
Tretåig hackspett
Ullticka
Violettgrå tagellav
Bronshjon
Nästlav
Vedticka
Vågbandad barkbock
Kötticka
Mattlummer
Spillkråka
Tofsmes</t>
        </is>
      </c>
      <c r="W4">
        <f>HYPERLINK("https://klasma.github.io/Logging_2280/artfynd/A 47711-2024 artfynd.xlsx", "A 47711-2024")</f>
        <v/>
      </c>
      <c r="X4">
        <f>HYPERLINK("https://klasma.github.io/Logging_2280/kartor/A 47711-2024 karta.png", "A 47711-2024")</f>
        <v/>
      </c>
      <c r="Y4">
        <f>HYPERLINK("https://klasma.github.io/Logging_2280/kartor_geotiff/A 47711-2024 georefererad karta.tif", "A 47711-2024")</f>
        <v/>
      </c>
      <c r="Z4">
        <f>HYPERLINK("https://klasma.github.io/Logging_2280/knärot/A 47711-2024 karta knärot.png", "A 47711-2024")</f>
        <v/>
      </c>
      <c r="AA4">
        <f>HYPERLINK("https://klasma.github.io/Logging_2280/klagomål/A 47711-2024 FSC-klagomål.docx", "A 47711-2024")</f>
        <v/>
      </c>
      <c r="AB4">
        <f>HYPERLINK("https://klasma.github.io/Logging_2280/klagomålsmail/A 47711-2024 FSC-klagomål mail.docx", "A 47711-2024")</f>
        <v/>
      </c>
      <c r="AC4">
        <f>HYPERLINK("https://klasma.github.io/Logging_2280/tillsyn/A 47711-2024 tillsynsbegäran.docx", "A 47711-2024")</f>
        <v/>
      </c>
      <c r="AD4">
        <f>HYPERLINK("https://klasma.github.io/Logging_2280/tillsynsmail/A 47711-2024 tillsynsbegäran mail.docx", "A 47711-2024")</f>
        <v/>
      </c>
      <c r="AE4">
        <f>HYPERLINK("https://klasma.github.io/Logging_2280/fåglar/A 47711-2024 prioriterade fågelarter.docx", "A 47711-2024")</f>
        <v/>
      </c>
    </row>
    <row r="5" ht="15" customHeight="1">
      <c r="A5" t="inlineStr">
        <is>
          <t>A 4816-2024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45328</v>
      </c>
      <c r="E5" s="1" t="n">
        <v>46315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11.6</v>
      </c>
      <c r="J5" t="n">
        <v>5</v>
      </c>
      <c r="K5" t="n">
        <v>3</v>
      </c>
      <c r="L5" t="n">
        <v>7</v>
      </c>
      <c r="M5" t="n">
        <v>4</v>
      </c>
      <c r="N5" t="n">
        <v>0</v>
      </c>
      <c r="O5" t="n">
        <v>0</v>
      </c>
      <c r="P5" t="n">
        <v>0</v>
      </c>
      <c r="Q5" t="n">
        <v>11</v>
      </c>
      <c r="R5" t="n">
        <v>4</v>
      </c>
      <c r="S5" t="n">
        <v>18</v>
      </c>
      <c r="T5" t="n">
        <v>78</v>
      </c>
      <c r="U5" t="n">
        <v>76</v>
      </c>
      <c r="V5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5">
        <f>HYPERLINK("https://klasma.github.io/Logging_2280/artfynd/A 4816-2024 artfynd.xlsx", "A 4816-2024")</f>
        <v/>
      </c>
      <c r="X5">
        <f>HYPERLINK("https://klasma.github.io/Logging_2280/kartor/A 4816-2024 karta.png", "A 4816-2024")</f>
        <v/>
      </c>
      <c r="Y5">
        <f>HYPERLINK("https://klasma.github.io/Logging_2280/kartor_geotiff/A 4816-2024 georefererad karta.tif", "A 4816-2024")</f>
        <v/>
      </c>
      <c r="AA5">
        <f>HYPERLINK("https://klasma.github.io/Logging_2280/klagomål/A 4816-2024 FSC-klagomål.docx", "A 4816-2024")</f>
        <v/>
      </c>
      <c r="AB5">
        <f>HYPERLINK("https://klasma.github.io/Logging_2280/klagomålsmail/A 4816-2024 FSC-klagomål mail.docx", "A 4816-2024")</f>
        <v/>
      </c>
      <c r="AC5">
        <f>HYPERLINK("https://klasma.github.io/Logging_2280/tillsyn/A 4816-2024 tillsynsbegäran.docx", "A 4816-2024")</f>
        <v/>
      </c>
      <c r="AD5">
        <f>HYPERLINK("https://klasma.github.io/Logging_2280/tillsynsmail/A 4816-2024 tillsynsbegäran mail.docx", "A 4816-2024")</f>
        <v/>
      </c>
      <c r="AE5">
        <f>HYPERLINK("https://klasma.github.io/Logging_2280/fåglar/A 4816-2024 prioriterade fågelarter.docx", "A 4816-2024")</f>
        <v/>
      </c>
    </row>
    <row r="6" ht="15" customHeight="1">
      <c r="A6" t="inlineStr">
        <is>
          <t>A 39378-2026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46288</v>
      </c>
      <c r="E6" s="1" t="n">
        <v>46315</v>
      </c>
      <c r="F6" t="inlineStr">
        <is>
          <t>VÄSTERNORRLANDS LÄN</t>
        </is>
      </c>
      <c r="G6" t="inlineStr">
        <is>
          <t>HÄRNÖSAND</t>
        </is>
      </c>
      <c r="I6" t="n">
        <v>2.8</v>
      </c>
      <c r="J6" t="n">
        <v>2</v>
      </c>
      <c r="K6" t="n">
        <v>5</v>
      </c>
      <c r="L6" t="n">
        <v>8</v>
      </c>
      <c r="M6" t="n">
        <v>3</v>
      </c>
      <c r="N6" t="n">
        <v>1</v>
      </c>
      <c r="O6" t="n">
        <v>0</v>
      </c>
      <c r="P6" t="n">
        <v>0</v>
      </c>
      <c r="Q6" t="n">
        <v>12</v>
      </c>
      <c r="R6" t="n">
        <v>4</v>
      </c>
      <c r="S6" t="n">
        <v>18</v>
      </c>
      <c r="T6" t="n">
        <v>36</v>
      </c>
      <c r="U6" t="n">
        <v>0</v>
      </c>
      <c r="V6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6">
        <f>HYPERLINK("https://klasma.github.io/Logging_2280/artfynd/A 39378-2026 artfynd.xlsx", "A 39378-2026")</f>
        <v/>
      </c>
      <c r="X6">
        <f>HYPERLINK("https://klasma.github.io/Logging_2280/kartor/A 39378-2026 karta.png", "A 39378-2026")</f>
        <v/>
      </c>
      <c r="Y6">
        <f>HYPERLINK("https://klasma.github.io/Logging_2280/kartor_geotiff/A 39378-2026 georefererad karta.tif", "A 39378-2026")</f>
        <v/>
      </c>
      <c r="AA6">
        <f>HYPERLINK("https://klasma.github.io/Logging_2280/klagomål/A 39378-2026 FSC-klagomål.docx", "A 39378-2026")</f>
        <v/>
      </c>
      <c r="AB6">
        <f>HYPERLINK("https://klasma.github.io/Logging_2280/klagomålsmail/A 39378-2026 FSC-klagomål mail.docx", "A 39378-2026")</f>
        <v/>
      </c>
      <c r="AC6">
        <f>HYPERLINK("https://klasma.github.io/Logging_2280/tillsyn/A 39378-2026 tillsynsbegäran.docx", "A 39378-2026")</f>
        <v/>
      </c>
      <c r="AD6">
        <f>HYPERLINK("https://klasma.github.io/Logging_2280/tillsynsmail/A 39378-2026 tillsynsbegäran mail.docx", "A 39378-2026")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46315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46315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46315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46315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49355-2025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46315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10.3</v>
      </c>
      <c r="J11" t="n">
        <v>3</v>
      </c>
      <c r="K11" t="n">
        <v>3</v>
      </c>
      <c r="L11" t="n">
        <v>6</v>
      </c>
      <c r="M11" t="n">
        <v>4</v>
      </c>
      <c r="N11" t="n">
        <v>0</v>
      </c>
      <c r="O11" t="n">
        <v>0</v>
      </c>
      <c r="P11" t="n">
        <v>0</v>
      </c>
      <c r="Q11" t="n">
        <v>10</v>
      </c>
      <c r="R11" t="n">
        <v>4</v>
      </c>
      <c r="S11" t="n">
        <v>14</v>
      </c>
      <c r="T11" t="n">
        <v>59</v>
      </c>
      <c r="U11" t="n">
        <v>38</v>
      </c>
      <c r="V11" s="2" t="inlineStr">
        <is>
          <t>Garnlav
Gränsticka
Knärot
Lappticka
Kötticka
Lunglav
Rosenticka
Rynkskinn
Tretåig hackspett
Ullticka
Korallblylav
Skinnlav
Vedticka
Revlummer</t>
        </is>
      </c>
      <c r="W11">
        <f>HYPERLINK("https://klasma.github.io/Logging_2280/artfynd/A 49355-2025 artfynd.xlsx", "A 49355-2025")</f>
        <v/>
      </c>
      <c r="X11">
        <f>HYPERLINK("https://klasma.github.io/Logging_2280/kartor/A 49355-2025 karta.png", "A 49355-2025")</f>
        <v/>
      </c>
      <c r="Y11">
        <f>HYPERLINK("https://klasma.github.io/Logging_2280/kartor_geotiff/A 49355-2025 georefererad karta.tif", "A 49355-2025")</f>
        <v/>
      </c>
      <c r="Z11">
        <f>HYPERLINK("https://klasma.github.io/Logging_2280/knärot/A 49355-2025 karta knärot.png", "A 49355-2025")</f>
        <v/>
      </c>
      <c r="AA11">
        <f>HYPERLINK("https://klasma.github.io/Logging_2280/klagomål/A 49355-2025 FSC-klagomål.docx", "A 49355-2025")</f>
        <v/>
      </c>
      <c r="AB11">
        <f>HYPERLINK("https://klasma.github.io/Logging_2280/klagomålsmail/A 49355-2025 FSC-klagomål mail.docx", "A 49355-2025")</f>
        <v/>
      </c>
      <c r="AC11">
        <f>HYPERLINK("https://klasma.github.io/Logging_2280/tillsyn/A 49355-2025 tillsynsbegäran.docx", "A 49355-2025")</f>
        <v/>
      </c>
      <c r="AD11">
        <f>HYPERLINK("https://klasma.github.io/Logging_2280/tillsynsmail/A 49355-2025 tillsynsbegäran mail.docx", "A 49355-2025")</f>
        <v/>
      </c>
      <c r="AE11">
        <f>HYPERLINK("https://klasma.github.io/Logging_2280/fåglar/A 49355-2025 prioriterade fågelarter.docx", "A 49355-2025")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46315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46315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46315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46315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46315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46315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26084-2025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45805</v>
      </c>
      <c r="E18" s="1" t="n">
        <v>46315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3.5</v>
      </c>
      <c r="J18" t="n">
        <v>2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16</v>
      </c>
      <c r="U18" t="n">
        <v>14</v>
      </c>
      <c r="V18" s="2" t="inlineStr">
        <is>
          <t>Garnlav
Gammelgransskål
Lunglav
Rosenticka
Talltita
Ullticka
Stuplav
Vedticka
Spillkråka</t>
        </is>
      </c>
      <c r="W18">
        <f>HYPERLINK("https://klasma.github.io/Logging_2280/artfynd/A 26084-2025 artfynd.xlsx", "A 26084-2025")</f>
        <v/>
      </c>
      <c r="X18">
        <f>HYPERLINK("https://klasma.github.io/Logging_2280/kartor/A 26084-2025 karta.png", "A 26084-2025")</f>
        <v/>
      </c>
      <c r="Y18">
        <f>HYPERLINK("https://klasma.github.io/Logging_2280/kartor_geotiff/A 26084-2025 georefererad karta.tif", "A 26084-2025")</f>
        <v/>
      </c>
      <c r="AA18">
        <f>HYPERLINK("https://klasma.github.io/Logging_2280/klagomål/A 26084-2025 FSC-klagomål.docx", "A 26084-2025")</f>
        <v/>
      </c>
      <c r="AB18">
        <f>HYPERLINK("https://klasma.github.io/Logging_2280/klagomålsmail/A 26084-2025 FSC-klagomål mail.docx", "A 26084-2025")</f>
        <v/>
      </c>
      <c r="AC18">
        <f>HYPERLINK("https://klasma.github.io/Logging_2280/tillsyn/A 26084-2025 tillsynsbegäran.docx", "A 26084-2025")</f>
        <v/>
      </c>
      <c r="AD18">
        <f>HYPERLINK("https://klasma.github.io/Logging_2280/tillsynsmail/A 26084-2025 tillsynsbegäran mail.docx", "A 26084-2025")</f>
        <v/>
      </c>
      <c r="AE18">
        <f>HYPERLINK("https://klasma.github.io/Logging_2280/fåglar/A 26084-2025 prioriterade fågelarter.docx", "A 26084-2025")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46315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46315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46315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46315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46315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46315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46315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46315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46315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46315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46315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46315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46315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46315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46315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46315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46315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46315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46315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46315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46315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46315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46315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46315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46315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46315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43101-2023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45182</v>
      </c>
      <c r="E45" s="1" t="n">
        <v>46315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Ullticka
Vedflamlav
Fläcknycklar</t>
        </is>
      </c>
      <c r="W45">
        <f>HYPERLINK("https://klasma.github.io/Logging_2280/artfynd/A 43101-2023 artfynd.xlsx", "A 43101-2023")</f>
        <v/>
      </c>
      <c r="X45">
        <f>HYPERLINK("https://klasma.github.io/Logging_2280/kartor/A 43101-2023 karta.png", "A 43101-2023")</f>
        <v/>
      </c>
      <c r="Y45">
        <f>HYPERLINK("https://klasma.github.io/Logging_2280/kartor_geotiff/A 43101-2023 georefererad karta.tif", "A 43101-2023")</f>
        <v/>
      </c>
      <c r="AA45">
        <f>HYPERLINK("https://klasma.github.io/Logging_2280/klagomål/A 43101-2023 FSC-klagomål.docx", "A 43101-2023")</f>
        <v/>
      </c>
      <c r="AB45">
        <f>HYPERLINK("https://klasma.github.io/Logging_2280/klagomålsmail/A 43101-2023 FSC-klagomål mail.docx", "A 43101-2023")</f>
        <v/>
      </c>
      <c r="AC45">
        <f>HYPERLINK("https://klasma.github.io/Logging_2280/tillsyn/A 43101-2023 tillsynsbegäran.docx", "A 43101-2023")</f>
        <v/>
      </c>
      <c r="AD45">
        <f>HYPERLINK("https://klasma.github.io/Logging_2280/tillsynsmail/A 43101-2023 tillsynsbegäran mail.docx", "A 43101-2023")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46315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46315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8921-2024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45355</v>
      </c>
      <c r="E48" s="1" t="n">
        <v>46315</v>
      </c>
      <c r="F48" t="inlineStr">
        <is>
          <t>VÄSTERNORRLANDS LÄN</t>
        </is>
      </c>
      <c r="G48" t="inlineStr">
        <is>
          <t>HÄRNÖSAND</t>
        </is>
      </c>
      <c r="I48" t="n">
        <v>3.7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2</v>
      </c>
      <c r="V48" s="2" t="inlineStr">
        <is>
          <t>Skrovlig taggsvamp
Apelsinticka
Svartvit taggsvamp</t>
        </is>
      </c>
      <c r="W48">
        <f>HYPERLINK("https://klasma.github.io/Logging_2280/artfynd/A 8921-2024 artfynd.xlsx", "A 8921-2024")</f>
        <v/>
      </c>
      <c r="X48">
        <f>HYPERLINK("https://klasma.github.io/Logging_2280/kartor/A 8921-2024 karta.png", "A 8921-2024")</f>
        <v/>
      </c>
      <c r="Y48">
        <f>HYPERLINK("https://klasma.github.io/Logging_2280/kartor_geotiff/A 8921-2024 georefererad karta.tif", "A 8921-2024")</f>
        <v/>
      </c>
      <c r="AA48">
        <f>HYPERLINK("https://klasma.github.io/Logging_2280/klagomål/A 8921-2024 FSC-klagomål.docx", "A 8921-2024")</f>
        <v/>
      </c>
      <c r="AB48">
        <f>HYPERLINK("https://klasma.github.io/Logging_2280/klagomålsmail/A 8921-2024 FSC-klagomål mail.docx", "A 8921-2024")</f>
        <v/>
      </c>
      <c r="AC48">
        <f>HYPERLINK("https://klasma.github.io/Logging_2280/tillsyn/A 8921-2024 tillsynsbegäran.docx", "A 8921-2024")</f>
        <v/>
      </c>
      <c r="AD48">
        <f>HYPERLINK("https://klasma.github.io/Logging_2280/tillsynsmail/A 8921-2024 tillsynsbegäran mail.docx", "A 8921-2024")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46315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46315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46315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46315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46315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46315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46315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46315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46315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46315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54894-2024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46315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2.5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Lunglav</t>
        </is>
      </c>
      <c r="W59">
        <f>HYPERLINK("https://klasma.github.io/Logging_2280/artfynd/A 54894-2024 artfynd.xlsx", "A 54894-2024")</f>
        <v/>
      </c>
      <c r="X59">
        <f>HYPERLINK("https://klasma.github.io/Logging_2280/kartor/A 54894-2024 karta.png", "A 54894-2024")</f>
        <v/>
      </c>
      <c r="Y59">
        <f>HYPERLINK("https://klasma.github.io/Logging_2280/kartor_geotiff/A 54894-2024 georefererad karta.tif", "A 54894-2024")</f>
        <v/>
      </c>
      <c r="AA59">
        <f>HYPERLINK("https://klasma.github.io/Logging_2280/klagomål/A 54894-2024 FSC-klagomål.docx", "A 54894-2024")</f>
        <v/>
      </c>
      <c r="AB59">
        <f>HYPERLINK("https://klasma.github.io/Logging_2280/klagomålsmail/A 54894-2024 FSC-klagomål mail.docx", "A 54894-2024")</f>
        <v/>
      </c>
      <c r="AC59">
        <f>HYPERLINK("https://klasma.github.io/Logging_2280/tillsyn/A 54894-2024 tillsynsbegäran.docx", "A 54894-2024")</f>
        <v/>
      </c>
      <c r="AD59">
        <f>HYPERLINK("https://klasma.github.io/Logging_2280/tillsynsmail/A 54894-2024 tillsynsbegäran mail.docx", "A 54894-2024")</f>
        <v/>
      </c>
    </row>
    <row r="60" ht="15" customHeight="1">
      <c r="A60" t="inlineStr">
        <is>
          <t>A 47487-2025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46315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Lunglav
Tjäder</t>
        </is>
      </c>
      <c r="W60">
        <f>HYPERLINK("https://klasma.github.io/Logging_2280/artfynd/A 47487-2025 artfynd.xlsx", "A 47487-2025")</f>
        <v/>
      </c>
      <c r="X60">
        <f>HYPERLINK("https://klasma.github.io/Logging_2280/kartor/A 47487-2025 karta.png", "A 47487-2025")</f>
        <v/>
      </c>
      <c r="Y60">
        <f>HYPERLINK("https://klasma.github.io/Logging_2280/kartor_geotiff/A 47487-2025 georefererad karta.tif", "A 47487-2025")</f>
        <v/>
      </c>
      <c r="AA60">
        <f>HYPERLINK("https://klasma.github.io/Logging_2280/klagomål/A 47487-2025 FSC-klagomål.docx", "A 47487-2025")</f>
        <v/>
      </c>
      <c r="AB60">
        <f>HYPERLINK("https://klasma.github.io/Logging_2280/klagomålsmail/A 47487-2025 FSC-klagomål mail.docx", "A 47487-2025")</f>
        <v/>
      </c>
      <c r="AC60">
        <f>HYPERLINK("https://klasma.github.io/Logging_2280/tillsyn/A 47487-2025 tillsynsbegäran.docx", "A 47487-2025")</f>
        <v/>
      </c>
      <c r="AD60">
        <f>HYPERLINK("https://klasma.github.io/Logging_2280/tillsynsmail/A 47487-2025 tillsynsbegäran mail.docx", "A 47487-2025")</f>
        <v/>
      </c>
      <c r="AE60">
        <f>HYPERLINK("https://klasma.github.io/Logging_2280/fåglar/A 47487-2025 prioriterade fågelarter.docx", "A 47487-2025")</f>
        <v/>
      </c>
    </row>
    <row r="61" ht="15" customHeight="1">
      <c r="A61" t="inlineStr">
        <is>
          <t>A 43251-2025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45910</v>
      </c>
      <c r="E61" s="1" t="n">
        <v>46315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4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43251-2025 artfynd.xlsx", "A 43251-2025")</f>
        <v/>
      </c>
      <c r="X61">
        <f>HYPERLINK("https://klasma.github.io/Logging_2280/kartor/A 43251-2025 karta.png", "A 43251-2025")</f>
        <v/>
      </c>
      <c r="Y61">
        <f>HYPERLINK("https://klasma.github.io/Logging_2280/kartor_geotiff/A 43251-2025 georefererad karta.tif", "A 43251-2025")</f>
        <v/>
      </c>
      <c r="AA61">
        <f>HYPERLINK("https://klasma.github.io/Logging_2280/klagomål/A 43251-2025 FSC-klagomål.docx", "A 43251-2025")</f>
        <v/>
      </c>
      <c r="AB61">
        <f>HYPERLINK("https://klasma.github.io/Logging_2280/klagomålsmail/A 43251-2025 FSC-klagomål mail.docx", "A 43251-2025")</f>
        <v/>
      </c>
      <c r="AC61">
        <f>HYPERLINK("https://klasma.github.io/Logging_2280/tillsyn/A 43251-2025 tillsynsbegäran.docx", "A 43251-2025")</f>
        <v/>
      </c>
      <c r="AD61">
        <f>HYPERLINK("https://klasma.github.io/Logging_2280/tillsynsmail/A 43251-2025 tillsynsbegäran mail.docx", "A 43251-2025")</f>
        <v/>
      </c>
    </row>
    <row r="62" ht="15" customHeight="1">
      <c r="A62" t="inlineStr">
        <is>
          <t>A 44901-2024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45575</v>
      </c>
      <c r="E62" s="1" t="n">
        <v>46315</v>
      </c>
      <c r="F62" t="inlineStr">
        <is>
          <t>VÄSTERNORRLANDS LÄN</t>
        </is>
      </c>
      <c r="G62" t="inlineStr">
        <is>
          <t>HÄRNÖSAND</t>
        </is>
      </c>
      <c r="I62" t="n">
        <v>3.3</v>
      </c>
      <c r="J62" t="n">
        <v>0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3</v>
      </c>
      <c r="U62" t="n">
        <v>3</v>
      </c>
      <c r="V62" s="2" t="inlineStr">
        <is>
          <t>Garnlav
Vedticka</t>
        </is>
      </c>
      <c r="W62">
        <f>HYPERLINK("https://klasma.github.io/Logging_2280/artfynd/A 44901-2024 artfynd.xlsx", "A 44901-2024")</f>
        <v/>
      </c>
      <c r="X62">
        <f>HYPERLINK("https://klasma.github.io/Logging_2280/kartor/A 44901-2024 karta.png", "A 44901-2024")</f>
        <v/>
      </c>
      <c r="Y62">
        <f>HYPERLINK("https://klasma.github.io/Logging_2280/kartor_geotiff/A 44901-2024 georefererad karta.tif", "A 44901-2024")</f>
        <v/>
      </c>
      <c r="AA62">
        <f>HYPERLINK("https://klasma.github.io/Logging_2280/klagomål/A 44901-2024 FSC-klagomål.docx", "A 44901-2024")</f>
        <v/>
      </c>
      <c r="AB62">
        <f>HYPERLINK("https://klasma.github.io/Logging_2280/klagomålsmail/A 44901-2024 FSC-klagomål mail.docx", "A 44901-2024")</f>
        <v/>
      </c>
      <c r="AC62">
        <f>HYPERLINK("https://klasma.github.io/Logging_2280/tillsyn/A 44901-2024 tillsynsbegäran.docx", "A 44901-2024")</f>
        <v/>
      </c>
      <c r="AD62">
        <f>HYPERLINK("https://klasma.github.io/Logging_2280/tillsynsmail/A 44901-2024 tillsynsbegäran mail.docx", "A 44901-2024")</f>
        <v/>
      </c>
    </row>
    <row r="63" ht="15" customHeight="1">
      <c r="A63" t="inlineStr">
        <is>
          <t>A 54964-2025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45967</v>
      </c>
      <c r="E63" s="1" t="n">
        <v>46315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7.2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Gammelgransskål</t>
        </is>
      </c>
      <c r="W63">
        <f>HYPERLINK("https://klasma.github.io/Logging_2280/artfynd/A 54964-2025 artfynd.xlsx", "A 54964-2025")</f>
        <v/>
      </c>
      <c r="X63">
        <f>HYPERLINK("https://klasma.github.io/Logging_2280/kartor/A 54964-2025 karta.png", "A 54964-2025")</f>
        <v/>
      </c>
      <c r="Y63">
        <f>HYPERLINK("https://klasma.github.io/Logging_2280/kartor_geotiff/A 54964-2025 georefererad karta.tif", "A 54964-2025")</f>
        <v/>
      </c>
      <c r="AA63">
        <f>HYPERLINK("https://klasma.github.io/Logging_2280/klagomål/A 54964-2025 FSC-klagomål.docx", "A 54964-2025")</f>
        <v/>
      </c>
      <c r="AB63">
        <f>HYPERLINK("https://klasma.github.io/Logging_2280/klagomålsmail/A 54964-2025 FSC-klagomål mail.docx", "A 54964-2025")</f>
        <v/>
      </c>
      <c r="AC63">
        <f>HYPERLINK("https://klasma.github.io/Logging_2280/tillsyn/A 54964-2025 tillsynsbegäran.docx", "A 54964-2025")</f>
        <v/>
      </c>
      <c r="AD63">
        <f>HYPERLINK("https://klasma.github.io/Logging_2280/tillsynsmail/A 54964-2025 tillsynsbegäran mail.docx", "A 54964-2025")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46315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46315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34545-2025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45847</v>
      </c>
      <c r="E66" s="1" t="n">
        <v>46315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Kyrkan</t>
        </is>
      </c>
      <c r="I66" t="n">
        <v>9.699999999999999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Tretåig hackspett
Korallblylav</t>
        </is>
      </c>
      <c r="W66">
        <f>HYPERLINK("https://klasma.github.io/Logging_2280/artfynd/A 34545-2025 artfynd.xlsx", "A 34545-2025")</f>
        <v/>
      </c>
      <c r="X66">
        <f>HYPERLINK("https://klasma.github.io/Logging_2280/kartor/A 34545-2025 karta.png", "A 34545-2025")</f>
        <v/>
      </c>
      <c r="Y66">
        <f>HYPERLINK("https://klasma.github.io/Logging_2280/kartor_geotiff/A 34545-2025 georefererad karta.tif", "A 34545-2025")</f>
        <v/>
      </c>
      <c r="AA66">
        <f>HYPERLINK("https://klasma.github.io/Logging_2280/klagomål/A 34545-2025 FSC-klagomål.docx", "A 34545-2025")</f>
        <v/>
      </c>
      <c r="AB66">
        <f>HYPERLINK("https://klasma.github.io/Logging_2280/klagomålsmail/A 34545-2025 FSC-klagomål mail.docx", "A 34545-2025")</f>
        <v/>
      </c>
      <c r="AC66">
        <f>HYPERLINK("https://klasma.github.io/Logging_2280/tillsyn/A 34545-2025 tillsynsbegäran.docx", "A 34545-2025")</f>
        <v/>
      </c>
      <c r="AD66">
        <f>HYPERLINK("https://klasma.github.io/Logging_2280/tillsynsmail/A 34545-2025 tillsynsbegäran mail.docx", "A 34545-2025")</f>
        <v/>
      </c>
      <c r="AE66">
        <f>HYPERLINK("https://klasma.github.io/Logging_2280/fåglar/A 34545-2025 prioriterade fågelarter.docx", "A 34545-2025")</f>
        <v/>
      </c>
    </row>
    <row r="67" ht="15" customHeight="1">
      <c r="A67" t="inlineStr">
        <is>
          <t>A 41976-2026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46303</v>
      </c>
      <c r="E67" s="1" t="n">
        <v>46315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Kommuner</t>
        </is>
      </c>
      <c r="I67" t="n">
        <v>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Tretåig hackspett
Ullticka</t>
        </is>
      </c>
      <c r="W67">
        <f>HYPERLINK("https://klasma.github.io/Logging_2280/artfynd/A 41976-2026 artfynd.xlsx", "A 41976-2026")</f>
        <v/>
      </c>
      <c r="X67">
        <f>HYPERLINK("https://klasma.github.io/Logging_2280/kartor/A 41976-2026 karta.png", "A 41976-2026")</f>
        <v/>
      </c>
      <c r="Y67">
        <f>HYPERLINK("https://klasma.github.io/Logging_2280/kartor_geotiff/A 41976-2026 georefererad karta.tif", "A 41976-2026")</f>
        <v/>
      </c>
      <c r="AA67">
        <f>HYPERLINK("https://klasma.github.io/Logging_2280/klagomål/A 41976-2026 FSC-klagomål.docx", "A 41976-2026")</f>
        <v/>
      </c>
      <c r="AB67">
        <f>HYPERLINK("https://klasma.github.io/Logging_2280/klagomålsmail/A 41976-2026 FSC-klagomål mail.docx", "A 41976-2026")</f>
        <v/>
      </c>
      <c r="AC67">
        <f>HYPERLINK("https://klasma.github.io/Logging_2280/tillsyn/A 41976-2026 tillsynsbegäran.docx", "A 41976-2026")</f>
        <v/>
      </c>
      <c r="AD67">
        <f>HYPERLINK("https://klasma.github.io/Logging_2280/tillsynsmail/A 41976-2026 tillsynsbegäran mail.docx", "A 41976-2026")</f>
        <v/>
      </c>
      <c r="AE67">
        <f>HYPERLINK("https://klasma.github.io/Logging_2280/fåglar/A 41976-2026 prioriterade fågelarter.docx", "A 41976-2026")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46315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46315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46315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46315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46707-2024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46315</v>
      </c>
      <c r="F72" t="inlineStr">
        <is>
          <t>VÄSTERNORRLANDS LÄN</t>
        </is>
      </c>
      <c r="G72" t="inlineStr">
        <is>
          <t>HÄRNÖSAND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Tretåig hackspett</t>
        </is>
      </c>
      <c r="W72">
        <f>HYPERLINK("https://klasma.github.io/Logging_2280/artfynd/A 46707-2024 artfynd.xlsx", "A 46707-2024")</f>
        <v/>
      </c>
      <c r="X72">
        <f>HYPERLINK("https://klasma.github.io/Logging_2280/kartor/A 46707-2024 karta.png", "A 46707-2024")</f>
        <v/>
      </c>
      <c r="Y72">
        <f>HYPERLINK("https://klasma.github.io/Logging_2280/kartor_geotiff/A 46707-2024 georefererad karta.tif", "A 46707-2024")</f>
        <v/>
      </c>
      <c r="AA72">
        <f>HYPERLINK("https://klasma.github.io/Logging_2280/klagomål/A 46707-2024 FSC-klagomål.docx", "A 46707-2024")</f>
        <v/>
      </c>
      <c r="AB72">
        <f>HYPERLINK("https://klasma.github.io/Logging_2280/klagomålsmail/A 46707-2024 FSC-klagomål mail.docx", "A 46707-2024")</f>
        <v/>
      </c>
      <c r="AC72">
        <f>HYPERLINK("https://klasma.github.io/Logging_2280/tillsyn/A 46707-2024 tillsynsbegäran.docx", "A 46707-2024")</f>
        <v/>
      </c>
      <c r="AD72">
        <f>HYPERLINK("https://klasma.github.io/Logging_2280/tillsynsmail/A 46707-2024 tillsynsbegäran mail.docx", "A 46707-2024")</f>
        <v/>
      </c>
      <c r="AE72">
        <f>HYPERLINK("https://klasma.github.io/Logging_2280/fåglar/A 46707-2024 prioriterade fågelarter.docx", "A 46707-2024")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46315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45060-2025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46315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Gammelgransskål</t>
        </is>
      </c>
      <c r="W74">
        <f>HYPERLINK("https://klasma.github.io/Logging_2280/artfynd/A 45060-2025 artfynd.xlsx", "A 45060-2025")</f>
        <v/>
      </c>
      <c r="X74">
        <f>HYPERLINK("https://klasma.github.io/Logging_2280/kartor/A 45060-2025 karta.png", "A 45060-2025")</f>
        <v/>
      </c>
      <c r="Y74">
        <f>HYPERLINK("https://klasma.github.io/Logging_2280/kartor_geotiff/A 45060-2025 georefererad karta.tif", "A 45060-2025")</f>
        <v/>
      </c>
      <c r="AA74">
        <f>HYPERLINK("https://klasma.github.io/Logging_2280/klagomål/A 45060-2025 FSC-klagomål.docx", "A 45060-2025")</f>
        <v/>
      </c>
      <c r="AB74">
        <f>HYPERLINK("https://klasma.github.io/Logging_2280/klagomålsmail/A 45060-2025 FSC-klagomål mail.docx", "A 45060-2025")</f>
        <v/>
      </c>
      <c r="AC74">
        <f>HYPERLINK("https://klasma.github.io/Logging_2280/tillsyn/A 45060-2025 tillsynsbegäran.docx", "A 45060-2025")</f>
        <v/>
      </c>
      <c r="AD74">
        <f>HYPERLINK("https://klasma.github.io/Logging_2280/tillsynsmail/A 45060-2025 tillsynsbegäran mail.docx", "A 45060-2025")</f>
        <v/>
      </c>
    </row>
    <row r="75" ht="15" customHeight="1">
      <c r="A75" t="inlineStr">
        <is>
          <t>A 43541-2022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44837</v>
      </c>
      <c r="E75" s="1" t="n">
        <v>46315</v>
      </c>
      <c r="F75" t="inlineStr">
        <is>
          <t>VÄSTERNORRLANDS LÄN</t>
        </is>
      </c>
      <c r="G75" t="inlineStr">
        <is>
          <t>HÄRNÖSAND</t>
        </is>
      </c>
      <c r="I75" t="n">
        <v>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2</v>
      </c>
      <c r="V75" s="2" t="inlineStr">
        <is>
          <t>Sötgräs</t>
        </is>
      </c>
      <c r="W75">
        <f>HYPERLINK("https://klasma.github.io/Logging_2280/artfynd/A 43541-2022 artfynd.xlsx", "A 43541-2022")</f>
        <v/>
      </c>
      <c r="X75">
        <f>HYPERLINK("https://klasma.github.io/Logging_2280/kartor/A 43541-2022 karta.png", "A 43541-2022")</f>
        <v/>
      </c>
      <c r="Y75">
        <f>HYPERLINK("https://klasma.github.io/Logging_2280/kartor_geotiff/A 43541-2022 georefererad karta.tif", "A 43541-2022")</f>
        <v/>
      </c>
      <c r="AA75">
        <f>HYPERLINK("https://klasma.github.io/Logging_2280/klagomål/A 43541-2022 FSC-klagomål.docx", "A 43541-2022")</f>
        <v/>
      </c>
      <c r="AB75">
        <f>HYPERLINK("https://klasma.github.io/Logging_2280/klagomålsmail/A 43541-2022 FSC-klagomål mail.docx", "A 43541-2022")</f>
        <v/>
      </c>
      <c r="AC75">
        <f>HYPERLINK("https://klasma.github.io/Logging_2280/tillsyn/A 43541-2022 tillsynsbegäran.docx", "A 43541-2022")</f>
        <v/>
      </c>
      <c r="AD75">
        <f>HYPERLINK("https://klasma.github.io/Logging_2280/tillsynsmail/A 43541-2022 tillsynsbegäran mail.docx", "A 43541-2022")</f>
        <v/>
      </c>
    </row>
    <row r="76" ht="15" customHeight="1">
      <c r="A76" t="inlineStr">
        <is>
          <t>A 61828-2024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45649</v>
      </c>
      <c r="E76" s="1" t="n">
        <v>46315</v>
      </c>
      <c r="F76" t="inlineStr">
        <is>
          <t>VÄSTERNORRLANDS LÄN</t>
        </is>
      </c>
      <c r="G76" t="inlineStr">
        <is>
          <t>HÄRNÖSAND</t>
        </is>
      </c>
      <c r="I76" t="n">
        <v>0.7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Luddfingersvamp</t>
        </is>
      </c>
      <c r="W76">
        <f>HYPERLINK("https://klasma.github.io/Logging_2280/artfynd/A 61828-2024 artfynd.xlsx", "A 61828-2024")</f>
        <v/>
      </c>
      <c r="X76">
        <f>HYPERLINK("https://klasma.github.io/Logging_2280/kartor/A 61828-2024 karta.png", "A 61828-2024")</f>
        <v/>
      </c>
      <c r="Y76">
        <f>HYPERLINK("https://klasma.github.io/Logging_2280/kartor_geotiff/A 61828-2024 georefererad karta.tif", "A 61828-2024")</f>
        <v/>
      </c>
      <c r="AA76">
        <f>HYPERLINK("https://klasma.github.io/Logging_2280/klagomål/A 61828-2024 FSC-klagomål.docx", "A 61828-2024")</f>
        <v/>
      </c>
      <c r="AB76">
        <f>HYPERLINK("https://klasma.github.io/Logging_2280/klagomålsmail/A 61828-2024 FSC-klagomål mail.docx", "A 61828-2024")</f>
        <v/>
      </c>
      <c r="AC76">
        <f>HYPERLINK("https://klasma.github.io/Logging_2280/tillsyn/A 61828-2024 tillsynsbegäran.docx", "A 61828-2024")</f>
        <v/>
      </c>
      <c r="AD76">
        <f>HYPERLINK("https://klasma.github.io/Logging_2280/tillsynsmail/A 61828-2024 tillsynsbegäran mail.docx", "A 61828-2024")</f>
        <v/>
      </c>
    </row>
    <row r="77" ht="15" customHeight="1">
      <c r="A77" t="inlineStr">
        <is>
          <t>A 74325-2021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46315</v>
      </c>
      <c r="F77" t="inlineStr">
        <is>
          <t>VÄSTERNORRLANDS LÄN</t>
        </is>
      </c>
      <c r="G77" t="inlineStr">
        <is>
          <t>HÄRNÖSAND</t>
        </is>
      </c>
      <c r="I77" t="n">
        <v>4.6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Skogshare</t>
        </is>
      </c>
      <c r="W77">
        <f>HYPERLINK("https://klasma.github.io/Logging_2280/artfynd/A 74325-2021 artfynd.xlsx", "A 74325-2021")</f>
        <v/>
      </c>
      <c r="X77">
        <f>HYPERLINK("https://klasma.github.io/Logging_2280/kartor/A 74325-2021 karta.png", "A 74325-2021")</f>
        <v/>
      </c>
      <c r="Y77">
        <f>HYPERLINK("https://klasma.github.io/Logging_2280/kartor_geotiff/A 74325-2021 georefererad karta.tif", "A 74325-2021")</f>
        <v/>
      </c>
      <c r="AA77">
        <f>HYPERLINK("https://klasma.github.io/Logging_2280/klagomål/A 74325-2021 FSC-klagomål.docx", "A 74325-2021")</f>
        <v/>
      </c>
      <c r="AB77">
        <f>HYPERLINK("https://klasma.github.io/Logging_2280/klagomålsmail/A 74325-2021 FSC-klagomål mail.docx", "A 74325-2021")</f>
        <v/>
      </c>
      <c r="AC77">
        <f>HYPERLINK("https://klasma.github.io/Logging_2280/tillsyn/A 74325-2021 tillsynsbegäran.docx", "A 74325-2021")</f>
        <v/>
      </c>
      <c r="AD77">
        <f>HYPERLINK("https://klasma.github.io/Logging_2280/tillsynsmail/A 74325-2021 tillsynsbegäran mail.docx", "A 74325-2021")</f>
        <v/>
      </c>
    </row>
    <row r="78" ht="15" customHeight="1">
      <c r="A78" t="inlineStr">
        <is>
          <t>A 1190-2026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46315</v>
      </c>
      <c r="F78" t="inlineStr">
        <is>
          <t>VÄSTERNORRLANDS LÄN</t>
        </is>
      </c>
      <c r="G78" t="inlineStr">
        <is>
          <t>HÄRNÖSAND</t>
        </is>
      </c>
      <c r="I78" t="n">
        <v>3.5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Tretåig hackspett</t>
        </is>
      </c>
      <c r="W78">
        <f>HYPERLINK("https://klasma.github.io/Logging_2280/artfynd/A 1190-2026 artfynd.xlsx", "A 1190-2026")</f>
        <v/>
      </c>
      <c r="X78">
        <f>HYPERLINK("https://klasma.github.io/Logging_2280/kartor/A 1190-2026 karta.png", "A 1190-2026")</f>
        <v/>
      </c>
      <c r="Y78">
        <f>HYPERLINK("https://klasma.github.io/Logging_2280/kartor_geotiff/A 1190-2026 georefererad karta.tif", "A 1190-2026")</f>
        <v/>
      </c>
      <c r="AA78">
        <f>HYPERLINK("https://klasma.github.io/Logging_2280/klagomål/A 1190-2026 FSC-klagomål.docx", "A 1190-2026")</f>
        <v/>
      </c>
      <c r="AB78">
        <f>HYPERLINK("https://klasma.github.io/Logging_2280/klagomålsmail/A 1190-2026 FSC-klagomål mail.docx", "A 1190-2026")</f>
        <v/>
      </c>
      <c r="AC78">
        <f>HYPERLINK("https://klasma.github.io/Logging_2280/tillsyn/A 1190-2026 tillsynsbegäran.docx", "A 1190-2026")</f>
        <v/>
      </c>
      <c r="AD78">
        <f>HYPERLINK("https://klasma.github.io/Logging_2280/tillsynsmail/A 1190-2026 tillsynsbegäran mail.docx", "A 1190-2026")</f>
        <v/>
      </c>
      <c r="AE78">
        <f>HYPERLINK("https://klasma.github.io/Logging_2280/fåglar/A 1190-2026 prioriterade fågelarter.docx", "A 1190-2026")</f>
        <v/>
      </c>
    </row>
    <row r="79" ht="15" customHeight="1">
      <c r="A79" t="inlineStr">
        <is>
          <t>A 63724-2023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45276</v>
      </c>
      <c r="E79" s="1" t="n">
        <v>46315</v>
      </c>
      <c r="F79" t="inlineStr">
        <is>
          <t>VÄSTERNORRLANDS LÄN</t>
        </is>
      </c>
      <c r="G79" t="inlineStr">
        <is>
          <t>HÄRNÖSAND</t>
        </is>
      </c>
      <c r="I79" t="n">
        <v>10.1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Älg</t>
        </is>
      </c>
      <c r="W79">
        <f>HYPERLINK("https://klasma.github.io/Logging_2280/artfynd/A 63724-2023 artfynd.xlsx", "A 63724-2023")</f>
        <v/>
      </c>
      <c r="X79">
        <f>HYPERLINK("https://klasma.github.io/Logging_2280/kartor/A 63724-2023 karta.png", "A 63724-2023")</f>
        <v/>
      </c>
      <c r="Y79">
        <f>HYPERLINK("https://klasma.github.io/Logging_2280/kartor_geotiff/A 63724-2023 georefererad karta.tif", "A 63724-2023")</f>
        <v/>
      </c>
      <c r="AA79">
        <f>HYPERLINK("https://klasma.github.io/Logging_2280/klagomål/A 63724-2023 FSC-klagomål.docx", "A 63724-2023")</f>
        <v/>
      </c>
      <c r="AB79">
        <f>HYPERLINK("https://klasma.github.io/Logging_2280/klagomålsmail/A 63724-2023 FSC-klagomål mail.docx", "A 63724-2023")</f>
        <v/>
      </c>
      <c r="AC79">
        <f>HYPERLINK("https://klasma.github.io/Logging_2280/tillsyn/A 63724-2023 tillsynsbegäran.docx", "A 63724-2023")</f>
        <v/>
      </c>
      <c r="AD79">
        <f>HYPERLINK("https://klasma.github.io/Logging_2280/tillsynsmail/A 63724-2023 tillsynsbegäran mail.docx", "A 63724-2023")</f>
        <v/>
      </c>
    </row>
    <row r="80" ht="15" customHeight="1">
      <c r="A80" t="inlineStr">
        <is>
          <t>A 25340-2026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46176</v>
      </c>
      <c r="E80" s="1" t="n">
        <v>46315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0</v>
      </c>
      <c r="V80" s="2" t="inlineStr">
        <is>
          <t>Garnlav</t>
        </is>
      </c>
      <c r="W80">
        <f>HYPERLINK("https://klasma.github.io/Logging_2280/artfynd/A 25340-2026 artfynd.xlsx", "A 25340-2026")</f>
        <v/>
      </c>
      <c r="X80">
        <f>HYPERLINK("https://klasma.github.io/Logging_2280/kartor/A 25340-2026 karta.png", "A 25340-2026")</f>
        <v/>
      </c>
      <c r="Y80">
        <f>HYPERLINK("https://klasma.github.io/Logging_2280/kartor_geotiff/A 25340-2026 georefererad karta.tif", "A 25340-2026")</f>
        <v/>
      </c>
      <c r="AA80">
        <f>HYPERLINK("https://klasma.github.io/Logging_2280/klagomål/A 25340-2026 FSC-klagomål.docx", "A 25340-2026")</f>
        <v/>
      </c>
      <c r="AB80">
        <f>HYPERLINK("https://klasma.github.io/Logging_2280/klagomålsmail/A 25340-2026 FSC-klagomål mail.docx", "A 25340-2026")</f>
        <v/>
      </c>
      <c r="AC80">
        <f>HYPERLINK("https://klasma.github.io/Logging_2280/tillsyn/A 25340-2026 tillsynsbegäran.docx", "A 25340-2026")</f>
        <v/>
      </c>
      <c r="AD80">
        <f>HYPERLINK("https://klasma.github.io/Logging_2280/tillsynsmail/A 25340-2026 tillsynsbegäran mail.docx", "A 25340-2026")</f>
        <v/>
      </c>
    </row>
    <row r="81" ht="15" customHeight="1">
      <c r="A81" t="inlineStr">
        <is>
          <t>A 27457-2026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46315</v>
      </c>
      <c r="F81" t="inlineStr">
        <is>
          <t>VÄSTERNORRLANDS LÄN</t>
        </is>
      </c>
      <c r="G81" t="inlineStr">
        <is>
          <t>HÄRNÖSAND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HYPERLINK("https://klasma.github.io/Logging_2280/artfynd/A 27457-2026 artfynd.xlsx", "A 27457-2026")</f>
        <v/>
      </c>
      <c r="X81">
        <f>HYPERLINK("https://klasma.github.io/Logging_2280/kartor/A 27457-2026 karta.png", "A 27457-2026")</f>
        <v/>
      </c>
      <c r="Y81">
        <f>HYPERLINK("https://klasma.github.io/Logging_2280/kartor_geotiff/A 27457-2026 georefererad karta.tif", "A 27457-2026")</f>
        <v/>
      </c>
      <c r="AA81">
        <f>HYPERLINK("https://klasma.github.io/Logging_2280/klagomål/A 27457-2026 FSC-klagomål.docx", "A 27457-2026")</f>
        <v/>
      </c>
      <c r="AB81">
        <f>HYPERLINK("https://klasma.github.io/Logging_2280/klagomålsmail/A 27457-2026 FSC-klagomål mail.docx", "A 27457-2026")</f>
        <v/>
      </c>
      <c r="AC81">
        <f>HYPERLINK("https://klasma.github.io/Logging_2280/tillsyn/A 27457-2026 tillsynsbegäran.docx", "A 27457-2026")</f>
        <v/>
      </c>
      <c r="AD81">
        <f>HYPERLINK("https://klasma.github.io/Logging_2280/tillsynsmail/A 27457-2026 tillsynsbegäran mail.docx", "A 27457-2026")</f>
        <v/>
      </c>
    </row>
    <row r="82" ht="15" customHeight="1">
      <c r="A82" t="inlineStr">
        <is>
          <t>A 7853-2024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45350</v>
      </c>
      <c r="E82" s="1" t="n">
        <v>46315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4.1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HYPERLINK("https://klasma.github.io/Logging_2280/artfynd/A 7853-2024 artfynd.xlsx", "A 7853-2024")</f>
        <v/>
      </c>
      <c r="X82">
        <f>HYPERLINK("https://klasma.github.io/Logging_2280/kartor/A 7853-2024 karta.png", "A 7853-2024")</f>
        <v/>
      </c>
      <c r="Y82">
        <f>HYPERLINK("https://klasma.github.io/Logging_2280/kartor_geotiff/A 7853-2024 georefererad karta.tif", "A 7853-2024")</f>
        <v/>
      </c>
      <c r="AA82">
        <f>HYPERLINK("https://klasma.github.io/Logging_2280/klagomål/A 7853-2024 FSC-klagomål.docx", "A 7853-2024")</f>
        <v/>
      </c>
      <c r="AB82">
        <f>HYPERLINK("https://klasma.github.io/Logging_2280/klagomålsmail/A 7853-2024 FSC-klagomål mail.docx", "A 7853-2024")</f>
        <v/>
      </c>
      <c r="AC82">
        <f>HYPERLINK("https://klasma.github.io/Logging_2280/tillsyn/A 7853-2024 tillsynsbegäran.docx", "A 7853-2024")</f>
        <v/>
      </c>
      <c r="AD82">
        <f>HYPERLINK("https://klasma.github.io/Logging_2280/tillsynsmail/A 7853-2024 tillsynsbegäran mail.docx", "A 7853-2024")</f>
        <v/>
      </c>
    </row>
    <row r="83" ht="15" customHeight="1">
      <c r="A83" t="inlineStr">
        <is>
          <t>A 11546-2024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46315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3.1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Garnlav</t>
        </is>
      </c>
      <c r="W83">
        <f>HYPERLINK("https://klasma.github.io/Logging_2280/artfynd/A 11546-2024 artfynd.xlsx", "A 11546-2024")</f>
        <v/>
      </c>
      <c r="X83">
        <f>HYPERLINK("https://klasma.github.io/Logging_2280/kartor/A 11546-2024 karta.png", "A 11546-2024")</f>
        <v/>
      </c>
      <c r="Y83">
        <f>HYPERLINK("https://klasma.github.io/Logging_2280/kartor_geotiff/A 11546-2024 georefererad karta.tif", "A 11546-2024")</f>
        <v/>
      </c>
      <c r="AA83">
        <f>HYPERLINK("https://klasma.github.io/Logging_2280/klagomål/A 11546-2024 FSC-klagomål.docx", "A 11546-2024")</f>
        <v/>
      </c>
      <c r="AB83">
        <f>HYPERLINK("https://klasma.github.io/Logging_2280/klagomålsmail/A 11546-2024 FSC-klagomål mail.docx", "A 11546-2024")</f>
        <v/>
      </c>
      <c r="AC83">
        <f>HYPERLINK("https://klasma.github.io/Logging_2280/tillsyn/A 11546-2024 tillsynsbegäran.docx", "A 11546-2024")</f>
        <v/>
      </c>
      <c r="AD83">
        <f>HYPERLINK("https://klasma.github.io/Logging_2280/tillsynsmail/A 11546-2024 tillsynsbegäran mail.docx", "A 11546-2024")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46315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26664-2026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46315</v>
      </c>
      <c r="F85" t="inlineStr">
        <is>
          <t>VÄSTERNORRLANDS LÄN</t>
        </is>
      </c>
      <c r="G85" t="inlineStr">
        <is>
          <t>HÄRNÖSAND</t>
        </is>
      </c>
      <c r="I85" t="n">
        <v>4.8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Duvhök</t>
        </is>
      </c>
      <c r="W85">
        <f>HYPERLINK("https://klasma.github.io/Logging_2280/artfynd/A 26664-2026 artfynd.xlsx", "A 26664-2026")</f>
        <v/>
      </c>
      <c r="X85">
        <f>HYPERLINK("https://klasma.github.io/Logging_2280/kartor/A 26664-2026 karta.png", "A 26664-2026")</f>
        <v/>
      </c>
      <c r="Y85">
        <f>HYPERLINK("https://klasma.github.io/Logging_2280/kartor_geotiff/A 26664-2026 georefererad karta.tif", "A 26664-2026")</f>
        <v/>
      </c>
      <c r="AA85">
        <f>HYPERLINK("https://klasma.github.io/Logging_2280/klagomål/A 26664-2026 FSC-klagomål.docx", "A 26664-2026")</f>
        <v/>
      </c>
      <c r="AB85">
        <f>HYPERLINK("https://klasma.github.io/Logging_2280/klagomålsmail/A 26664-2026 FSC-klagomål mail.docx", "A 26664-2026")</f>
        <v/>
      </c>
      <c r="AC85">
        <f>HYPERLINK("https://klasma.github.io/Logging_2280/tillsyn/A 26664-2026 tillsynsbegäran.docx", "A 26664-2026")</f>
        <v/>
      </c>
      <c r="AD85">
        <f>HYPERLINK("https://klasma.github.io/Logging_2280/tillsynsmail/A 26664-2026 tillsynsbegäran mail.docx", "A 26664-2026")</f>
        <v/>
      </c>
      <c r="AE85">
        <f>HYPERLINK("https://klasma.github.io/Logging_2280/fåglar/A 26664-2026 prioriterade fågelarter.docx", "A 26664-2026")</f>
        <v/>
      </c>
    </row>
    <row r="86" ht="15" customHeight="1">
      <c r="A86" t="inlineStr">
        <is>
          <t>A 24202-2024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46315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2</v>
      </c>
      <c r="V86" s="2" t="inlineStr">
        <is>
          <t>Garnlav</t>
        </is>
      </c>
      <c r="W86">
        <f>HYPERLINK("https://klasma.github.io/Logging_2280/artfynd/A 24202-2024 artfynd.xlsx", "A 24202-2024")</f>
        <v/>
      </c>
      <c r="X86">
        <f>HYPERLINK("https://klasma.github.io/Logging_2280/kartor/A 24202-2024 karta.png", "A 24202-2024")</f>
        <v/>
      </c>
      <c r="Y86">
        <f>HYPERLINK("https://klasma.github.io/Logging_2280/kartor_geotiff/A 24202-2024 georefererad karta.tif", "A 24202-2024")</f>
        <v/>
      </c>
      <c r="AA86">
        <f>HYPERLINK("https://klasma.github.io/Logging_2280/klagomål/A 24202-2024 FSC-klagomål.docx", "A 24202-2024")</f>
        <v/>
      </c>
      <c r="AB86">
        <f>HYPERLINK("https://klasma.github.io/Logging_2280/klagomålsmail/A 24202-2024 FSC-klagomål mail.docx", "A 24202-2024")</f>
        <v/>
      </c>
      <c r="AC86">
        <f>HYPERLINK("https://klasma.github.io/Logging_2280/tillsyn/A 24202-2024 tillsynsbegäran.docx", "A 24202-2024")</f>
        <v/>
      </c>
      <c r="AD86">
        <f>HYPERLINK("https://klasma.github.io/Logging_2280/tillsynsmail/A 24202-2024 tillsynsbegäran mail.docx", "A 24202-2024")</f>
        <v/>
      </c>
    </row>
    <row r="87" ht="15" customHeight="1">
      <c r="A87" t="inlineStr">
        <is>
          <t>A 30907-2026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46213</v>
      </c>
      <c r="E87" s="1" t="n">
        <v>46315</v>
      </c>
      <c r="F87" t="inlineStr">
        <is>
          <t>VÄSTERNORRLANDS LÄN</t>
        </is>
      </c>
      <c r="G87" t="inlineStr">
        <is>
          <t>HÄRNÖSAND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HYPERLINK("https://klasma.github.io/Logging_2280/artfynd/A 30907-2026 artfynd.xlsx", "A 30907-2026")</f>
        <v/>
      </c>
      <c r="X87">
        <f>HYPERLINK("https://klasma.github.io/Logging_2280/kartor/A 30907-2026 karta.png", "A 30907-2026")</f>
        <v/>
      </c>
      <c r="Y87">
        <f>HYPERLINK("https://klasma.github.io/Logging_2280/kartor_geotiff/A 30907-2026 georefererad karta.tif", "A 30907-2026")</f>
        <v/>
      </c>
      <c r="AA87">
        <f>HYPERLINK("https://klasma.github.io/Logging_2280/klagomål/A 30907-2026 FSC-klagomål.docx", "A 30907-2026")</f>
        <v/>
      </c>
      <c r="AB87">
        <f>HYPERLINK("https://klasma.github.io/Logging_2280/klagomålsmail/A 30907-2026 FSC-klagomål mail.docx", "A 30907-2026")</f>
        <v/>
      </c>
      <c r="AC87">
        <f>HYPERLINK("https://klasma.github.io/Logging_2280/tillsyn/A 30907-2026 tillsynsbegäran.docx", "A 30907-2026")</f>
        <v/>
      </c>
      <c r="AD87">
        <f>HYPERLINK("https://klasma.github.io/Logging_2280/tillsynsmail/A 30907-2026 tillsynsbegäran mail.docx", "A 30907-2026")</f>
        <v/>
      </c>
      <c r="AE87">
        <f>HYPERLINK("https://klasma.github.io/Logging_2280/fåglar/A 30907-2026 prioriterade fågelarter.docx", "A 30907-2026")</f>
        <v/>
      </c>
    </row>
    <row r="88" ht="15" customHeight="1">
      <c r="A88" t="inlineStr">
        <is>
          <t>A 40265-2024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45554</v>
      </c>
      <c r="E88" s="1" t="n">
        <v>46315</v>
      </c>
      <c r="F88" t="inlineStr">
        <is>
          <t>VÄSTERNORRLANDS LÄN</t>
        </is>
      </c>
      <c r="G88" t="inlineStr">
        <is>
          <t>HÄRNÖSAND</t>
        </is>
      </c>
      <c r="I88" t="n">
        <v>4.9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Stor aspticka</t>
        </is>
      </c>
      <c r="W88">
        <f>HYPERLINK("https://klasma.github.io/Logging_2280/artfynd/A 40265-2024 artfynd.xlsx", "A 40265-2024")</f>
        <v/>
      </c>
      <c r="X88">
        <f>HYPERLINK("https://klasma.github.io/Logging_2280/kartor/A 40265-2024 karta.png", "A 40265-2024")</f>
        <v/>
      </c>
      <c r="Y88">
        <f>HYPERLINK("https://klasma.github.io/Logging_2280/kartor_geotiff/A 40265-2024 georefererad karta.tif", "A 40265-2024")</f>
        <v/>
      </c>
      <c r="AA88">
        <f>HYPERLINK("https://klasma.github.io/Logging_2280/klagomål/A 40265-2024 FSC-klagomål.docx", "A 40265-2024")</f>
        <v/>
      </c>
      <c r="AB88">
        <f>HYPERLINK("https://klasma.github.io/Logging_2280/klagomålsmail/A 40265-2024 FSC-klagomål mail.docx", "A 40265-2024")</f>
        <v/>
      </c>
      <c r="AC88">
        <f>HYPERLINK("https://klasma.github.io/Logging_2280/tillsyn/A 40265-2024 tillsynsbegäran.docx", "A 40265-2024")</f>
        <v/>
      </c>
      <c r="AD88">
        <f>HYPERLINK("https://klasma.github.io/Logging_2280/tillsynsmail/A 40265-2024 tillsynsbegäran mail.docx", "A 40265-2024")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46315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Garnlav</t>
        </is>
      </c>
      <c r="W89">
        <f>HYPERLINK("https://klasma.github.io/Logging_2280/artfynd/A 19077-2024 artfynd.xlsx", "A 19077-2024")</f>
        <v/>
      </c>
      <c r="X89">
        <f>HYPERLINK("https://klasma.github.io/Logging_2280/kartor/A 19077-2024 karta.png", "A 19077-2024")</f>
        <v/>
      </c>
      <c r="Y89">
        <f>HYPERLINK("https://klasma.github.io/Logging_2280/kartor_geotiff/A 19077-2024 georefererad karta.tif", "A 19077-2024")</f>
        <v/>
      </c>
      <c r="AA89">
        <f>HYPERLINK("https://klasma.github.io/Logging_2280/klagomål/A 19077-2024 FSC-klagomål.docx", "A 19077-2024")</f>
        <v/>
      </c>
      <c r="AB89">
        <f>HYPERLINK("https://klasma.github.io/Logging_2280/klagomålsmail/A 19077-2024 FSC-klagomål mail.docx", "A 19077-2024")</f>
        <v/>
      </c>
      <c r="AC89">
        <f>HYPERLINK("https://klasma.github.io/Logging_2280/tillsyn/A 19077-2024 tillsynsbegäran.docx", "A 19077-2024")</f>
        <v/>
      </c>
      <c r="AD89">
        <f>HYPERLINK("https://klasma.github.io/Logging_2280/tillsynsmail/A 19077-2024 tillsynsbegäran mail.docx", "A 19077-2024")</f>
        <v/>
      </c>
    </row>
    <row r="90" ht="15" customHeight="1">
      <c r="A90" t="inlineStr">
        <is>
          <t>A 8407-2024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46315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HYPERLINK("https://klasma.github.io/Logging_2280/artfynd/A 8407-2024 artfynd.xlsx", "A 8407-2024")</f>
        <v/>
      </c>
      <c r="X90">
        <f>HYPERLINK("https://klasma.github.io/Logging_2280/kartor/A 8407-2024 karta.png", "A 8407-2024")</f>
        <v/>
      </c>
      <c r="Y90">
        <f>HYPERLINK("https://klasma.github.io/Logging_2280/kartor_geotiff/A 8407-2024 georefererad karta.tif", "A 8407-2024")</f>
        <v/>
      </c>
      <c r="AA90">
        <f>HYPERLINK("https://klasma.github.io/Logging_2280/klagomål/A 8407-2024 FSC-klagomål.docx", "A 8407-2024")</f>
        <v/>
      </c>
      <c r="AB90">
        <f>HYPERLINK("https://klasma.github.io/Logging_2280/klagomålsmail/A 8407-2024 FSC-klagomål mail.docx", "A 8407-2024")</f>
        <v/>
      </c>
      <c r="AC90">
        <f>HYPERLINK("https://klasma.github.io/Logging_2280/tillsyn/A 8407-2024 tillsynsbegäran.docx", "A 8407-2024")</f>
        <v/>
      </c>
      <c r="AD90">
        <f>HYPERLINK("https://klasma.github.io/Logging_2280/tillsynsmail/A 8407-2024 tillsynsbegäran mail.docx", "A 8407-2024")</f>
        <v/>
      </c>
    </row>
    <row r="91" ht="15" customHeight="1">
      <c r="A91" t="inlineStr">
        <is>
          <t>A 26174-2025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46315</v>
      </c>
      <c r="F91" t="inlineStr">
        <is>
          <t>VÄSTERNORRLANDS LÄN</t>
        </is>
      </c>
      <c r="G91" t="inlineStr">
        <is>
          <t>HÄRNÖSAND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Lunglav</t>
        </is>
      </c>
      <c r="W91">
        <f>HYPERLINK("https://klasma.github.io/Logging_2280/artfynd/A 26174-2025 artfynd.xlsx", "A 26174-2025")</f>
        <v/>
      </c>
      <c r="X91">
        <f>HYPERLINK("https://klasma.github.io/Logging_2280/kartor/A 26174-2025 karta.png", "A 26174-2025")</f>
        <v/>
      </c>
      <c r="Y91">
        <f>HYPERLINK("https://klasma.github.io/Logging_2280/kartor_geotiff/A 26174-2025 georefererad karta.tif", "A 26174-2025")</f>
        <v/>
      </c>
      <c r="AA91">
        <f>HYPERLINK("https://klasma.github.io/Logging_2280/klagomål/A 26174-2025 FSC-klagomål.docx", "A 26174-2025")</f>
        <v/>
      </c>
      <c r="AB91">
        <f>HYPERLINK("https://klasma.github.io/Logging_2280/klagomålsmail/A 26174-2025 FSC-klagomål mail.docx", "A 26174-2025")</f>
        <v/>
      </c>
      <c r="AC91">
        <f>HYPERLINK("https://klasma.github.io/Logging_2280/tillsyn/A 26174-2025 tillsynsbegäran.docx", "A 26174-2025")</f>
        <v/>
      </c>
      <c r="AD91">
        <f>HYPERLINK("https://klasma.github.io/Logging_2280/tillsynsmail/A 26174-2025 tillsynsbegäran mail.docx", "A 26174-2025")</f>
        <v/>
      </c>
    </row>
    <row r="92" ht="15" customHeight="1">
      <c r="A92" t="inlineStr">
        <is>
          <t>A 26086-2025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46315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Orre</t>
        </is>
      </c>
      <c r="W92">
        <f>HYPERLINK("https://klasma.github.io/Logging_2280/artfynd/A 26086-2025 artfynd.xlsx", "A 26086-2025")</f>
        <v/>
      </c>
      <c r="X92">
        <f>HYPERLINK("https://klasma.github.io/Logging_2280/kartor/A 26086-2025 karta.png", "A 26086-2025")</f>
        <v/>
      </c>
      <c r="Y92">
        <f>HYPERLINK("https://klasma.github.io/Logging_2280/kartor_geotiff/A 26086-2025 georefererad karta.tif", "A 26086-2025")</f>
        <v/>
      </c>
      <c r="AA92">
        <f>HYPERLINK("https://klasma.github.io/Logging_2280/klagomål/A 26086-2025 FSC-klagomål.docx", "A 26086-2025")</f>
        <v/>
      </c>
      <c r="AB92">
        <f>HYPERLINK("https://klasma.github.io/Logging_2280/klagomålsmail/A 26086-2025 FSC-klagomål mail.docx", "A 26086-2025")</f>
        <v/>
      </c>
      <c r="AC92">
        <f>HYPERLINK("https://klasma.github.io/Logging_2280/tillsyn/A 26086-2025 tillsynsbegäran.docx", "A 26086-2025")</f>
        <v/>
      </c>
      <c r="AD92">
        <f>HYPERLINK("https://klasma.github.io/Logging_2280/tillsynsmail/A 26086-2025 tillsynsbegäran mail.docx", "A 26086-2025")</f>
        <v/>
      </c>
      <c r="AE92">
        <f>HYPERLINK("https://klasma.github.io/Logging_2280/fåglar/A 26086-2025 prioriterade fågelarter.docx", "A 26086-2025")</f>
        <v/>
      </c>
    </row>
    <row r="93" ht="15" customHeight="1">
      <c r="A93" t="inlineStr">
        <is>
          <t>A 26922-2025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46315</v>
      </c>
      <c r="F93" t="inlineStr">
        <is>
          <t>VÄSTERNORRLANDS LÄN</t>
        </is>
      </c>
      <c r="G93" t="inlineStr">
        <is>
          <t>HÄRNÖSAND</t>
        </is>
      </c>
      <c r="I93" t="n">
        <v>2.4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Barkticka</t>
        </is>
      </c>
      <c r="W93">
        <f>HYPERLINK("https://klasma.github.io/Logging_2280/artfynd/A 26922-2025 artfynd.xlsx", "A 26922-2025")</f>
        <v/>
      </c>
      <c r="X93">
        <f>HYPERLINK("https://klasma.github.io/Logging_2280/kartor/A 26922-2025 karta.png", "A 26922-2025")</f>
        <v/>
      </c>
      <c r="Y93">
        <f>HYPERLINK("https://klasma.github.io/Logging_2280/kartor_geotiff/A 26922-2025 georefererad karta.tif", "A 26922-2025")</f>
        <v/>
      </c>
      <c r="AA93">
        <f>HYPERLINK("https://klasma.github.io/Logging_2280/klagomål/A 26922-2025 FSC-klagomål.docx", "A 26922-2025")</f>
        <v/>
      </c>
      <c r="AB93">
        <f>HYPERLINK("https://klasma.github.io/Logging_2280/klagomålsmail/A 26922-2025 FSC-klagomål mail.docx", "A 26922-2025")</f>
        <v/>
      </c>
      <c r="AC93">
        <f>HYPERLINK("https://klasma.github.io/Logging_2280/tillsyn/A 26922-2025 tillsynsbegäran.docx", "A 26922-2025")</f>
        <v/>
      </c>
      <c r="AD93">
        <f>HYPERLINK("https://klasma.github.io/Logging_2280/tillsynsmail/A 26922-2025 tillsynsbegäran mail.docx", "A 26922-2025")</f>
        <v/>
      </c>
    </row>
    <row r="94" ht="15" customHeight="1">
      <c r="A94" t="inlineStr">
        <is>
          <t>A 27923-2026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46191</v>
      </c>
      <c r="E94" s="1" t="n">
        <v>46315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9.300000000000001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Veckticka</t>
        </is>
      </c>
      <c r="W94">
        <f>HYPERLINK("https://klasma.github.io/Logging_2280/artfynd/A 27923-2026 artfynd.xlsx", "A 27923-2026")</f>
        <v/>
      </c>
      <c r="X94">
        <f>HYPERLINK("https://klasma.github.io/Logging_2280/kartor/A 27923-2026 karta.png", "A 27923-2026")</f>
        <v/>
      </c>
      <c r="Y94">
        <f>HYPERLINK("https://klasma.github.io/Logging_2280/kartor_geotiff/A 27923-2026 georefererad karta.tif", "A 27923-2026")</f>
        <v/>
      </c>
      <c r="AA94">
        <f>HYPERLINK("https://klasma.github.io/Logging_2280/klagomål/A 27923-2026 FSC-klagomål.docx", "A 27923-2026")</f>
        <v/>
      </c>
      <c r="AB94">
        <f>HYPERLINK("https://klasma.github.io/Logging_2280/klagomålsmail/A 27923-2026 FSC-klagomål mail.docx", "A 27923-2026")</f>
        <v/>
      </c>
      <c r="AC94">
        <f>HYPERLINK("https://klasma.github.io/Logging_2280/tillsyn/A 27923-2026 tillsynsbegäran.docx", "A 27923-2026")</f>
        <v/>
      </c>
      <c r="AD94">
        <f>HYPERLINK("https://klasma.github.io/Logging_2280/tillsynsmail/A 27923-2026 tillsynsbegäran mail.docx", "A 27923-2026")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46315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46315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46315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46315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46315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46315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46315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46315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46315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46315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46315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46315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46315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46315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15849-2022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44664</v>
      </c>
      <c r="E109" s="1" t="n">
        <v>46315</v>
      </c>
      <c r="F109" t="inlineStr">
        <is>
          <t>VÄSTERNORRLANDS LÄN</t>
        </is>
      </c>
      <c r="G109" t="inlineStr">
        <is>
          <t>HÄRNÖSAND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36649-2022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44804</v>
      </c>
      <c r="E110" s="1" t="n">
        <v>46315</v>
      </c>
      <c r="F110" t="inlineStr">
        <is>
          <t>VÄSTERNORRLANDS LÄN</t>
        </is>
      </c>
      <c r="G110" t="inlineStr">
        <is>
          <t>HÄRNÖSAND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44512</v>
      </c>
      <c r="E111" s="1" t="n">
        <v>46315</v>
      </c>
      <c r="F111" t="inlineStr">
        <is>
          <t>VÄSTERNORRLANDS LÄN</t>
        </is>
      </c>
      <c r="G111" t="inlineStr">
        <is>
          <t>HÄRNÖSAND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44503</v>
      </c>
      <c r="E112" s="1" t="n">
        <v>46315</v>
      </c>
      <c r="F112" t="inlineStr">
        <is>
          <t>VÄSTERNORRLANDS LÄN</t>
        </is>
      </c>
      <c r="G112" t="inlineStr">
        <is>
          <t>HÄRNÖSAND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46315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44581</v>
      </c>
      <c r="E114" s="1" t="n">
        <v>46315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44848</v>
      </c>
      <c r="E115" s="1" t="n">
        <v>46315</v>
      </c>
      <c r="F115" t="inlineStr">
        <is>
          <t>VÄSTERNORRLANDS LÄN</t>
        </is>
      </c>
      <c r="G115" t="inlineStr">
        <is>
          <t>HÄRNÖSAND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16616-2022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44672</v>
      </c>
      <c r="E116" s="1" t="n">
        <v>46315</v>
      </c>
      <c r="F116" t="inlineStr">
        <is>
          <t>VÄSTERNORRLANDS LÄN</t>
        </is>
      </c>
      <c r="G116" t="inlineStr">
        <is>
          <t>HÄRNÖSAND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65024-2021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44515</v>
      </c>
      <c r="E117" s="1" t="n">
        <v>46315</v>
      </c>
      <c r="F117" t="inlineStr">
        <is>
          <t>VÄSTERNORRLANDS LÄN</t>
        </is>
      </c>
      <c r="G117" t="inlineStr">
        <is>
          <t>HÄRNÖSAND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46315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46315</v>
      </c>
      <c r="F119" t="inlineStr">
        <is>
          <t>VÄSTERNORRLANDS LÄN</t>
        </is>
      </c>
      <c r="G119" t="inlineStr">
        <is>
          <t>HÄRNÖSAND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46315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60935-2021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46315</v>
      </c>
      <c r="F121" t="inlineStr">
        <is>
          <t>VÄSTERNORRLANDS LÄN</t>
        </is>
      </c>
      <c r="G121" t="inlineStr">
        <is>
          <t>HÄRNÖSAND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70563-2021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44532</v>
      </c>
      <c r="E122" s="1" t="n">
        <v>46315</v>
      </c>
      <c r="F122" t="inlineStr">
        <is>
          <t>VÄSTERNORRLANDS LÄN</t>
        </is>
      </c>
      <c r="G122" t="inlineStr">
        <is>
          <t>HÄRNÖSAND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46315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46315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44664</v>
      </c>
      <c r="E125" s="1" t="n">
        <v>46315</v>
      </c>
      <c r="F125" t="inlineStr">
        <is>
          <t>VÄSTERNORRLANDS LÄN</t>
        </is>
      </c>
      <c r="G125" t="inlineStr">
        <is>
          <t>HÄRNÖSAND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70603-2021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44536</v>
      </c>
      <c r="E126" s="1" t="n">
        <v>46315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67078-2021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46315</v>
      </c>
      <c r="F127" t="inlineStr">
        <is>
          <t>VÄSTERNORRLANDS LÄN</t>
        </is>
      </c>
      <c r="G127" t="inlineStr">
        <is>
          <t>HÄRNÖSAND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44585</v>
      </c>
      <c r="E128" s="1" t="n">
        <v>46315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29429-2024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45483</v>
      </c>
      <c r="E129" s="1" t="n">
        <v>46315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18885-2023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45044</v>
      </c>
      <c r="E130" s="1" t="n">
        <v>46315</v>
      </c>
      <c r="F130" t="inlineStr">
        <is>
          <t>VÄSTERNORRLANDS LÄN</t>
        </is>
      </c>
      <c r="G130" t="inlineStr">
        <is>
          <t>HÄRNÖSAND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45328</v>
      </c>
      <c r="E131" s="1" t="n">
        <v>46315</v>
      </c>
      <c r="F131" t="inlineStr">
        <is>
          <t>VÄSTERNORRLANDS LÄN</t>
        </is>
      </c>
      <c r="G131" t="inlineStr">
        <is>
          <t>HÄRNÖSAND</t>
        </is>
      </c>
      <c r="H131" t="inlineStr">
        <is>
          <t>SCA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46315</v>
      </c>
      <c r="F132" t="inlineStr">
        <is>
          <t>VÄSTERNORRLANDS LÄN</t>
        </is>
      </c>
      <c r="G132" t="inlineStr">
        <is>
          <t>HÄRNÖSAND</t>
        </is>
      </c>
      <c r="H132" t="inlineStr">
        <is>
          <t>SCA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45409</v>
      </c>
      <c r="E133" s="1" t="n">
        <v>46315</v>
      </c>
      <c r="F133" t="inlineStr">
        <is>
          <t>VÄSTERNORRLANDS LÄN</t>
        </is>
      </c>
      <c r="G133" t="inlineStr">
        <is>
          <t>HÄRNÖSAND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35595-2024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45531</v>
      </c>
      <c r="E134" s="1" t="n">
        <v>46315</v>
      </c>
      <c r="F134" t="inlineStr">
        <is>
          <t>VÄSTERNORRLANDS LÄN</t>
        </is>
      </c>
      <c r="G134" t="inlineStr">
        <is>
          <t>HÄRNÖSAND</t>
        </is>
      </c>
      <c r="H134" t="inlineStr">
        <is>
          <t>SCA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44806</v>
      </c>
      <c r="E135" s="1" t="n">
        <v>46315</v>
      </c>
      <c r="F135" t="inlineStr">
        <is>
          <t>VÄSTERNORRLANDS LÄN</t>
        </is>
      </c>
      <c r="G135" t="inlineStr">
        <is>
          <t>HÄRNÖSAND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44806</v>
      </c>
      <c r="E136" s="1" t="n">
        <v>46315</v>
      </c>
      <c r="F136" t="inlineStr">
        <is>
          <t>VÄSTERNORRLANDS LÄN</t>
        </is>
      </c>
      <c r="G136" t="inlineStr">
        <is>
          <t>HÄRNÖSAND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44809</v>
      </c>
      <c r="E137" s="1" t="n">
        <v>46315</v>
      </c>
      <c r="F137" t="inlineStr">
        <is>
          <t>VÄSTERNORRLANDS LÄN</t>
        </is>
      </c>
      <c r="G137" t="inlineStr">
        <is>
          <t>HÄRNÖSAND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64563-2023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45281</v>
      </c>
      <c r="E138" s="1" t="n">
        <v>46315</v>
      </c>
      <c r="F138" t="inlineStr">
        <is>
          <t>VÄSTERNORRLANDS LÄN</t>
        </is>
      </c>
      <c r="G138" t="inlineStr">
        <is>
          <t>HÄRNÖSAND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64746-2023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46315</v>
      </c>
      <c r="F139" t="inlineStr">
        <is>
          <t>VÄSTERNORRLANDS LÄN</t>
        </is>
      </c>
      <c r="G139" t="inlineStr">
        <is>
          <t>HÄRNÖSAND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45489</v>
      </c>
      <c r="E140" s="1" t="n">
        <v>46315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45462</v>
      </c>
      <c r="E141" s="1" t="n">
        <v>46315</v>
      </c>
      <c r="F141" t="inlineStr">
        <is>
          <t>VÄSTERNORRLANDS LÄN</t>
        </is>
      </c>
      <c r="G141" t="inlineStr">
        <is>
          <t>HÄRNÖSAND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63375-2023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46315</v>
      </c>
      <c r="F142" t="inlineStr">
        <is>
          <t>VÄSTERNORRLANDS LÄN</t>
        </is>
      </c>
      <c r="G142" t="inlineStr">
        <is>
          <t>HÄRNÖSAND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44853</v>
      </c>
      <c r="E143" s="1" t="n">
        <v>46315</v>
      </c>
      <c r="F143" t="inlineStr">
        <is>
          <t>VÄSTERNORRLANDS LÄN</t>
        </is>
      </c>
      <c r="G143" t="inlineStr">
        <is>
          <t>HÄRNÖSAND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44952</v>
      </c>
      <c r="E144" s="1" t="n">
        <v>46315</v>
      </c>
      <c r="F144" t="inlineStr">
        <is>
          <t>VÄSTERNORRLANDS LÄN</t>
        </is>
      </c>
      <c r="G144" t="inlineStr">
        <is>
          <t>HÄRNÖSAND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46315</v>
      </c>
      <c r="F145" t="inlineStr">
        <is>
          <t>VÄSTERNORRLANDS LÄN</t>
        </is>
      </c>
      <c r="G145" t="inlineStr">
        <is>
          <t>HÄRNÖSAND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46315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32180-2024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45511</v>
      </c>
      <c r="E147" s="1" t="n">
        <v>46315</v>
      </c>
      <c r="F147" t="inlineStr">
        <is>
          <t>VÄSTERNORRLANDS LÄN</t>
        </is>
      </c>
      <c r="G147" t="inlineStr">
        <is>
          <t>HÄRNÖSAND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50338-2022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44865</v>
      </c>
      <c r="E148" s="1" t="n">
        <v>46315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44937</v>
      </c>
      <c r="E149" s="1" t="n">
        <v>46315</v>
      </c>
      <c r="F149" t="inlineStr">
        <is>
          <t>VÄSTERNORRLANDS LÄN</t>
        </is>
      </c>
      <c r="G149" t="inlineStr">
        <is>
          <t>HÄRNÖSAND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45531</v>
      </c>
      <c r="E150" s="1" t="n">
        <v>46315</v>
      </c>
      <c r="F150" t="inlineStr">
        <is>
          <t>VÄSTERNORRLANDS LÄN</t>
        </is>
      </c>
      <c r="G150" t="inlineStr">
        <is>
          <t>HÄRNÖSAND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27977-2024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45476</v>
      </c>
      <c r="E151" s="1" t="n">
        <v>46315</v>
      </c>
      <c r="F151" t="inlineStr">
        <is>
          <t>VÄSTERNORRLANDS LÄN</t>
        </is>
      </c>
      <c r="G151" t="inlineStr">
        <is>
          <t>HÄRNÖSAND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46315</v>
      </c>
      <c r="F152" t="inlineStr">
        <is>
          <t>VÄSTERNORRLANDS LÄN</t>
        </is>
      </c>
      <c r="G152" t="inlineStr">
        <is>
          <t>HÄRNÖSAND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47550-2022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44853</v>
      </c>
      <c r="E153" s="1" t="n">
        <v>46315</v>
      </c>
      <c r="F153" t="inlineStr">
        <is>
          <t>VÄSTERNORRLANDS LÄN</t>
        </is>
      </c>
      <c r="G153" t="inlineStr">
        <is>
          <t>HÄRNÖSAND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45293</v>
      </c>
      <c r="E154" s="1" t="n">
        <v>46315</v>
      </c>
      <c r="F154" t="inlineStr">
        <is>
          <t>VÄSTERNORRLANDS LÄN</t>
        </is>
      </c>
      <c r="G154" t="inlineStr">
        <is>
          <t>HÄRNÖSAND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45562</v>
      </c>
      <c r="E155" s="1" t="n">
        <v>46315</v>
      </c>
      <c r="F155" t="inlineStr">
        <is>
          <t>VÄSTERNORRLANDS LÄN</t>
        </is>
      </c>
      <c r="G155" t="inlineStr">
        <is>
          <t>HÄRNÖSAND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45729</v>
      </c>
      <c r="E156" s="1" t="n">
        <v>46315</v>
      </c>
      <c r="F156" t="inlineStr">
        <is>
          <t>VÄSTERNORRLANDS LÄN</t>
        </is>
      </c>
      <c r="G156" t="inlineStr">
        <is>
          <t>HÄRNÖSAND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69269-2021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44531</v>
      </c>
      <c r="E157" s="1" t="n">
        <v>46315</v>
      </c>
      <c r="F157" t="inlineStr">
        <is>
          <t>VÄSTERNORRLANDS LÄN</t>
        </is>
      </c>
      <c r="G157" t="inlineStr">
        <is>
          <t>HÄRNÖSAND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46315</v>
      </c>
      <c r="F158" t="inlineStr">
        <is>
          <t>VÄSTERNORRLANDS LÄN</t>
        </is>
      </c>
      <c r="G158" t="inlineStr">
        <is>
          <t>HÄRNÖSAND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49039-2023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45209</v>
      </c>
      <c r="E159" s="1" t="n">
        <v>46315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46315</v>
      </c>
      <c r="F160" t="inlineStr">
        <is>
          <t>VÄSTERNORRLANDS LÄN</t>
        </is>
      </c>
      <c r="G160" t="inlineStr">
        <is>
          <t>HÄRNÖSAND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54251-2022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44881</v>
      </c>
      <c r="E161" s="1" t="n">
        <v>46315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46315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Övriga statliga verk och myndigheter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45320</v>
      </c>
      <c r="E163" s="1" t="n">
        <v>46315</v>
      </c>
      <c r="F163" t="inlineStr">
        <is>
          <t>VÄSTERNORRLANDS LÄN</t>
        </is>
      </c>
      <c r="G163" t="inlineStr">
        <is>
          <t>HÄRNÖSAND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45576</v>
      </c>
      <c r="E164" s="1" t="n">
        <v>46315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58588-2022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44894</v>
      </c>
      <c r="E165" s="1" t="n">
        <v>46315</v>
      </c>
      <c r="F165" t="inlineStr">
        <is>
          <t>VÄSTERNORRLANDS LÄN</t>
        </is>
      </c>
      <c r="G165" t="inlineStr">
        <is>
          <t>HÄRNÖSAND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45701</v>
      </c>
      <c r="E166" s="1" t="n">
        <v>46315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45757</v>
      </c>
      <c r="E167" s="1" t="n">
        <v>46315</v>
      </c>
      <c r="F167" t="inlineStr">
        <is>
          <t>VÄSTERNORRLANDS LÄN</t>
        </is>
      </c>
      <c r="G167" t="inlineStr">
        <is>
          <t>HÄRNÖSAND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45390</v>
      </c>
      <c r="E168" s="1" t="n">
        <v>46315</v>
      </c>
      <c r="F168" t="inlineStr">
        <is>
          <t>VÄSTERNORRLANDS LÄN</t>
        </is>
      </c>
      <c r="G168" t="inlineStr">
        <is>
          <t>HÄRNÖSAND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31546-2024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45505</v>
      </c>
      <c r="E169" s="1" t="n">
        <v>46315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44755</v>
      </c>
      <c r="E170" s="1" t="n">
        <v>46315</v>
      </c>
      <c r="F170" t="inlineStr">
        <is>
          <t>VÄSTERNORRLANDS LÄN</t>
        </is>
      </c>
      <c r="G170" t="inlineStr">
        <is>
          <t>HÄRNÖSAND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44747</v>
      </c>
      <c r="E171" s="1" t="n">
        <v>46315</v>
      </c>
      <c r="F171" t="inlineStr">
        <is>
          <t>VÄSTERNORRLANDS LÄN</t>
        </is>
      </c>
      <c r="G171" t="inlineStr">
        <is>
          <t>HÄRNÖSAND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44890</v>
      </c>
      <c r="E172" s="1" t="n">
        <v>46315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Kyrkan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44732</v>
      </c>
      <c r="E173" s="1" t="n">
        <v>46315</v>
      </c>
      <c r="F173" t="inlineStr">
        <is>
          <t>VÄSTERNORRLANDS LÄN</t>
        </is>
      </c>
      <c r="G173" t="inlineStr">
        <is>
          <t>HÄRNÖSAND</t>
        </is>
      </c>
      <c r="I173" t="n">
        <v>18.7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45015</v>
      </c>
      <c r="E174" s="1" t="n">
        <v>46315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55895-2024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45622</v>
      </c>
      <c r="E175" s="1" t="n">
        <v>46315</v>
      </c>
      <c r="F175" t="inlineStr">
        <is>
          <t>VÄSTERNORRLANDS LÄN</t>
        </is>
      </c>
      <c r="G175" t="inlineStr">
        <is>
          <t>HÄRNÖSAND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45314</v>
      </c>
      <c r="E176" s="1" t="n">
        <v>46315</v>
      </c>
      <c r="F176" t="inlineStr">
        <is>
          <t>VÄSTERNORRLANDS LÄN</t>
        </is>
      </c>
      <c r="G176" t="inlineStr">
        <is>
          <t>HÄRNÖSAND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45293</v>
      </c>
      <c r="E177" s="1" t="n">
        <v>46315</v>
      </c>
      <c r="F177" t="inlineStr">
        <is>
          <t>VÄSTERNORRLANDS LÄN</t>
        </is>
      </c>
      <c r="G177" t="inlineStr">
        <is>
          <t>HÄRNÖSAND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44971</v>
      </c>
      <c r="E178" s="1" t="n">
        <v>46315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46065</v>
      </c>
      <c r="E179" s="1" t="n">
        <v>46315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Kyrkan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59408-2024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45638</v>
      </c>
      <c r="E180" s="1" t="n">
        <v>46315</v>
      </c>
      <c r="F180" t="inlineStr">
        <is>
          <t>VÄSTERNORRLANDS LÄN</t>
        </is>
      </c>
      <c r="G180" t="inlineStr">
        <is>
          <t>HÄRNÖSAND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46315</v>
      </c>
      <c r="F181" t="inlineStr">
        <is>
          <t>VÄSTERNORRLANDS LÄN</t>
        </is>
      </c>
      <c r="G181" t="inlineStr">
        <is>
          <t>HÄRNÖSAND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44743</v>
      </c>
      <c r="E182" s="1" t="n">
        <v>46315</v>
      </c>
      <c r="F182" t="inlineStr">
        <is>
          <t>VÄSTERNORRLANDS LÄN</t>
        </is>
      </c>
      <c r="G182" t="inlineStr">
        <is>
          <t>HÄRNÖSAND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46315</v>
      </c>
      <c r="F183" t="inlineStr">
        <is>
          <t>VÄSTERNORRLANDS LÄN</t>
        </is>
      </c>
      <c r="G183" t="inlineStr">
        <is>
          <t>HÄRNÖSAND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46320-2022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44847</v>
      </c>
      <c r="E184" s="1" t="n">
        <v>46315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Kyrkan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46315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46315</v>
      </c>
      <c r="F186" t="inlineStr">
        <is>
          <t>VÄSTERNORRLANDS LÄN</t>
        </is>
      </c>
      <c r="G186" t="inlineStr">
        <is>
          <t>HÄRNÖSAND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46315</v>
      </c>
      <c r="F187" t="inlineStr">
        <is>
          <t>VÄSTERNORRLANDS LÄN</t>
        </is>
      </c>
      <c r="G187" t="inlineStr">
        <is>
          <t>HÄRNÖSAND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45667</v>
      </c>
      <c r="E188" s="1" t="n">
        <v>46315</v>
      </c>
      <c r="F188" t="inlineStr">
        <is>
          <t>VÄSTERNORRLANDS LÄN</t>
        </is>
      </c>
      <c r="G188" t="inlineStr">
        <is>
          <t>HÄRNÖSAND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45890</v>
      </c>
      <c r="E189" s="1" t="n">
        <v>46315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39667-2025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46315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45645</v>
      </c>
      <c r="E191" s="1" t="n">
        <v>46315</v>
      </c>
      <c r="F191" t="inlineStr">
        <is>
          <t>VÄSTERNORRLANDS LÄN</t>
        </is>
      </c>
      <c r="G191" t="inlineStr">
        <is>
          <t>HÄRNÖSAND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46315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40452-2023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45168</v>
      </c>
      <c r="E193" s="1" t="n">
        <v>46315</v>
      </c>
      <c r="F193" t="inlineStr">
        <is>
          <t>VÄSTERNORRLANDS LÄN</t>
        </is>
      </c>
      <c r="G193" t="inlineStr">
        <is>
          <t>HÄRNÖSAND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47939-2022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44853</v>
      </c>
      <c r="E194" s="1" t="n">
        <v>46315</v>
      </c>
      <c r="F194" t="inlineStr">
        <is>
          <t>VÄSTERNORRLANDS LÄN</t>
        </is>
      </c>
      <c r="G194" t="inlineStr">
        <is>
          <t>HÄRNÖSAND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46315</v>
      </c>
      <c r="F195" t="inlineStr">
        <is>
          <t>VÄSTERNORRLANDS LÄN</t>
        </is>
      </c>
      <c r="G195" t="inlineStr">
        <is>
          <t>HÄRNÖSAND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45138</v>
      </c>
      <c r="E196" s="1" t="n">
        <v>46315</v>
      </c>
      <c r="F196" t="inlineStr">
        <is>
          <t>VÄSTERNORRLANDS LÄN</t>
        </is>
      </c>
      <c r="G196" t="inlineStr">
        <is>
          <t>HÄRNÖSAND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45901</v>
      </c>
      <c r="E197" s="1" t="n">
        <v>46315</v>
      </c>
      <c r="F197" t="inlineStr">
        <is>
          <t>VÄSTERNORRLANDS LÄN</t>
        </is>
      </c>
      <c r="G197" t="inlineStr">
        <is>
          <t>HÄRNÖSAND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46315</v>
      </c>
      <c r="F198" t="inlineStr">
        <is>
          <t>VÄSTERNORRLANDS LÄN</t>
        </is>
      </c>
      <c r="G198" t="inlineStr">
        <is>
          <t>HÄRNÖSAND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38146-2024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45545</v>
      </c>
      <c r="E199" s="1" t="n">
        <v>46315</v>
      </c>
      <c r="F199" t="inlineStr">
        <is>
          <t>VÄSTERNORRLANDS LÄN</t>
        </is>
      </c>
      <c r="G199" t="inlineStr">
        <is>
          <t>HÄRNÖSAND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46315</v>
      </c>
      <c r="F200" t="inlineStr">
        <is>
          <t>VÄSTERNORRLANDS LÄN</t>
        </is>
      </c>
      <c r="G200" t="inlineStr">
        <is>
          <t>HÄRNÖSAND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10128-2023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44980</v>
      </c>
      <c r="E201" s="1" t="n">
        <v>46315</v>
      </c>
      <c r="F201" t="inlineStr">
        <is>
          <t>VÄSTERNORRLANDS LÄN</t>
        </is>
      </c>
      <c r="G201" t="inlineStr">
        <is>
          <t>HÄRNÖSAND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46315</v>
      </c>
      <c r="F202" t="inlineStr">
        <is>
          <t>VÄSTERNORRLANDS LÄN</t>
        </is>
      </c>
      <c r="G202" t="inlineStr">
        <is>
          <t>HÄRNÖSAND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34011-2024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45523</v>
      </c>
      <c r="E203" s="1" t="n">
        <v>46315</v>
      </c>
      <c r="F203" t="inlineStr">
        <is>
          <t>VÄSTERNORRLANDS LÄN</t>
        </is>
      </c>
      <c r="G203" t="inlineStr">
        <is>
          <t>HÄRNÖSAND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46315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18812-2025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45764</v>
      </c>
      <c r="E205" s="1" t="n">
        <v>46315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46315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46315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7536-2023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44971</v>
      </c>
      <c r="E208" s="1" t="n">
        <v>46315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46315</v>
      </c>
      <c r="F209" t="inlineStr">
        <is>
          <t>VÄSTERNORRLANDS LÄN</t>
        </is>
      </c>
      <c r="G209" t="inlineStr">
        <is>
          <t>HÄRNÖSAND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46315</v>
      </c>
      <c r="F210" t="inlineStr">
        <is>
          <t>VÄSTERNORRLANDS LÄN</t>
        </is>
      </c>
      <c r="G210" t="inlineStr">
        <is>
          <t>HÄRNÖSAND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46315</v>
      </c>
      <c r="F211" t="inlineStr">
        <is>
          <t>VÄSTERNORRLANDS LÄN</t>
        </is>
      </c>
      <c r="G211" t="inlineStr">
        <is>
          <t>HÄRNÖSAND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46315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46315</v>
      </c>
      <c r="F213" t="inlineStr">
        <is>
          <t>VÄSTERNORRLANDS LÄN</t>
        </is>
      </c>
      <c r="G213" t="inlineStr">
        <is>
          <t>HÄRNÖSAND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46315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46315</v>
      </c>
      <c r="F215" t="inlineStr">
        <is>
          <t>VÄSTERNORRLANDS LÄN</t>
        </is>
      </c>
      <c r="G215" t="inlineStr">
        <is>
          <t>HÄRNÖSAND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46315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45685</v>
      </c>
      <c r="E217" s="1" t="n">
        <v>46315</v>
      </c>
      <c r="F217" t="inlineStr">
        <is>
          <t>VÄSTERNORRLANDS LÄN</t>
        </is>
      </c>
      <c r="G217" t="inlineStr">
        <is>
          <t>HÄRNÖSAND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46315</v>
      </c>
      <c r="F218" t="inlineStr">
        <is>
          <t>VÄSTERNORRLANDS LÄN</t>
        </is>
      </c>
      <c r="G218" t="inlineStr">
        <is>
          <t>HÄRNÖSAND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46315</v>
      </c>
      <c r="F219" t="inlineStr">
        <is>
          <t>VÄSTERNORRLANDS LÄN</t>
        </is>
      </c>
      <c r="G219" t="inlineStr">
        <is>
          <t>HÄRNÖSAND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46315</v>
      </c>
      <c r="F220" t="inlineStr">
        <is>
          <t>VÄSTERNORRLANDS LÄN</t>
        </is>
      </c>
      <c r="G220" t="inlineStr">
        <is>
          <t>HÄRNÖSAND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46315</v>
      </c>
      <c r="F221" t="inlineStr">
        <is>
          <t>VÄSTERNORRLANDS LÄN</t>
        </is>
      </c>
      <c r="G221" t="inlineStr">
        <is>
          <t>HÄRNÖSAND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45924</v>
      </c>
      <c r="E222" s="1" t="n">
        <v>46315</v>
      </c>
      <c r="F222" t="inlineStr">
        <is>
          <t>VÄSTERNORRLANDS LÄN</t>
        </is>
      </c>
      <c r="G222" t="inlineStr">
        <is>
          <t>HÄRNÖSAND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46315</v>
      </c>
      <c r="F223" t="inlineStr">
        <is>
          <t>VÄSTERNORRLANDS LÄN</t>
        </is>
      </c>
      <c r="G223" t="inlineStr">
        <is>
          <t>HÄRNÖSAND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45749</v>
      </c>
      <c r="E224" s="1" t="n">
        <v>46315</v>
      </c>
      <c r="F224" t="inlineStr">
        <is>
          <t>VÄSTERNORRLANDS LÄN</t>
        </is>
      </c>
      <c r="G224" t="inlineStr">
        <is>
          <t>HÄRNÖSAND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46315</v>
      </c>
      <c r="F225" t="inlineStr">
        <is>
          <t>VÄSTERNORRLANDS LÄN</t>
        </is>
      </c>
      <c r="G225" t="inlineStr">
        <is>
          <t>HÄRNÖSAND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46072</v>
      </c>
      <c r="E226" s="1" t="n">
        <v>46315</v>
      </c>
      <c r="F226" t="inlineStr">
        <is>
          <t>VÄSTERNORRLANDS LÄN</t>
        </is>
      </c>
      <c r="G226" t="inlineStr">
        <is>
          <t>HÄRNÖSAND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46024</v>
      </c>
      <c r="E227" s="1" t="n">
        <v>46315</v>
      </c>
      <c r="F227" t="inlineStr">
        <is>
          <t>VÄSTERNORRLANDS LÄN</t>
        </is>
      </c>
      <c r="G227" t="inlineStr">
        <is>
          <t>HÄRNÖSAND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44603</v>
      </c>
      <c r="E228" s="1" t="n">
        <v>46315</v>
      </c>
      <c r="F228" t="inlineStr">
        <is>
          <t>VÄSTERNORRLANDS LÄN</t>
        </is>
      </c>
      <c r="G228" t="inlineStr">
        <is>
          <t>HÄRNÖSAND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45044</v>
      </c>
      <c r="E229" s="1" t="n">
        <v>46315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12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46315</v>
      </c>
      <c r="F230" t="inlineStr">
        <is>
          <t>VÄSTERNORRLANDS LÄN</t>
        </is>
      </c>
      <c r="G230" t="inlineStr">
        <is>
          <t>HÄRNÖSAND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45082-2025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46315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45203</v>
      </c>
      <c r="E232" s="1" t="n">
        <v>46315</v>
      </c>
      <c r="F232" t="inlineStr">
        <is>
          <t>VÄSTERNORRLANDS LÄN</t>
        </is>
      </c>
      <c r="G232" t="inlineStr">
        <is>
          <t>HÄRNÖSAND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46315</v>
      </c>
      <c r="F233" t="inlineStr">
        <is>
          <t>VÄSTERNORRLANDS LÄN</t>
        </is>
      </c>
      <c r="G233" t="inlineStr">
        <is>
          <t>HÄRNÖSAND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29613-2023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45106</v>
      </c>
      <c r="E234" s="1" t="n">
        <v>46315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48721-2025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45936</v>
      </c>
      <c r="E235" s="1" t="n">
        <v>46315</v>
      </c>
      <c r="F235" t="inlineStr">
        <is>
          <t>VÄSTERNORRLANDS LÄN</t>
        </is>
      </c>
      <c r="G235" t="inlineStr">
        <is>
          <t>HÄRNÖSAND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45714</v>
      </c>
      <c r="E236" s="1" t="n">
        <v>46315</v>
      </c>
      <c r="F236" t="inlineStr">
        <is>
          <t>VÄSTERNORRLANDS LÄN</t>
        </is>
      </c>
      <c r="G236" t="inlineStr">
        <is>
          <t>HÄRNÖSAND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48633-2025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46315</v>
      </c>
      <c r="F237" t="inlineStr">
        <is>
          <t>VÄSTERNORRLANDS LÄN</t>
        </is>
      </c>
      <c r="G237" t="inlineStr">
        <is>
          <t>HÄRNÖSAND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48630-2025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46315</v>
      </c>
      <c r="F238" t="inlineStr">
        <is>
          <t>VÄSTERNORRLANDS LÄN</t>
        </is>
      </c>
      <c r="G238" t="inlineStr">
        <is>
          <t>HÄRNÖSAND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46315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49625-2025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45939</v>
      </c>
      <c r="E240" s="1" t="n">
        <v>46315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44596</v>
      </c>
      <c r="E241" s="1" t="n">
        <v>46315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Övriga statliga verk och myndigheter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28368-2023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45099</v>
      </c>
      <c r="E242" s="1" t="n">
        <v>46315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45723</v>
      </c>
      <c r="E243" s="1" t="n">
        <v>46315</v>
      </c>
      <c r="F243" t="inlineStr">
        <is>
          <t>VÄSTERNORRLANDS LÄN</t>
        </is>
      </c>
      <c r="G243" t="inlineStr">
        <is>
          <t>HÄRNÖSAND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46315</v>
      </c>
      <c r="F244" t="inlineStr">
        <is>
          <t>VÄSTERNORRLANDS LÄN</t>
        </is>
      </c>
      <c r="G244" t="inlineStr">
        <is>
          <t>HÄRNÖSAND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46315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15821-2026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46107</v>
      </c>
      <c r="E246" s="1" t="n">
        <v>46315</v>
      </c>
      <c r="F246" t="inlineStr">
        <is>
          <t>VÄSTERNORRLANDS LÄN</t>
        </is>
      </c>
      <c r="G246" t="inlineStr">
        <is>
          <t>HÄRNÖSAND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11043-2023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44991</v>
      </c>
      <c r="E247" s="1" t="n">
        <v>46315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22200-2026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46153</v>
      </c>
      <c r="E248" s="1" t="n">
        <v>46315</v>
      </c>
      <c r="F248" t="inlineStr">
        <is>
          <t>VÄSTERNORRLANDS LÄN</t>
        </is>
      </c>
      <c r="G248" t="inlineStr">
        <is>
          <t>HÄRNÖSAND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53327-2025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46315</v>
      </c>
      <c r="F249" t="inlineStr">
        <is>
          <t>VÄSTERNORRLANDS LÄN</t>
        </is>
      </c>
      <c r="G249" t="inlineStr">
        <is>
          <t>HÄRNÖSAND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53328-2025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45959</v>
      </c>
      <c r="E250" s="1" t="n">
        <v>46315</v>
      </c>
      <c r="F250" t="inlineStr">
        <is>
          <t>VÄSTERNORRLANDS LÄN</t>
        </is>
      </c>
      <c r="G250" t="inlineStr">
        <is>
          <t>HÄRNÖSAND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22142-2026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46153</v>
      </c>
      <c r="E251" s="1" t="n">
        <v>46315</v>
      </c>
      <c r="F251" t="inlineStr">
        <is>
          <t>VÄSTERNORRLANDS LÄN</t>
        </is>
      </c>
      <c r="G251" t="inlineStr">
        <is>
          <t>HÄRNÖSAND</t>
        </is>
      </c>
      <c r="I251" t="n">
        <v>16.7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45293</v>
      </c>
      <c r="E252" s="1" t="n">
        <v>46315</v>
      </c>
      <c r="F252" t="inlineStr">
        <is>
          <t>VÄSTERNORRLANDS LÄN</t>
        </is>
      </c>
      <c r="G252" t="inlineStr">
        <is>
          <t>HÄRNÖSAND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61574-2021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44497</v>
      </c>
      <c r="E253" s="1" t="n">
        <v>46315</v>
      </c>
      <c r="F253" t="inlineStr">
        <is>
          <t>VÄSTERNORRLANDS LÄN</t>
        </is>
      </c>
      <c r="G253" t="inlineStr">
        <is>
          <t>HÄRNÖSAND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46155</v>
      </c>
      <c r="E254" s="1" t="n">
        <v>46315</v>
      </c>
      <c r="F254" t="inlineStr">
        <is>
          <t>VÄSTERNORRLANDS LÄN</t>
        </is>
      </c>
      <c r="G254" t="inlineStr">
        <is>
          <t>HÄRNÖSAND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46315</v>
      </c>
      <c r="F255" t="inlineStr">
        <is>
          <t>VÄSTERNORRLANDS LÄN</t>
        </is>
      </c>
      <c r="G255" t="inlineStr">
        <is>
          <t>HÄRNÖSAND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45329</v>
      </c>
      <c r="E256" s="1" t="n">
        <v>46315</v>
      </c>
      <c r="F256" t="inlineStr">
        <is>
          <t>VÄSTERNORRLANDS LÄN</t>
        </is>
      </c>
      <c r="G256" t="inlineStr">
        <is>
          <t>HÄRNÖSAND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46319-2022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44847</v>
      </c>
      <c r="E257" s="1" t="n">
        <v>46315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Kyrkan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45793</v>
      </c>
      <c r="E258" s="1" t="n">
        <v>46315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8408-2024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45352</v>
      </c>
      <c r="E259" s="1" t="n">
        <v>46315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22990-2026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46160</v>
      </c>
      <c r="E260" s="1" t="n">
        <v>46315</v>
      </c>
      <c r="F260" t="inlineStr">
        <is>
          <t>VÄSTERNORRLANDS LÄN</t>
        </is>
      </c>
      <c r="G260" t="inlineStr">
        <is>
          <t>HÄRNÖSAND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46315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15.6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46315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45265</v>
      </c>
      <c r="E263" s="1" t="n">
        <v>46315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64749-2023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46315</v>
      </c>
      <c r="F264" t="inlineStr">
        <is>
          <t>VÄSTERNORRLANDS LÄN</t>
        </is>
      </c>
      <c r="G264" t="inlineStr">
        <is>
          <t>HÄRNÖSAND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46315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56736-2025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46315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46315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57037-2025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46315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46315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46315</v>
      </c>
      <c r="F270" t="inlineStr">
        <is>
          <t>VÄSTERNORRLANDS LÄN</t>
        </is>
      </c>
      <c r="G270" t="inlineStr">
        <is>
          <t>HÄRNÖSAND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46161</v>
      </c>
      <c r="E271" s="1" t="n">
        <v>46315</v>
      </c>
      <c r="F271" t="inlineStr">
        <is>
          <t>VÄSTERNORRLANDS LÄN</t>
        </is>
      </c>
      <c r="G271" t="inlineStr">
        <is>
          <t>HÄRNÖSAND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45832</v>
      </c>
      <c r="E272" s="1" t="n">
        <v>46315</v>
      </c>
      <c r="F272" t="inlineStr">
        <is>
          <t>VÄSTERNORRLANDS LÄN</t>
        </is>
      </c>
      <c r="G272" t="inlineStr">
        <is>
          <t>HÄRNÖSAND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23130-2026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46161</v>
      </c>
      <c r="E273" s="1" t="n">
        <v>46315</v>
      </c>
      <c r="F273" t="inlineStr">
        <is>
          <t>VÄSTERNORRLANDS LÄN</t>
        </is>
      </c>
      <c r="G273" t="inlineStr">
        <is>
          <t>HÄRNÖSAND</t>
        </is>
      </c>
      <c r="I273" t="n">
        <v>9.199999999999999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46315</v>
      </c>
      <c r="F274" t="inlineStr">
        <is>
          <t>VÄSTERNORRLANDS LÄN</t>
        </is>
      </c>
      <c r="G274" t="inlineStr">
        <is>
          <t>HÄRNÖSAND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46315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57035-2025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46315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46315</v>
      </c>
      <c r="F277" t="inlineStr">
        <is>
          <t>VÄSTERNORRLANDS LÄN</t>
        </is>
      </c>
      <c r="G277" t="inlineStr">
        <is>
          <t>HÄRNÖSAND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23148-2026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46161</v>
      </c>
      <c r="E278" s="1" t="n">
        <v>46315</v>
      </c>
      <c r="F278" t="inlineStr">
        <is>
          <t>VÄSTERNORRLANDS LÄN</t>
        </is>
      </c>
      <c r="G278" t="inlineStr">
        <is>
          <t>HÄRNÖSAND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46315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46315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23176-2026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46315</v>
      </c>
      <c r="F281" t="inlineStr">
        <is>
          <t>VÄSTERNORRLANDS LÄN</t>
        </is>
      </c>
      <c r="G281" t="inlineStr">
        <is>
          <t>HÄRNÖSAND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46161</v>
      </c>
      <c r="E282" s="1" t="n">
        <v>46315</v>
      </c>
      <c r="F282" t="inlineStr">
        <is>
          <t>VÄSTERNORRLANDS LÄN</t>
        </is>
      </c>
      <c r="G282" t="inlineStr">
        <is>
          <t>HÄRNÖSAND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23231-2026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46315</v>
      </c>
      <c r="F283" t="inlineStr">
        <is>
          <t>VÄSTERNORRLANDS LÄN</t>
        </is>
      </c>
      <c r="G283" t="inlineStr">
        <is>
          <t>HÄRNÖSAND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46315</v>
      </c>
      <c r="F284" t="inlineStr">
        <is>
          <t>VÄSTERNORRLANDS LÄN</t>
        </is>
      </c>
      <c r="G284" t="inlineStr">
        <is>
          <t>HÄRNÖSAND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45409</v>
      </c>
      <c r="E285" s="1" t="n">
        <v>46315</v>
      </c>
      <c r="F285" t="inlineStr">
        <is>
          <t>VÄSTERNORRLANDS LÄN</t>
        </is>
      </c>
      <c r="G285" t="inlineStr">
        <is>
          <t>HÄRNÖSAND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45786</v>
      </c>
      <c r="E286" s="1" t="n">
        <v>46315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31.8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45813</v>
      </c>
      <c r="E287" s="1" t="n">
        <v>46315</v>
      </c>
      <c r="F287" t="inlineStr">
        <is>
          <t>VÄSTERNORRLANDS LÄN</t>
        </is>
      </c>
      <c r="G287" t="inlineStr">
        <is>
          <t>HÄRNÖSAND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46315</v>
      </c>
      <c r="F288" t="inlineStr">
        <is>
          <t>VÄSTERNORRLANDS LÄN</t>
        </is>
      </c>
      <c r="G288" t="inlineStr">
        <is>
          <t>HÄRNÖSAND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39954-2022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44819</v>
      </c>
      <c r="E289" s="1" t="n">
        <v>46315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64023-2023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45278</v>
      </c>
      <c r="E290" s="1" t="n">
        <v>46315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22852-2025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45790</v>
      </c>
      <c r="E291" s="1" t="n">
        <v>46315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31.8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23140-2026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46161</v>
      </c>
      <c r="E292" s="1" t="n">
        <v>46315</v>
      </c>
      <c r="F292" t="inlineStr">
        <is>
          <t>VÄSTERNORRLANDS LÄN</t>
        </is>
      </c>
      <c r="G292" t="inlineStr">
        <is>
          <t>HÄRNÖSAND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23168-2026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46161</v>
      </c>
      <c r="E293" s="1" t="n">
        <v>46315</v>
      </c>
      <c r="F293" t="inlineStr">
        <is>
          <t>VÄSTERNORRLANDS LÄN</t>
        </is>
      </c>
      <c r="G293" t="inlineStr">
        <is>
          <t>HÄRNÖSAND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31408-2024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45502</v>
      </c>
      <c r="E294" s="1" t="n">
        <v>46315</v>
      </c>
      <c r="F294" t="inlineStr">
        <is>
          <t>VÄSTERNORRLANDS LÄN</t>
        </is>
      </c>
      <c r="G294" t="inlineStr">
        <is>
          <t>HÄRNÖSAND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45987</v>
      </c>
      <c r="E295" s="1" t="n">
        <v>46315</v>
      </c>
      <c r="F295" t="inlineStr">
        <is>
          <t>VÄSTERNORRLANDS LÄN</t>
        </is>
      </c>
      <c r="G295" t="inlineStr">
        <is>
          <t>HÄRNÖSAND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34161-2022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44791</v>
      </c>
      <c r="E296" s="1" t="n">
        <v>46315</v>
      </c>
      <c r="F296" t="inlineStr">
        <is>
          <t>VÄSTERNORRLANDS LÄN</t>
        </is>
      </c>
      <c r="G296" t="inlineStr">
        <is>
          <t>HÄRNÖSAND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46315</v>
      </c>
      <c r="F297" t="inlineStr">
        <is>
          <t>VÄSTERNORRLANDS LÄN</t>
        </is>
      </c>
      <c r="G297" t="inlineStr">
        <is>
          <t>HÄRNÖSAND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17800-2024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45418</v>
      </c>
      <c r="E298" s="1" t="n">
        <v>46315</v>
      </c>
      <c r="F298" t="inlineStr">
        <is>
          <t>VÄSTERNORRLANDS LÄN</t>
        </is>
      </c>
      <c r="G298" t="inlineStr">
        <is>
          <t>HÄRNÖSAND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62333-2021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44502</v>
      </c>
      <c r="E299" s="1" t="n">
        <v>46315</v>
      </c>
      <c r="F299" t="inlineStr">
        <is>
          <t>VÄSTERNORRLANDS LÄN</t>
        </is>
      </c>
      <c r="G299" t="inlineStr">
        <is>
          <t>HÄRNÖSAND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34185-2023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45126</v>
      </c>
      <c r="E300" s="1" t="n">
        <v>46315</v>
      </c>
      <c r="F300" t="inlineStr">
        <is>
          <t>VÄSTERNORRLANDS LÄN</t>
        </is>
      </c>
      <c r="G300" t="inlineStr">
        <is>
          <t>HÄRNÖSAND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53107-2023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45228</v>
      </c>
      <c r="E301" s="1" t="n">
        <v>46315</v>
      </c>
      <c r="F301" t="inlineStr">
        <is>
          <t>VÄSTERNORRLANDS LÄN</t>
        </is>
      </c>
      <c r="G301" t="inlineStr">
        <is>
          <t>HÄRNÖSAND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45161</v>
      </c>
      <c r="E302" s="1" t="n">
        <v>46315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45126</v>
      </c>
      <c r="E303" s="1" t="n">
        <v>46315</v>
      </c>
      <c r="F303" t="inlineStr">
        <is>
          <t>VÄSTERNORRLANDS LÄN</t>
        </is>
      </c>
      <c r="G303" t="inlineStr">
        <is>
          <t>HÄRNÖSAND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60768-2025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46315</v>
      </c>
      <c r="F304" t="inlineStr">
        <is>
          <t>VÄSTERNORRLANDS LÄN</t>
        </is>
      </c>
      <c r="G304" t="inlineStr">
        <is>
          <t>HÄRNÖSAND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46315</v>
      </c>
      <c r="F305" t="inlineStr">
        <is>
          <t>VÄSTERNORRLANDS LÄN</t>
        </is>
      </c>
      <c r="G305" t="inlineStr">
        <is>
          <t>HÄRNÖSAND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46315</v>
      </c>
      <c r="F306" t="inlineStr">
        <is>
          <t>VÄSTERNORRLANDS LÄN</t>
        </is>
      </c>
      <c r="G306" t="inlineStr">
        <is>
          <t>HÄRNÖSAND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46168</v>
      </c>
      <c r="E307" s="1" t="n">
        <v>46315</v>
      </c>
      <c r="F307" t="inlineStr">
        <is>
          <t>VÄSTERNORRLANDS LÄN</t>
        </is>
      </c>
      <c r="G307" t="inlineStr">
        <is>
          <t>HÄRNÖSAND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46315</v>
      </c>
      <c r="F308" t="inlineStr">
        <is>
          <t>VÄSTERNORRLANDS LÄN</t>
        </is>
      </c>
      <c r="G308" t="inlineStr">
        <is>
          <t>HÄRNÖSAND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46315</v>
      </c>
      <c r="F309" t="inlineStr">
        <is>
          <t>VÄSTERNORRLANDS LÄN</t>
        </is>
      </c>
      <c r="G309" t="inlineStr">
        <is>
          <t>HÄRNÖSAND</t>
        </is>
      </c>
      <c r="I309" t="n">
        <v>12.3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46315</v>
      </c>
      <c r="F310" t="inlineStr">
        <is>
          <t>VÄSTERNORRLANDS LÄN</t>
        </is>
      </c>
      <c r="G310" t="inlineStr">
        <is>
          <t>HÄRNÖSAND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45390</v>
      </c>
      <c r="E311" s="1" t="n">
        <v>46315</v>
      </c>
      <c r="F311" t="inlineStr">
        <is>
          <t>VÄSTERNORRLANDS LÄN</t>
        </is>
      </c>
      <c r="G311" t="inlineStr">
        <is>
          <t>HÄRNÖSAND</t>
        </is>
      </c>
      <c r="I311" t="n">
        <v>14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35969-2023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45148</v>
      </c>
      <c r="E312" s="1" t="n">
        <v>46315</v>
      </c>
      <c r="F312" t="inlineStr">
        <is>
          <t>VÄSTERNORRLANDS LÄN</t>
        </is>
      </c>
      <c r="G312" t="inlineStr">
        <is>
          <t>HÄRNÖSAND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46315</v>
      </c>
      <c r="F313" t="inlineStr">
        <is>
          <t>VÄSTERNORRLANDS LÄN</t>
        </is>
      </c>
      <c r="G313" t="inlineStr">
        <is>
          <t>HÄRNÖSAND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41147-2023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45173</v>
      </c>
      <c r="E314" s="1" t="n">
        <v>46315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45342</v>
      </c>
      <c r="E315" s="1" t="n">
        <v>46315</v>
      </c>
      <c r="F315" t="inlineStr">
        <is>
          <t>VÄSTERNORRLANDS LÄN</t>
        </is>
      </c>
      <c r="G315" t="inlineStr">
        <is>
          <t>HÄRNÖSAND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46315</v>
      </c>
      <c r="F316" t="inlineStr">
        <is>
          <t>VÄSTERNORRLANDS LÄN</t>
        </is>
      </c>
      <c r="G316" t="inlineStr">
        <is>
          <t>HÄRNÖSAND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60970-2021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44496</v>
      </c>
      <c r="E317" s="1" t="n">
        <v>46315</v>
      </c>
      <c r="F317" t="inlineStr">
        <is>
          <t>VÄSTERNORRLANDS LÄN</t>
        </is>
      </c>
      <c r="G317" t="inlineStr">
        <is>
          <t>HÄRNÖSAND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21585-2026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46149</v>
      </c>
      <c r="E318" s="1" t="n">
        <v>46315</v>
      </c>
      <c r="F318" t="inlineStr">
        <is>
          <t>VÄSTERNORRLANDS LÄN</t>
        </is>
      </c>
      <c r="G318" t="inlineStr">
        <is>
          <t>HÄRNÖSAND</t>
        </is>
      </c>
      <c r="I318" t="n">
        <v>13.8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45405</v>
      </c>
      <c r="E319" s="1" t="n">
        <v>46315</v>
      </c>
      <c r="F319" t="inlineStr">
        <is>
          <t>VÄSTERNORRLANDS LÄN</t>
        </is>
      </c>
      <c r="G319" t="inlineStr">
        <is>
          <t>HÄRNÖSAND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46165</v>
      </c>
      <c r="E320" s="1" t="n">
        <v>46315</v>
      </c>
      <c r="F320" t="inlineStr">
        <is>
          <t>VÄSTERNORRLANDS LÄN</t>
        </is>
      </c>
      <c r="G320" t="inlineStr">
        <is>
          <t>HÄRNÖSAND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46315</v>
      </c>
      <c r="F321" t="inlineStr">
        <is>
          <t>VÄSTERNORRLANDS LÄN</t>
        </is>
      </c>
      <c r="G321" t="inlineStr">
        <is>
          <t>HÄRNÖSAND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64107-2025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46315</v>
      </c>
      <c r="F322" t="inlineStr">
        <is>
          <t>VÄSTERNORRLANDS LÄN</t>
        </is>
      </c>
      <c r="G322" t="inlineStr">
        <is>
          <t>HÄRNÖSAND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16866-2024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45409</v>
      </c>
      <c r="E323" s="1" t="n">
        <v>46315</v>
      </c>
      <c r="F323" t="inlineStr">
        <is>
          <t>VÄSTERNORRLANDS LÄN</t>
        </is>
      </c>
      <c r="G323" t="inlineStr">
        <is>
          <t>HÄRNÖSAND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45334</v>
      </c>
      <c r="E324" s="1" t="n">
        <v>46315</v>
      </c>
      <c r="F324" t="inlineStr">
        <is>
          <t>VÄSTERNORRLANDS LÄN</t>
        </is>
      </c>
      <c r="G324" t="inlineStr">
        <is>
          <t>HÄRNÖSAND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45910</v>
      </c>
      <c r="E325" s="1" t="n">
        <v>46315</v>
      </c>
      <c r="F325" t="inlineStr">
        <is>
          <t>VÄSTERNORRLANDS LÄN</t>
        </is>
      </c>
      <c r="G325" t="inlineStr">
        <is>
          <t>HÄRNÖSAND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24503-2026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46315</v>
      </c>
      <c r="F326" t="inlineStr">
        <is>
          <t>VÄSTERNORRLANDS LÄN</t>
        </is>
      </c>
      <c r="G326" t="inlineStr">
        <is>
          <t>HÄRNÖSAND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57236-2024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45628</v>
      </c>
      <c r="E327" s="1" t="n">
        <v>46315</v>
      </c>
      <c r="F327" t="inlineStr">
        <is>
          <t>VÄSTERNORRLANDS LÄN</t>
        </is>
      </c>
      <c r="G327" t="inlineStr">
        <is>
          <t>HÄRNÖSAND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46024</v>
      </c>
      <c r="E328" s="1" t="n">
        <v>46315</v>
      </c>
      <c r="F328" t="inlineStr">
        <is>
          <t>VÄSTERNORRLANDS LÄN</t>
        </is>
      </c>
      <c r="G328" t="inlineStr">
        <is>
          <t>HÄRNÖSAND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46024</v>
      </c>
      <c r="E329" s="1" t="n">
        <v>46315</v>
      </c>
      <c r="F329" t="inlineStr">
        <is>
          <t>VÄSTERNORRLANDS LÄN</t>
        </is>
      </c>
      <c r="G329" t="inlineStr">
        <is>
          <t>HÄRNÖSAND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46023</v>
      </c>
      <c r="E330" s="1" t="n">
        <v>46315</v>
      </c>
      <c r="F330" t="inlineStr">
        <is>
          <t>VÄSTERNORRLANDS LÄN</t>
        </is>
      </c>
      <c r="G330" t="inlineStr">
        <is>
          <t>HÄRNÖSAND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46024</v>
      </c>
      <c r="E331" s="1" t="n">
        <v>46315</v>
      </c>
      <c r="F331" t="inlineStr">
        <is>
          <t>VÄSTERNORRLANDS LÄN</t>
        </is>
      </c>
      <c r="G331" t="inlineStr">
        <is>
          <t>HÄRNÖSAND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46023</v>
      </c>
      <c r="E332" s="1" t="n">
        <v>46315</v>
      </c>
      <c r="F332" t="inlineStr">
        <is>
          <t>VÄSTERNORRLANDS LÄN</t>
        </is>
      </c>
      <c r="G332" t="inlineStr">
        <is>
          <t>HÄRNÖSAND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46024</v>
      </c>
      <c r="E333" s="1" t="n">
        <v>46315</v>
      </c>
      <c r="F333" t="inlineStr">
        <is>
          <t>VÄSTERNORRLANDS LÄN</t>
        </is>
      </c>
      <c r="G333" t="inlineStr">
        <is>
          <t>HÄRNÖSAND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46175</v>
      </c>
      <c r="E334" s="1" t="n">
        <v>46315</v>
      </c>
      <c r="F334" t="inlineStr">
        <is>
          <t>VÄSTERNORRLANDS LÄN</t>
        </is>
      </c>
      <c r="G334" t="inlineStr">
        <is>
          <t>HÄRNÖSAND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25254-2026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46175</v>
      </c>
      <c r="E335" s="1" t="n">
        <v>46315</v>
      </c>
      <c r="F335" t="inlineStr">
        <is>
          <t>VÄSTERNORRLANDS LÄN</t>
        </is>
      </c>
      <c r="G335" t="inlineStr">
        <is>
          <t>HÄRNÖSAND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46315</v>
      </c>
      <c r="F336" t="inlineStr">
        <is>
          <t>VÄSTERNORRLANDS LÄN</t>
        </is>
      </c>
      <c r="G336" t="inlineStr">
        <is>
          <t>HÄRNÖSAND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46026</v>
      </c>
      <c r="E337" s="1" t="n">
        <v>46315</v>
      </c>
      <c r="F337" t="inlineStr">
        <is>
          <t>VÄSTERNORRLANDS LÄN</t>
        </is>
      </c>
      <c r="G337" t="inlineStr">
        <is>
          <t>HÄRNÖSAND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46029</v>
      </c>
      <c r="E338" s="1" t="n">
        <v>46315</v>
      </c>
      <c r="F338" t="inlineStr">
        <is>
          <t>VÄSTERNORRLANDS LÄN</t>
        </is>
      </c>
      <c r="G338" t="inlineStr">
        <is>
          <t>HÄRNÖSAND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46029</v>
      </c>
      <c r="E339" s="1" t="n">
        <v>46315</v>
      </c>
      <c r="F339" t="inlineStr">
        <is>
          <t>VÄSTERNORRLANDS LÄN</t>
        </is>
      </c>
      <c r="G339" t="inlineStr">
        <is>
          <t>HÄRNÖSAND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46315</v>
      </c>
      <c r="F340" t="inlineStr">
        <is>
          <t>VÄSTERNORRLANDS LÄN</t>
        </is>
      </c>
      <c r="G340" t="inlineStr">
        <is>
          <t>HÄRNÖSAND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46315</v>
      </c>
      <c r="F341" t="inlineStr">
        <is>
          <t>VÄSTERNORRLANDS LÄN</t>
        </is>
      </c>
      <c r="G341" t="inlineStr">
        <is>
          <t>HÄRNÖSAND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46315</v>
      </c>
      <c r="F342" t="inlineStr">
        <is>
          <t>VÄSTERNORRLANDS LÄN</t>
        </is>
      </c>
      <c r="G342" t="inlineStr">
        <is>
          <t>HÄRNÖSAND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46030</v>
      </c>
      <c r="E343" s="1" t="n">
        <v>46315</v>
      </c>
      <c r="F343" t="inlineStr">
        <is>
          <t>VÄSTERNORRLANDS LÄN</t>
        </is>
      </c>
      <c r="G343" t="inlineStr">
        <is>
          <t>HÄRNÖSAND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12750-2022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44641</v>
      </c>
      <c r="E344" s="1" t="n">
        <v>46315</v>
      </c>
      <c r="F344" t="inlineStr">
        <is>
          <t>VÄSTERNORRLANDS LÄN</t>
        </is>
      </c>
      <c r="G344" t="inlineStr">
        <is>
          <t>HÄRNÖSAND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46315</v>
      </c>
      <c r="F345" t="inlineStr">
        <is>
          <t>VÄSTERNORRLANDS LÄN</t>
        </is>
      </c>
      <c r="G345" t="inlineStr">
        <is>
          <t>HÄRNÖSAND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40237-2023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46315</v>
      </c>
      <c r="F346" t="inlineStr">
        <is>
          <t>VÄSTERNORRLANDS LÄN</t>
        </is>
      </c>
      <c r="G346" t="inlineStr">
        <is>
          <t>HÄRNÖSAND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45512</v>
      </c>
      <c r="E347" s="1" t="n">
        <v>46315</v>
      </c>
      <c r="F347" t="inlineStr">
        <is>
          <t>VÄSTERNORRLANDS LÄN</t>
        </is>
      </c>
      <c r="G347" t="inlineStr">
        <is>
          <t>HÄRNÖSAND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59715-2024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45639</v>
      </c>
      <c r="E348" s="1" t="n">
        <v>46315</v>
      </c>
      <c r="F348" t="inlineStr">
        <is>
          <t>VÄSTERNORRLANDS LÄN</t>
        </is>
      </c>
      <c r="G348" t="inlineStr">
        <is>
          <t>HÄRNÖSAND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46315</v>
      </c>
      <c r="F349" t="inlineStr">
        <is>
          <t>VÄSTERNORRLANDS LÄN</t>
        </is>
      </c>
      <c r="G349" t="inlineStr">
        <is>
          <t>HÄRNÖSAND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24943-2026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46315</v>
      </c>
      <c r="F350" t="inlineStr">
        <is>
          <t>VÄSTERNORRLANDS LÄN</t>
        </is>
      </c>
      <c r="G350" t="inlineStr">
        <is>
          <t>HÄRNÖSAND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45147</v>
      </c>
      <c r="E351" s="1" t="n">
        <v>46315</v>
      </c>
      <c r="F351" t="inlineStr">
        <is>
          <t>VÄSTERNORRLANDS LÄN</t>
        </is>
      </c>
      <c r="G351" t="inlineStr">
        <is>
          <t>HÄRNÖSAND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46315</v>
      </c>
      <c r="F352" t="inlineStr">
        <is>
          <t>VÄSTERNORRLANDS LÄN</t>
        </is>
      </c>
      <c r="G352" t="inlineStr">
        <is>
          <t>HÄRNÖSAND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46315</v>
      </c>
      <c r="F353" t="inlineStr">
        <is>
          <t>VÄSTERNORRLANDS LÄN</t>
        </is>
      </c>
      <c r="G353" t="inlineStr">
        <is>
          <t>HÄRNÖSAND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46177</v>
      </c>
      <c r="E354" s="1" t="n">
        <v>46315</v>
      </c>
      <c r="F354" t="inlineStr">
        <is>
          <t>VÄSTERNORRLANDS LÄN</t>
        </is>
      </c>
      <c r="G354" t="inlineStr">
        <is>
          <t>HÄRNÖSAND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46038</v>
      </c>
      <c r="E355" s="1" t="n">
        <v>46315</v>
      </c>
      <c r="F355" t="inlineStr">
        <is>
          <t>VÄSTERNORRLANDS LÄN</t>
        </is>
      </c>
      <c r="G355" t="inlineStr">
        <is>
          <t>HÄRNÖSAND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46315</v>
      </c>
      <c r="F356" t="inlineStr">
        <is>
          <t>VÄSTERNORRLANDS LÄN</t>
        </is>
      </c>
      <c r="G356" t="inlineStr">
        <is>
          <t>HÄRNÖSAND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49346-2024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45595</v>
      </c>
      <c r="E357" s="1" t="n">
        <v>46315</v>
      </c>
      <c r="F357" t="inlineStr">
        <is>
          <t>VÄSTERNORRLANDS LÄN</t>
        </is>
      </c>
      <c r="G357" t="inlineStr">
        <is>
          <t>HÄRNÖSAND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49364-2024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45595</v>
      </c>
      <c r="E358" s="1" t="n">
        <v>46315</v>
      </c>
      <c r="F358" t="inlineStr">
        <is>
          <t>VÄSTERNORRLANDS LÄN</t>
        </is>
      </c>
      <c r="G358" t="inlineStr">
        <is>
          <t>HÄRNÖSAND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46315</v>
      </c>
      <c r="F359" t="inlineStr">
        <is>
          <t>VÄSTERNORRLANDS LÄN</t>
        </is>
      </c>
      <c r="G359" t="inlineStr">
        <is>
          <t>HÄRNÖSAND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54091-2024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45616</v>
      </c>
      <c r="E360" s="1" t="n">
        <v>46315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25452-2026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46315</v>
      </c>
      <c r="F361" t="inlineStr">
        <is>
          <t>VÄSTERNORRLANDS LÄN</t>
        </is>
      </c>
      <c r="G361" t="inlineStr">
        <is>
          <t>HÄRNÖSAND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25466-2026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46177</v>
      </c>
      <c r="E362" s="1" t="n">
        <v>46315</v>
      </c>
      <c r="F362" t="inlineStr">
        <is>
          <t>VÄSTERNORRLANDS LÄN</t>
        </is>
      </c>
      <c r="G362" t="inlineStr">
        <is>
          <t>HÄRNÖSAND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16979-2022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44676</v>
      </c>
      <c r="E363" s="1" t="n">
        <v>46315</v>
      </c>
      <c r="F363" t="inlineStr">
        <is>
          <t>VÄSTERNORRLANDS LÄN</t>
        </is>
      </c>
      <c r="G363" t="inlineStr">
        <is>
          <t>HÄRNÖSAND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25444-2026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46315</v>
      </c>
      <c r="F364" t="inlineStr">
        <is>
          <t>VÄSTERNORRLANDS LÄN</t>
        </is>
      </c>
      <c r="G364" t="inlineStr">
        <is>
          <t>HÄRNÖSAND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46315</v>
      </c>
      <c r="F365" t="inlineStr">
        <is>
          <t>VÄSTERNORRLANDS LÄN</t>
        </is>
      </c>
      <c r="G365" t="inlineStr">
        <is>
          <t>HÄRNÖSAND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46178</v>
      </c>
      <c r="E366" s="1" t="n">
        <v>46315</v>
      </c>
      <c r="F366" t="inlineStr">
        <is>
          <t>VÄSTERNORRLANDS LÄN</t>
        </is>
      </c>
      <c r="G366" t="inlineStr">
        <is>
          <t>HÄRNÖSAND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19827-2022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44694</v>
      </c>
      <c r="E367" s="1" t="n">
        <v>46315</v>
      </c>
      <c r="F367" t="inlineStr">
        <is>
          <t>VÄSTERNORRLANDS LÄN</t>
        </is>
      </c>
      <c r="G367" t="inlineStr">
        <is>
          <t>HÄRNÖSAND</t>
        </is>
      </c>
      <c r="H367" t="inlineStr">
        <is>
          <t>SCA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46052</v>
      </c>
      <c r="E368" s="1" t="n">
        <v>46315</v>
      </c>
      <c r="F368" t="inlineStr">
        <is>
          <t>VÄSTERNORRLANDS LÄN</t>
        </is>
      </c>
      <c r="G368" t="inlineStr">
        <is>
          <t>HÄRNÖSAND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46315</v>
      </c>
      <c r="F369" t="inlineStr">
        <is>
          <t>VÄSTERNORRLANDS LÄN</t>
        </is>
      </c>
      <c r="G369" t="inlineStr">
        <is>
          <t>HÄRNÖSAND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54560-2024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46315</v>
      </c>
      <c r="F370" t="inlineStr">
        <is>
          <t>VÄSTERNORRLANDS LÄN</t>
        </is>
      </c>
      <c r="G370" t="inlineStr">
        <is>
          <t>HÄRNÖSAND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46052</v>
      </c>
      <c r="E371" s="1" t="n">
        <v>46315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SCA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18348-2025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45762</v>
      </c>
      <c r="E372" s="1" t="n">
        <v>46315</v>
      </c>
      <c r="F372" t="inlineStr">
        <is>
          <t>VÄSTERNORRLANDS LÄN</t>
        </is>
      </c>
      <c r="G372" t="inlineStr">
        <is>
          <t>HÄRNÖSAND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25974-2026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46315</v>
      </c>
      <c r="F373" t="inlineStr">
        <is>
          <t>VÄSTERNORRLANDS LÄN</t>
        </is>
      </c>
      <c r="G373" t="inlineStr">
        <is>
          <t>HÄRNÖSAND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25908-2026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46178</v>
      </c>
      <c r="E374" s="1" t="n">
        <v>46315</v>
      </c>
      <c r="F374" t="inlineStr">
        <is>
          <t>VÄSTERNORRLANDS LÄN</t>
        </is>
      </c>
      <c r="G374" t="inlineStr">
        <is>
          <t>HÄRNÖSAND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46315</v>
      </c>
      <c r="F375" t="inlineStr">
        <is>
          <t>VÄSTERNORRLANDS LÄN</t>
        </is>
      </c>
      <c r="G375" t="inlineStr">
        <is>
          <t>HÄRNÖSAND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9727-2022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44617</v>
      </c>
      <c r="E376" s="1" t="n">
        <v>46315</v>
      </c>
      <c r="F376" t="inlineStr">
        <is>
          <t>VÄSTERNORRLANDS LÄN</t>
        </is>
      </c>
      <c r="G376" t="inlineStr">
        <is>
          <t>HÄRNÖSAND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6646-2026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46315</v>
      </c>
      <c r="F377" t="inlineStr">
        <is>
          <t>VÄSTERNORRLANDS LÄN</t>
        </is>
      </c>
      <c r="G377" t="inlineStr">
        <is>
          <t>HÄRNÖSAND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19122-2024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45428</v>
      </c>
      <c r="E378" s="1" t="n">
        <v>46315</v>
      </c>
      <c r="F378" t="inlineStr">
        <is>
          <t>VÄSTERNORRLANDS LÄN</t>
        </is>
      </c>
      <c r="G378" t="inlineStr">
        <is>
          <t>HÄRNÖSAND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45163</v>
      </c>
      <c r="E379" s="1" t="n">
        <v>46315</v>
      </c>
      <c r="F379" t="inlineStr">
        <is>
          <t>VÄSTERNORRLANDS LÄN</t>
        </is>
      </c>
      <c r="G379" t="inlineStr">
        <is>
          <t>HÄRNÖSAND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45152</v>
      </c>
      <c r="E380" s="1" t="n">
        <v>46315</v>
      </c>
      <c r="F380" t="inlineStr">
        <is>
          <t>VÄSTERNORRLANDS LÄN</t>
        </is>
      </c>
      <c r="G380" t="inlineStr">
        <is>
          <t>HÄRNÖSAND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49261-2022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44858</v>
      </c>
      <c r="E381" s="1" t="n">
        <v>46315</v>
      </c>
      <c r="F381" t="inlineStr">
        <is>
          <t>VÄSTERNORRLANDS LÄN</t>
        </is>
      </c>
      <c r="G381" t="inlineStr">
        <is>
          <t>HÄRNÖSAND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46063</v>
      </c>
      <c r="E382" s="1" t="n">
        <v>46315</v>
      </c>
      <c r="F382" t="inlineStr">
        <is>
          <t>VÄSTERNORRLANDS LÄN</t>
        </is>
      </c>
      <c r="G382" t="inlineStr">
        <is>
          <t>HÄRNÖSAND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45163</v>
      </c>
      <c r="E383" s="1" t="n">
        <v>46315</v>
      </c>
      <c r="F383" t="inlineStr">
        <is>
          <t>VÄSTERNORRLANDS LÄN</t>
        </is>
      </c>
      <c r="G383" t="inlineStr">
        <is>
          <t>HÄRNÖSAND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46065</v>
      </c>
      <c r="E384" s="1" t="n">
        <v>46315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Kyrkan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46065</v>
      </c>
      <c r="E385" s="1" t="n">
        <v>46315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Kyrkan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46065</v>
      </c>
      <c r="E386" s="1" t="n">
        <v>46315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Kyrkan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21471-2022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44706</v>
      </c>
      <c r="E387" s="1" t="n">
        <v>46315</v>
      </c>
      <c r="F387" t="inlineStr">
        <is>
          <t>VÄSTERNORRLANDS LÄN</t>
        </is>
      </c>
      <c r="G387" t="inlineStr">
        <is>
          <t>HÄRNÖSAND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26256-2026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46182</v>
      </c>
      <c r="E388" s="1" t="n">
        <v>46315</v>
      </c>
      <c r="F388" t="inlineStr">
        <is>
          <t>VÄSTERNORRLANDS LÄN</t>
        </is>
      </c>
      <c r="G388" t="inlineStr">
        <is>
          <t>HÄRNÖSAND</t>
        </is>
      </c>
      <c r="I388" t="n">
        <v>7.5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24813-2022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44728</v>
      </c>
      <c r="E389" s="1" t="n">
        <v>46315</v>
      </c>
      <c r="F389" t="inlineStr">
        <is>
          <t>VÄSTERNORRLANDS LÄN</t>
        </is>
      </c>
      <c r="G389" t="inlineStr">
        <is>
          <t>HÄRNÖSAND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46315</v>
      </c>
      <c r="F390" t="inlineStr">
        <is>
          <t>VÄSTERNORRLANDS LÄN</t>
        </is>
      </c>
      <c r="G390" t="inlineStr">
        <is>
          <t>HÄRNÖSAND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46065</v>
      </c>
      <c r="E391" s="1" t="n">
        <v>46315</v>
      </c>
      <c r="F391" t="inlineStr">
        <is>
          <t>VÄSTERNORRLANDS LÄN</t>
        </is>
      </c>
      <c r="G391" t="inlineStr">
        <is>
          <t>HÄRNÖSAND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46184</v>
      </c>
      <c r="E392" s="1" t="n">
        <v>46315</v>
      </c>
      <c r="F392" t="inlineStr">
        <is>
          <t>VÄSTERNORRLANDS LÄN</t>
        </is>
      </c>
      <c r="G392" t="inlineStr">
        <is>
          <t>HÄRNÖSAND</t>
        </is>
      </c>
      <c r="I392" t="n">
        <v>9.1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46070</v>
      </c>
      <c r="E393" s="1" t="n">
        <v>46315</v>
      </c>
      <c r="F393" t="inlineStr">
        <is>
          <t>VÄSTERNORRLANDS LÄN</t>
        </is>
      </c>
      <c r="G393" t="inlineStr">
        <is>
          <t>HÄRNÖSAND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46072</v>
      </c>
      <c r="E394" s="1" t="n">
        <v>46315</v>
      </c>
      <c r="F394" t="inlineStr">
        <is>
          <t>VÄSTERNORRLANDS LÄN</t>
        </is>
      </c>
      <c r="G394" t="inlineStr">
        <is>
          <t>HÄRNÖSAND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46071</v>
      </c>
      <c r="E395" s="1" t="n">
        <v>46315</v>
      </c>
      <c r="F395" t="inlineStr">
        <is>
          <t>VÄSTERNORRLANDS LÄN</t>
        </is>
      </c>
      <c r="G395" t="inlineStr">
        <is>
          <t>HÄRNÖSAND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46315</v>
      </c>
      <c r="F396" t="inlineStr">
        <is>
          <t>VÄSTERNORRLANDS LÄN</t>
        </is>
      </c>
      <c r="G396" t="inlineStr">
        <is>
          <t>HÄRNÖSAND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46315</v>
      </c>
      <c r="F397" t="inlineStr">
        <is>
          <t>VÄSTERNORRLANDS LÄN</t>
        </is>
      </c>
      <c r="G397" t="inlineStr">
        <is>
          <t>HÄRNÖSAND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42646-2023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45181</v>
      </c>
      <c r="E398" s="1" t="n">
        <v>46315</v>
      </c>
      <c r="F398" t="inlineStr">
        <is>
          <t>VÄSTERNORRLANDS LÄN</t>
        </is>
      </c>
      <c r="G398" t="inlineStr">
        <is>
          <t>HÄRNÖSAND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46077</v>
      </c>
      <c r="E399" s="1" t="n">
        <v>46315</v>
      </c>
      <c r="F399" t="inlineStr">
        <is>
          <t>VÄSTERNORRLANDS LÄN</t>
        </is>
      </c>
      <c r="G399" t="inlineStr">
        <is>
          <t>HÄRNÖSAND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25007-2022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44728</v>
      </c>
      <c r="E400" s="1" t="n">
        <v>46315</v>
      </c>
      <c r="F400" t="inlineStr">
        <is>
          <t>VÄSTERNORRLANDS LÄN</t>
        </is>
      </c>
      <c r="G400" t="inlineStr">
        <is>
          <t>HÄRNÖSAND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45735-2023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46315</v>
      </c>
      <c r="F401" t="inlineStr">
        <is>
          <t>VÄSTERNORRLANDS LÄN</t>
        </is>
      </c>
      <c r="G401" t="inlineStr">
        <is>
          <t>HÄRNÖSAND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11202-2026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46080</v>
      </c>
      <c r="E402" s="1" t="n">
        <v>46315</v>
      </c>
      <c r="F402" t="inlineStr">
        <is>
          <t>VÄSTERNORRLANDS LÄN</t>
        </is>
      </c>
      <c r="G402" t="inlineStr">
        <is>
          <t>HÄRNÖSAND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45699</v>
      </c>
      <c r="E403" s="1" t="n">
        <v>46315</v>
      </c>
      <c r="F403" t="inlineStr">
        <is>
          <t>VÄSTERNORRLANDS LÄN</t>
        </is>
      </c>
      <c r="G403" t="inlineStr">
        <is>
          <t>HÄRNÖSAND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46085</v>
      </c>
      <c r="E404" s="1" t="n">
        <v>46315</v>
      </c>
      <c r="F404" t="inlineStr">
        <is>
          <t>VÄSTERNORRLANDS LÄN</t>
        </is>
      </c>
      <c r="G404" t="inlineStr">
        <is>
          <t>HÄRNÖSAND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40232-2023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45168</v>
      </c>
      <c r="E405" s="1" t="n">
        <v>46315</v>
      </c>
      <c r="F405" t="inlineStr">
        <is>
          <t>VÄSTERNORRLANDS LÄN</t>
        </is>
      </c>
      <c r="G405" t="inlineStr">
        <is>
          <t>HÄRNÖSAND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46315</v>
      </c>
      <c r="F406" t="inlineStr">
        <is>
          <t>VÄSTERNORRLANDS LÄN</t>
        </is>
      </c>
      <c r="G406" t="inlineStr">
        <is>
          <t>HÄRNÖSAND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8375-2026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46064</v>
      </c>
      <c r="E407" s="1" t="n">
        <v>46315</v>
      </c>
      <c r="F407" t="inlineStr">
        <is>
          <t>VÄSTERNORRLANDS LÄN</t>
        </is>
      </c>
      <c r="G407" t="inlineStr">
        <is>
          <t>HÄRNÖSAND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12340-2026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46087</v>
      </c>
      <c r="E408" s="1" t="n">
        <v>46315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Övriga statliga verk och myndigheter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25745-2025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45800</v>
      </c>
      <c r="E409" s="1" t="n">
        <v>46315</v>
      </c>
      <c r="F409" t="inlineStr">
        <is>
          <t>VÄSTERNORRLANDS LÄN</t>
        </is>
      </c>
      <c r="G409" t="inlineStr">
        <is>
          <t>HÄRNÖSAND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27162-2026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46315</v>
      </c>
      <c r="F410" t="inlineStr">
        <is>
          <t>VÄSTERNORRLANDS LÄN</t>
        </is>
      </c>
      <c r="G410" t="inlineStr">
        <is>
          <t>HÄRNÖSAND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12650-2026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46091</v>
      </c>
      <c r="E411" s="1" t="n">
        <v>46315</v>
      </c>
      <c r="F411" t="inlineStr">
        <is>
          <t>VÄSTERNORRLANDS LÄN</t>
        </is>
      </c>
      <c r="G411" t="inlineStr">
        <is>
          <t>HÄRNÖSAND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27458-2026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46189</v>
      </c>
      <c r="E412" s="1" t="n">
        <v>46315</v>
      </c>
      <c r="F412" t="inlineStr">
        <is>
          <t>VÄSTERNORRLANDS LÄN</t>
        </is>
      </c>
      <c r="G412" t="inlineStr">
        <is>
          <t>HÄRNÖSAND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27421-2026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46315</v>
      </c>
      <c r="F413" t="inlineStr">
        <is>
          <t>VÄSTERNORRLANDS LÄN</t>
        </is>
      </c>
      <c r="G413" t="inlineStr">
        <is>
          <t>HÄRNÖSAND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46315</v>
      </c>
      <c r="F414" t="inlineStr">
        <is>
          <t>VÄSTERNORRLANDS LÄN</t>
        </is>
      </c>
      <c r="G414" t="inlineStr">
        <is>
          <t>HÄRNÖSAND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12630-2026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46091</v>
      </c>
      <c r="E415" s="1" t="n">
        <v>46315</v>
      </c>
      <c r="F415" t="inlineStr">
        <is>
          <t>VÄSTERNORRLANDS LÄN</t>
        </is>
      </c>
      <c r="G415" t="inlineStr">
        <is>
          <t>HÄRNÖSAND</t>
        </is>
      </c>
      <c r="I415" t="n">
        <v>9.9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46091</v>
      </c>
      <c r="E416" s="1" t="n">
        <v>46315</v>
      </c>
      <c r="F416" t="inlineStr">
        <is>
          <t>VÄSTERNORRLANDS LÄN</t>
        </is>
      </c>
      <c r="G416" t="inlineStr">
        <is>
          <t>HÄRNÖSAND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12613-2026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46091</v>
      </c>
      <c r="E417" s="1" t="n">
        <v>46315</v>
      </c>
      <c r="F417" t="inlineStr">
        <is>
          <t>VÄSTERNORRLANDS LÄN</t>
        </is>
      </c>
      <c r="G417" t="inlineStr">
        <is>
          <t>HÄRNÖSAND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46091</v>
      </c>
      <c r="E418" s="1" t="n">
        <v>46315</v>
      </c>
      <c r="F418" t="inlineStr">
        <is>
          <t>VÄSTERNORRLANDS LÄN</t>
        </is>
      </c>
      <c r="G418" t="inlineStr">
        <is>
          <t>HÄRNÖSAND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27461-2026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46315</v>
      </c>
      <c r="F419" t="inlineStr">
        <is>
          <t>VÄSTERNORRLANDS LÄN</t>
        </is>
      </c>
      <c r="G419" t="inlineStr">
        <is>
          <t>HÄRNÖSAND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24452-2022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44726</v>
      </c>
      <c r="E420" s="1" t="n">
        <v>46315</v>
      </c>
      <c r="F420" t="inlineStr">
        <is>
          <t>VÄSTERNORRLANDS LÄN</t>
        </is>
      </c>
      <c r="G420" t="inlineStr">
        <is>
          <t>HÄRNÖSAND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11078-2025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45723</v>
      </c>
      <c r="E421" s="1" t="n">
        <v>46315</v>
      </c>
      <c r="F421" t="inlineStr">
        <is>
          <t>VÄSTERNORRLANDS LÄN</t>
        </is>
      </c>
      <c r="G421" t="inlineStr">
        <is>
          <t>HÄRNÖSAND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27922-2026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46315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39498-2023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46315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46315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7.1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46315</v>
      </c>
      <c r="F425" t="inlineStr">
        <is>
          <t>VÄSTERNORRLANDS LÄN</t>
        </is>
      </c>
      <c r="G425" t="inlineStr">
        <is>
          <t>HÄRNÖSAND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46315</v>
      </c>
      <c r="F426" t="inlineStr">
        <is>
          <t>VÄSTERNORRLANDS LÄN</t>
        </is>
      </c>
      <c r="G426" t="inlineStr">
        <is>
          <t>HÄRNÖSAND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45251</v>
      </c>
      <c r="E427" s="1" t="n">
        <v>46315</v>
      </c>
      <c r="F427" t="inlineStr">
        <is>
          <t>VÄSTERNORRLANDS LÄN</t>
        </is>
      </c>
      <c r="G427" t="inlineStr">
        <is>
          <t>HÄRNÖSAND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46315</v>
      </c>
      <c r="F428" t="inlineStr">
        <is>
          <t>VÄSTERNORRLANDS LÄN</t>
        </is>
      </c>
      <c r="G428" t="inlineStr">
        <is>
          <t>HÄRNÖSAND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46315</v>
      </c>
      <c r="F429" t="inlineStr">
        <is>
          <t>VÄSTERNORRLANDS LÄN</t>
        </is>
      </c>
      <c r="G429" t="inlineStr">
        <is>
          <t>HÄRNÖSAND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46315</v>
      </c>
      <c r="F430" t="inlineStr">
        <is>
          <t>VÄSTERNORRLANDS LÄN</t>
        </is>
      </c>
      <c r="G430" t="inlineStr">
        <is>
          <t>HÄRNÖSAND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45350</v>
      </c>
      <c r="E431" s="1" t="n">
        <v>46315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45293</v>
      </c>
      <c r="E432" s="1" t="n">
        <v>46315</v>
      </c>
      <c r="F432" t="inlineStr">
        <is>
          <t>VÄSTERNORRLANDS LÄN</t>
        </is>
      </c>
      <c r="G432" t="inlineStr">
        <is>
          <t>HÄRNÖSAND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45320</v>
      </c>
      <c r="E433" s="1" t="n">
        <v>46315</v>
      </c>
      <c r="F433" t="inlineStr">
        <is>
          <t>VÄSTERNORRLANDS LÄN</t>
        </is>
      </c>
      <c r="G433" t="inlineStr">
        <is>
          <t>HÄRNÖSAND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28004-2026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46315</v>
      </c>
      <c r="F434" t="inlineStr">
        <is>
          <t>VÄSTERNORRLANDS LÄN</t>
        </is>
      </c>
      <c r="G434" t="inlineStr">
        <is>
          <t>HÄRNÖSAND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46195</v>
      </c>
      <c r="E435" s="1" t="n">
        <v>46315</v>
      </c>
      <c r="F435" t="inlineStr">
        <is>
          <t>VÄSTERNORRLANDS LÄN</t>
        </is>
      </c>
      <c r="G435" t="inlineStr">
        <is>
          <t>HÄRNÖSAND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46315</v>
      </c>
      <c r="F436" t="inlineStr">
        <is>
          <t>VÄSTERNORRLANDS LÄN</t>
        </is>
      </c>
      <c r="G436" t="inlineStr">
        <is>
          <t>HÄRNÖSAND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14665-2026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46101</v>
      </c>
      <c r="E437" s="1" t="n">
        <v>46315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16.2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55276-2023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45231</v>
      </c>
      <c r="E438" s="1" t="n">
        <v>46315</v>
      </c>
      <c r="F438" t="inlineStr">
        <is>
          <t>VÄSTERNORRLANDS LÄN</t>
        </is>
      </c>
      <c r="G438" t="inlineStr">
        <is>
          <t>HÄRNÖSAND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14936-2026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46315</v>
      </c>
      <c r="F439" t="inlineStr">
        <is>
          <t>VÄSTERNORRLANDS LÄN</t>
        </is>
      </c>
      <c r="G439" t="inlineStr">
        <is>
          <t>HÄRNÖSAND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28319-2022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44747</v>
      </c>
      <c r="E440" s="1" t="n">
        <v>46315</v>
      </c>
      <c r="F440" t="inlineStr">
        <is>
          <t>VÄSTERNORRLANDS LÄN</t>
        </is>
      </c>
      <c r="G440" t="inlineStr">
        <is>
          <t>HÄRNÖSAND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46315</v>
      </c>
      <c r="F441" t="inlineStr">
        <is>
          <t>VÄSTERNORRLANDS LÄN</t>
        </is>
      </c>
      <c r="G441" t="inlineStr">
        <is>
          <t>HÄRNÖSAND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46315</v>
      </c>
      <c r="F442" t="inlineStr">
        <is>
          <t>VÄSTERNORRLANDS LÄN</t>
        </is>
      </c>
      <c r="G442" t="inlineStr">
        <is>
          <t>HÄRNÖSAND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46315</v>
      </c>
      <c r="F443" t="inlineStr">
        <is>
          <t>VÄSTERNORRLANDS LÄN</t>
        </is>
      </c>
      <c r="G443" t="inlineStr">
        <is>
          <t>HÄRNÖSAND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15137-2026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46315</v>
      </c>
      <c r="F444" t="inlineStr">
        <is>
          <t>VÄSTERNORRLANDS LÄN</t>
        </is>
      </c>
      <c r="G444" t="inlineStr">
        <is>
          <t>HÄRNÖSAND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23547-2023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45072</v>
      </c>
      <c r="E445" s="1" t="n">
        <v>46315</v>
      </c>
      <c r="F445" t="inlineStr">
        <is>
          <t>VÄSTERNORRLANDS LÄN</t>
        </is>
      </c>
      <c r="G445" t="inlineStr">
        <is>
          <t>HÄRNÖSAND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46315</v>
      </c>
      <c r="F446" t="inlineStr">
        <is>
          <t>VÄSTERNORRLANDS LÄN</t>
        </is>
      </c>
      <c r="G446" t="inlineStr">
        <is>
          <t>HÄRNÖSAND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2492-2024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45313</v>
      </c>
      <c r="E447" s="1" t="n">
        <v>46315</v>
      </c>
      <c r="F447" t="inlineStr">
        <is>
          <t>VÄSTERNORRLANDS LÄN</t>
        </is>
      </c>
      <c r="G447" t="inlineStr">
        <is>
          <t>HÄRNÖSAND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10549-2024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45366</v>
      </c>
      <c r="E448" s="1" t="n">
        <v>46315</v>
      </c>
      <c r="F448" t="inlineStr">
        <is>
          <t>VÄSTERNORRLANDS LÄN</t>
        </is>
      </c>
      <c r="G448" t="inlineStr">
        <is>
          <t>HÄRNÖSAND</t>
        </is>
      </c>
      <c r="I448" t="n">
        <v>8.4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15921-2026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46315</v>
      </c>
      <c r="F449" t="inlineStr">
        <is>
          <t>VÄSTERNORRLANDS LÄN</t>
        </is>
      </c>
      <c r="G449" t="inlineStr">
        <is>
          <t>HÄRNÖSAND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15930-2026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46315</v>
      </c>
      <c r="F450" t="inlineStr">
        <is>
          <t>VÄSTERNORRLANDS LÄN</t>
        </is>
      </c>
      <c r="G450" t="inlineStr">
        <is>
          <t>HÄRNÖSAND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46315</v>
      </c>
      <c r="F451" t="inlineStr">
        <is>
          <t>VÄSTERNORRLANDS LÄN</t>
        </is>
      </c>
      <c r="G451" t="inlineStr">
        <is>
          <t>HÄRNÖSAND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47944-2022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44853</v>
      </c>
      <c r="E452" s="1" t="n">
        <v>46315</v>
      </c>
      <c r="F452" t="inlineStr">
        <is>
          <t>VÄSTERNORRLANDS LÄN</t>
        </is>
      </c>
      <c r="G452" t="inlineStr">
        <is>
          <t>HÄRNÖSAND</t>
        </is>
      </c>
      <c r="I452" t="n">
        <v>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46113</v>
      </c>
      <c r="E453" s="1" t="n">
        <v>46315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46315</v>
      </c>
      <c r="F454" t="inlineStr">
        <is>
          <t>VÄSTERNORRLANDS LÄN</t>
        </is>
      </c>
      <c r="G454" t="inlineStr">
        <is>
          <t>HÄRNÖSAND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45757</v>
      </c>
      <c r="E455" s="1" t="n">
        <v>46315</v>
      </c>
      <c r="F455" t="inlineStr">
        <is>
          <t>VÄSTERNORRLANDS LÄN</t>
        </is>
      </c>
      <c r="G455" t="inlineStr">
        <is>
          <t>HÄRNÖSAND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34513-2022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44792</v>
      </c>
      <c r="E456" s="1" t="n">
        <v>46315</v>
      </c>
      <c r="F456" t="inlineStr">
        <is>
          <t>VÄSTERNORRLANDS LÄN</t>
        </is>
      </c>
      <c r="G456" t="inlineStr">
        <is>
          <t>HÄRNÖSAND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17661-2026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46315</v>
      </c>
      <c r="F457" t="inlineStr">
        <is>
          <t>VÄSTERNORRLANDS LÄN</t>
        </is>
      </c>
      <c r="G457" t="inlineStr">
        <is>
          <t>HÄRNÖSAND</t>
        </is>
      </c>
      <c r="I457" t="n">
        <v>10.8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12675-2025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45733</v>
      </c>
      <c r="E458" s="1" t="n">
        <v>46315</v>
      </c>
      <c r="F458" t="inlineStr">
        <is>
          <t>VÄSTERNORRLANDS LÄN</t>
        </is>
      </c>
      <c r="G458" t="inlineStr">
        <is>
          <t>HÄRNÖSAND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30710-2024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45496</v>
      </c>
      <c r="E459" s="1" t="n">
        <v>46315</v>
      </c>
      <c r="F459" t="inlineStr">
        <is>
          <t>VÄSTERNORRLANDS LÄN</t>
        </is>
      </c>
      <c r="G459" t="inlineStr">
        <is>
          <t>HÄRNÖSAND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45352</v>
      </c>
      <c r="E460" s="1" t="n">
        <v>46315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26976-2023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45091</v>
      </c>
      <c r="E461" s="1" t="n">
        <v>46315</v>
      </c>
      <c r="F461" t="inlineStr">
        <is>
          <t>VÄSTERNORRLANDS LÄN</t>
        </is>
      </c>
      <c r="G461" t="inlineStr">
        <is>
          <t>HÄRNÖSAND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64377-2023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45280</v>
      </c>
      <c r="E462" s="1" t="n">
        <v>46315</v>
      </c>
      <c r="F462" t="inlineStr">
        <is>
          <t>VÄSTERNORRLANDS LÄN</t>
        </is>
      </c>
      <c r="G462" t="inlineStr">
        <is>
          <t>HÄRNÖSAND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17874-2026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46122</v>
      </c>
      <c r="E463" s="1" t="n">
        <v>46315</v>
      </c>
      <c r="F463" t="inlineStr">
        <is>
          <t>VÄSTERNORRLANDS LÄN</t>
        </is>
      </c>
      <c r="G463" t="inlineStr">
        <is>
          <t>HÄRNÖSAND</t>
        </is>
      </c>
      <c r="I463" t="n">
        <v>8.300000000000001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46127</v>
      </c>
      <c r="E464" s="1" t="n">
        <v>46315</v>
      </c>
      <c r="F464" t="inlineStr">
        <is>
          <t>VÄSTERNORRLANDS LÄN</t>
        </is>
      </c>
      <c r="G464" t="inlineStr">
        <is>
          <t>HÄRNÖSAND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25116-2024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45462</v>
      </c>
      <c r="E465" s="1" t="n">
        <v>46315</v>
      </c>
      <c r="F465" t="inlineStr">
        <is>
          <t>VÄSTERNORRLANDS LÄN</t>
        </is>
      </c>
      <c r="G465" t="inlineStr">
        <is>
          <t>HÄRNÖSAND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46132</v>
      </c>
      <c r="E466" s="1" t="n">
        <v>46315</v>
      </c>
      <c r="F466" t="inlineStr">
        <is>
          <t>VÄSTERNORRLANDS LÄN</t>
        </is>
      </c>
      <c r="G466" t="inlineStr">
        <is>
          <t>HÄRNÖSAND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46203</v>
      </c>
      <c r="E467" s="1" t="n">
        <v>46315</v>
      </c>
      <c r="F467" t="inlineStr">
        <is>
          <t>VÄSTERNORRLANDS LÄN</t>
        </is>
      </c>
      <c r="G467" t="inlineStr">
        <is>
          <t>HÄRNÖSAND</t>
        </is>
      </c>
      <c r="H467" t="inlineStr">
        <is>
          <t>SCA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46133</v>
      </c>
      <c r="E468" s="1" t="n">
        <v>46315</v>
      </c>
      <c r="F468" t="inlineStr">
        <is>
          <t>VÄSTERNORRLANDS LÄN</t>
        </is>
      </c>
      <c r="G468" t="inlineStr">
        <is>
          <t>HÄRNÖSAND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19327-2026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46133</v>
      </c>
      <c r="E469" s="1" t="n">
        <v>46315</v>
      </c>
      <c r="F469" t="inlineStr">
        <is>
          <t>VÄSTERNORRLANDS LÄN</t>
        </is>
      </c>
      <c r="G469" t="inlineStr">
        <is>
          <t>HÄRNÖSAND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52987-2022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44875</v>
      </c>
      <c r="E470" s="1" t="n">
        <v>46315</v>
      </c>
      <c r="F470" t="inlineStr">
        <is>
          <t>VÄSTERNORRLANDS LÄN</t>
        </is>
      </c>
      <c r="G470" t="inlineStr">
        <is>
          <t>HÄRNÖSAND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29279-2024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45482</v>
      </c>
      <c r="E471" s="1" t="n">
        <v>46315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SCA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29714-2026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46315</v>
      </c>
      <c r="F472" t="inlineStr">
        <is>
          <t>VÄSTERNORRLANDS LÄN</t>
        </is>
      </c>
      <c r="G472" t="inlineStr">
        <is>
          <t>HÄRNÖSAND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46315</v>
      </c>
      <c r="F473" t="inlineStr">
        <is>
          <t>VÄSTERNORRLANDS LÄN</t>
        </is>
      </c>
      <c r="G473" t="inlineStr">
        <is>
          <t>HÄRNÖSAND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30762-2024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45496</v>
      </c>
      <c r="E474" s="1" t="n">
        <v>46315</v>
      </c>
      <c r="F474" t="inlineStr">
        <is>
          <t>VÄSTERNORRLANDS LÄN</t>
        </is>
      </c>
      <c r="G474" t="inlineStr">
        <is>
          <t>HÄRNÖSAND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44957</v>
      </c>
      <c r="E475" s="1" t="n">
        <v>46315</v>
      </c>
      <c r="F475" t="inlineStr">
        <is>
          <t>VÄSTERNORRLANDS LÄN</t>
        </is>
      </c>
      <c r="G475" t="inlineStr">
        <is>
          <t>HÄRNÖSAND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46315</v>
      </c>
      <c r="F476" t="inlineStr">
        <is>
          <t>VÄSTERNORRLANDS LÄN</t>
        </is>
      </c>
      <c r="G476" t="inlineStr">
        <is>
          <t>HÄRNÖSAND</t>
        </is>
      </c>
      <c r="I476" t="n">
        <v>14.6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59034-2022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44903</v>
      </c>
      <c r="E477" s="1" t="n">
        <v>46315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44945</v>
      </c>
      <c r="E478" s="1" t="n">
        <v>46315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46315</v>
      </c>
      <c r="F479" t="inlineStr">
        <is>
          <t>VÄSTERNORRLANDS LÄN</t>
        </is>
      </c>
      <c r="G479" t="inlineStr">
        <is>
          <t>HÄRNÖSAND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29754-2026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46315</v>
      </c>
      <c r="F480" t="inlineStr">
        <is>
          <t>VÄSTERNORRLANDS LÄN</t>
        </is>
      </c>
      <c r="G480" t="inlineStr">
        <is>
          <t>HÄRNÖSAND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42348-2025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45904</v>
      </c>
      <c r="E481" s="1" t="n">
        <v>46315</v>
      </c>
      <c r="F481" t="inlineStr">
        <is>
          <t>VÄSTERNORRLANDS LÄN</t>
        </is>
      </c>
      <c r="G481" t="inlineStr">
        <is>
          <t>HÄRNÖSAND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29792-2026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46205</v>
      </c>
      <c r="E482" s="1" t="n">
        <v>46315</v>
      </c>
      <c r="F482" t="inlineStr">
        <is>
          <t>VÄSTERNORRLANDS LÄN</t>
        </is>
      </c>
      <c r="G482" t="inlineStr">
        <is>
          <t>HÄRNÖSAND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46205</v>
      </c>
      <c r="E483" s="1" t="n">
        <v>46315</v>
      </c>
      <c r="F483" t="inlineStr">
        <is>
          <t>VÄSTERNORRLANDS LÄN</t>
        </is>
      </c>
      <c r="G483" t="inlineStr">
        <is>
          <t>HÄRNÖSAND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45800</v>
      </c>
      <c r="E484" s="1" t="n">
        <v>46315</v>
      </c>
      <c r="F484" t="inlineStr">
        <is>
          <t>VÄSTERNORRLANDS LÄN</t>
        </is>
      </c>
      <c r="G484" t="inlineStr">
        <is>
          <t>HÄRNÖSAND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11881-2024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45376</v>
      </c>
      <c r="E485" s="1" t="n">
        <v>46315</v>
      </c>
      <c r="F485" t="inlineStr">
        <is>
          <t>VÄSTERNORRLANDS LÄN</t>
        </is>
      </c>
      <c r="G485" t="inlineStr">
        <is>
          <t>HÄRNÖSAND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34612-2024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45526</v>
      </c>
      <c r="E486" s="1" t="n">
        <v>46315</v>
      </c>
      <c r="F486" t="inlineStr">
        <is>
          <t>VÄSTERNORRLANDS LÄN</t>
        </is>
      </c>
      <c r="G486" t="inlineStr">
        <is>
          <t>HÄRNÖSAND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30201-2026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46315</v>
      </c>
      <c r="F487" t="inlineStr">
        <is>
          <t>VÄSTERNORRLANDS LÄN</t>
        </is>
      </c>
      <c r="G487" t="inlineStr">
        <is>
          <t>HÄRNÖSAND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30017-2026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46206</v>
      </c>
      <c r="E488" s="1" t="n">
        <v>46315</v>
      </c>
      <c r="F488" t="inlineStr">
        <is>
          <t>VÄSTERNORRLANDS LÄN</t>
        </is>
      </c>
      <c r="G488" t="inlineStr">
        <is>
          <t>HÄRNÖSAND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30216-2026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46206</v>
      </c>
      <c r="E489" s="1" t="n">
        <v>46315</v>
      </c>
      <c r="F489" t="inlineStr">
        <is>
          <t>VÄSTERNORRLANDS LÄN</t>
        </is>
      </c>
      <c r="G489" t="inlineStr">
        <is>
          <t>HÄRNÖSAND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46315</v>
      </c>
      <c r="F490" t="inlineStr">
        <is>
          <t>VÄSTERNORRLANDS LÄN</t>
        </is>
      </c>
      <c r="G490" t="inlineStr">
        <is>
          <t>HÄRNÖSAND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56165-2022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44889</v>
      </c>
      <c r="E491" s="1" t="n">
        <v>46315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SCA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65224-2023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45289</v>
      </c>
      <c r="E492" s="1" t="n">
        <v>46315</v>
      </c>
      <c r="F492" t="inlineStr">
        <is>
          <t>VÄSTERNORRLANDS LÄN</t>
        </is>
      </c>
      <c r="G492" t="inlineStr">
        <is>
          <t>HÄRNÖSAND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45687-2022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44845</v>
      </c>
      <c r="E493" s="1" t="n">
        <v>46315</v>
      </c>
      <c r="F493" t="inlineStr">
        <is>
          <t>VÄSTERNORRLANDS LÄN</t>
        </is>
      </c>
      <c r="G493" t="inlineStr">
        <is>
          <t>HÄRNÖSAND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30413-2026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46209</v>
      </c>
      <c r="E494" s="1" t="n">
        <v>46315</v>
      </c>
      <c r="F494" t="inlineStr">
        <is>
          <t>VÄSTERNORRLANDS LÄN</t>
        </is>
      </c>
      <c r="G494" t="inlineStr">
        <is>
          <t>HÄRNÖSAND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22875-2023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45072</v>
      </c>
      <c r="E495" s="1" t="n">
        <v>46315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Kyrkan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46315</v>
      </c>
      <c r="F496" t="inlineStr">
        <is>
          <t>VÄSTERNORRLANDS LÄN</t>
        </is>
      </c>
      <c r="G496" t="inlineStr">
        <is>
          <t>HÄRNÖSAND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46211</v>
      </c>
      <c r="E497" s="1" t="n">
        <v>46315</v>
      </c>
      <c r="F497" t="inlineStr">
        <is>
          <t>VÄSTERNORRLANDS LÄN</t>
        </is>
      </c>
      <c r="G497" t="inlineStr">
        <is>
          <t>HÄRNÖSAND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46508-2023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45194</v>
      </c>
      <c r="E498" s="1" t="n">
        <v>46315</v>
      </c>
      <c r="F498" t="inlineStr">
        <is>
          <t>VÄSTERNORRLANDS LÄN</t>
        </is>
      </c>
      <c r="G498" t="inlineStr">
        <is>
          <t>HÄRNÖSAND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65222-2023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45289</v>
      </c>
      <c r="E499" s="1" t="n">
        <v>46315</v>
      </c>
      <c r="F499" t="inlineStr">
        <is>
          <t>VÄSTERNORRLANDS LÄN</t>
        </is>
      </c>
      <c r="G499" t="inlineStr">
        <is>
          <t>HÄRNÖSAND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44580</v>
      </c>
      <c r="E500" s="1" t="n">
        <v>46315</v>
      </c>
      <c r="F500" t="inlineStr">
        <is>
          <t>VÄSTERNORRLANDS LÄN</t>
        </is>
      </c>
      <c r="G500" t="inlineStr">
        <is>
          <t>HÄRNÖSAND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46213</v>
      </c>
      <c r="E501" s="1" t="n">
        <v>46315</v>
      </c>
      <c r="F501" t="inlineStr">
        <is>
          <t>VÄSTERNORRLANDS LÄN</t>
        </is>
      </c>
      <c r="G501" t="inlineStr">
        <is>
          <t>HÄRNÖSAND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7793-2024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45348</v>
      </c>
      <c r="E502" s="1" t="n">
        <v>46315</v>
      </c>
      <c r="F502" t="inlineStr">
        <is>
          <t>VÄSTERNORRLANDS LÄN</t>
        </is>
      </c>
      <c r="G502" t="inlineStr">
        <is>
          <t>HÄRNÖSAND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30976-2026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46213</v>
      </c>
      <c r="E503" s="1" t="n">
        <v>46315</v>
      </c>
      <c r="F503" t="inlineStr">
        <is>
          <t>VÄSTERNORRLANDS LÄN</t>
        </is>
      </c>
      <c r="G503" t="inlineStr">
        <is>
          <t>HÄRNÖSAND</t>
        </is>
      </c>
      <c r="I503" t="n">
        <v>13.6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45476</v>
      </c>
      <c r="E504" s="1" t="n">
        <v>46315</v>
      </c>
      <c r="F504" t="inlineStr">
        <is>
          <t>VÄSTERNORRLANDS LÄN</t>
        </is>
      </c>
      <c r="G504" t="inlineStr">
        <is>
          <t>HÄRNÖSAND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31049-2026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46215</v>
      </c>
      <c r="E505" s="1" t="n">
        <v>46315</v>
      </c>
      <c r="F505" t="inlineStr">
        <is>
          <t>VÄSTERNORRLANDS LÄN</t>
        </is>
      </c>
      <c r="G505" t="inlineStr">
        <is>
          <t>HÄRNÖSAND</t>
        </is>
      </c>
      <c r="I505" t="n">
        <v>12.7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31050-2026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46215</v>
      </c>
      <c r="E506" s="1" t="n">
        <v>46315</v>
      </c>
      <c r="F506" t="inlineStr">
        <is>
          <t>VÄSTERNORRLANDS LÄN</t>
        </is>
      </c>
      <c r="G506" t="inlineStr">
        <is>
          <t>HÄRNÖSAND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13611-2023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45006</v>
      </c>
      <c r="E507" s="1" t="n">
        <v>46315</v>
      </c>
      <c r="F507" t="inlineStr">
        <is>
          <t>VÄSTERNORRLANDS LÄN</t>
        </is>
      </c>
      <c r="G507" t="inlineStr">
        <is>
          <t>HÄRNÖSAND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786-2024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45300</v>
      </c>
      <c r="E508" s="1" t="n">
        <v>46315</v>
      </c>
      <c r="F508" t="inlineStr">
        <is>
          <t>VÄSTERNORRLANDS LÄN</t>
        </is>
      </c>
      <c r="G508" t="inlineStr">
        <is>
          <t>HÄRNÖSAND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46219</v>
      </c>
      <c r="E509" s="1" t="n">
        <v>46315</v>
      </c>
      <c r="F509" t="inlineStr">
        <is>
          <t>VÄSTERNORRLANDS LÄN</t>
        </is>
      </c>
      <c r="G509" t="inlineStr">
        <is>
          <t>HÄRNÖSAND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46219</v>
      </c>
      <c r="E510" s="1" t="n">
        <v>46315</v>
      </c>
      <c r="F510" t="inlineStr">
        <is>
          <t>VÄSTERNORRLANDS LÄN</t>
        </is>
      </c>
      <c r="G510" t="inlineStr">
        <is>
          <t>HÄRNÖSAND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46219</v>
      </c>
      <c r="E511" s="1" t="n">
        <v>46315</v>
      </c>
      <c r="F511" t="inlineStr">
        <is>
          <t>VÄSTERNORRLANDS LÄN</t>
        </is>
      </c>
      <c r="G511" t="inlineStr">
        <is>
          <t>HÄRNÖSAND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17431-2023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45035</v>
      </c>
      <c r="E512" s="1" t="n">
        <v>46315</v>
      </c>
      <c r="F512" t="inlineStr">
        <is>
          <t>VÄSTERNORRLANDS LÄN</t>
        </is>
      </c>
      <c r="G512" t="inlineStr">
        <is>
          <t>HÄRNÖSAND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10544-2023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44987</v>
      </c>
      <c r="E513" s="1" t="n">
        <v>46315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23186-2026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46161</v>
      </c>
      <c r="E514" s="1" t="n">
        <v>46315</v>
      </c>
      <c r="F514" t="inlineStr">
        <is>
          <t>VÄSTERNORRLANDS LÄN</t>
        </is>
      </c>
      <c r="G514" t="inlineStr">
        <is>
          <t>HÄRNÖSAND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29483-2026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46203</v>
      </c>
      <c r="E515" s="1" t="n">
        <v>46315</v>
      </c>
      <c r="F515" t="inlineStr">
        <is>
          <t>VÄSTERNORRLANDS LÄN</t>
        </is>
      </c>
      <c r="G515" t="inlineStr">
        <is>
          <t>HÄRNÖSAND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30893-2026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46213</v>
      </c>
      <c r="E516" s="1" t="n">
        <v>46315</v>
      </c>
      <c r="F516" t="inlineStr">
        <is>
          <t>VÄSTERNORRLANDS LÄN</t>
        </is>
      </c>
      <c r="G516" t="inlineStr">
        <is>
          <t>HÄRNÖSAND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52237-2022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44869</v>
      </c>
      <c r="E517" s="1" t="n">
        <v>46315</v>
      </c>
      <c r="F517" t="inlineStr">
        <is>
          <t>VÄSTERNORRLANDS LÄN</t>
        </is>
      </c>
      <c r="G517" t="inlineStr">
        <is>
          <t>HÄRNÖSAND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14018-2024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45392</v>
      </c>
      <c r="E518" s="1" t="n">
        <v>46315</v>
      </c>
      <c r="F518" t="inlineStr">
        <is>
          <t>VÄSTERNORRLANDS LÄN</t>
        </is>
      </c>
      <c r="G518" t="inlineStr">
        <is>
          <t>HÄRNÖSAND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37246-2026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46274</v>
      </c>
      <c r="E519" s="1" t="n">
        <v>46315</v>
      </c>
      <c r="F519" t="inlineStr">
        <is>
          <t>VÄSTERNORRLANDS LÄN</t>
        </is>
      </c>
      <c r="G519" t="inlineStr">
        <is>
          <t>HÄRNÖSAND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45000</v>
      </c>
      <c r="E520" s="1" t="n">
        <v>46315</v>
      </c>
      <c r="F520" t="inlineStr">
        <is>
          <t>VÄSTERNORRLANDS LÄN</t>
        </is>
      </c>
      <c r="G520" t="inlineStr">
        <is>
          <t>HÄRNÖSAND</t>
        </is>
      </c>
      <c r="H520" t="inlineStr">
        <is>
          <t>SCA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12543-2023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45000</v>
      </c>
      <c r="E521" s="1" t="n">
        <v>46315</v>
      </c>
      <c r="F521" t="inlineStr">
        <is>
          <t>VÄSTERNORRLANDS LÄN</t>
        </is>
      </c>
      <c r="G521" t="inlineStr">
        <is>
          <t>HÄRNÖSAND</t>
        </is>
      </c>
      <c r="H521" t="inlineStr">
        <is>
          <t>SCA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58869-2023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45250</v>
      </c>
      <c r="E522" s="1" t="n">
        <v>46315</v>
      </c>
      <c r="F522" t="inlineStr">
        <is>
          <t>VÄSTERNORRLANDS LÄN</t>
        </is>
      </c>
      <c r="G522" t="inlineStr">
        <is>
          <t>HÄRNÖSAND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18979-2023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45044</v>
      </c>
      <c r="E523" s="1" t="n">
        <v>46315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34226-2023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45126</v>
      </c>
      <c r="E524" s="1" t="n">
        <v>46315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46232</v>
      </c>
      <c r="E525" s="1" t="n">
        <v>46315</v>
      </c>
      <c r="F525" t="inlineStr">
        <is>
          <t>VÄSTERNORRLANDS LÄN</t>
        </is>
      </c>
      <c r="G525" t="inlineStr">
        <is>
          <t>HÄRNÖSAND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37333-2026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46275</v>
      </c>
      <c r="E526" s="1" t="n">
        <v>46315</v>
      </c>
      <c r="F526" t="inlineStr">
        <is>
          <t>VÄSTERNORRLANDS LÄN</t>
        </is>
      </c>
      <c r="G526" t="inlineStr">
        <is>
          <t>HÄRNÖSAND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18345-2025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45762</v>
      </c>
      <c r="E527" s="1" t="n">
        <v>46315</v>
      </c>
      <c r="F527" t="inlineStr">
        <is>
          <t>VÄSTERNORRLANDS LÄN</t>
        </is>
      </c>
      <c r="G527" t="inlineStr">
        <is>
          <t>HÄRNÖSAND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43248-2023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45180</v>
      </c>
      <c r="E528" s="1" t="n">
        <v>46315</v>
      </c>
      <c r="F528" t="inlineStr">
        <is>
          <t>VÄSTERNORRLANDS LÄN</t>
        </is>
      </c>
      <c r="G528" t="inlineStr">
        <is>
          <t>HÄRNÖSAND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32293-2026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46237</v>
      </c>
      <c r="E529" s="1" t="n">
        <v>46315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45921-2024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45580</v>
      </c>
      <c r="E530" s="1" t="n">
        <v>46315</v>
      </c>
      <c r="F530" t="inlineStr">
        <is>
          <t>VÄSTERNORRLANDS LÄN</t>
        </is>
      </c>
      <c r="G530" t="inlineStr">
        <is>
          <t>HÄRNÖSAND</t>
        </is>
      </c>
      <c r="I530" t="n">
        <v>14.2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45147</v>
      </c>
      <c r="E531" s="1" t="n">
        <v>46315</v>
      </c>
      <c r="F531" t="inlineStr">
        <is>
          <t>VÄSTERNORRLANDS LÄN</t>
        </is>
      </c>
      <c r="G531" t="inlineStr">
        <is>
          <t>HÄRNÖSAND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38471-2026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46282</v>
      </c>
      <c r="E532" s="1" t="n">
        <v>46315</v>
      </c>
      <c r="F532" t="inlineStr">
        <is>
          <t>VÄSTERNORRLANDS LÄN</t>
        </is>
      </c>
      <c r="G532" t="inlineStr">
        <is>
          <t>HÄRNÖSAND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38229-2026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46281</v>
      </c>
      <c r="E533" s="1" t="n">
        <v>46315</v>
      </c>
      <c r="F533" t="inlineStr">
        <is>
          <t>VÄSTERNORRLANDS LÄN</t>
        </is>
      </c>
      <c r="G533" t="inlineStr">
        <is>
          <t>HÄRNÖSAND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32485-2026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46239</v>
      </c>
      <c r="E534" s="1" t="n">
        <v>46315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38215-2026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46281</v>
      </c>
      <c r="E535" s="1" t="n">
        <v>46315</v>
      </c>
      <c r="F535" t="inlineStr">
        <is>
          <t>VÄSTERNORRLANDS LÄN</t>
        </is>
      </c>
      <c r="G535" t="inlineStr">
        <is>
          <t>HÄRNÖSAND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59121-2023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45251</v>
      </c>
      <c r="E536" s="1" t="n">
        <v>46315</v>
      </c>
      <c r="F536" t="inlineStr">
        <is>
          <t>VÄSTERNORRLANDS LÄN</t>
        </is>
      </c>
      <c r="G536" t="inlineStr">
        <is>
          <t>HÄRNÖSAND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29255-2024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45482</v>
      </c>
      <c r="E537" s="1" t="n">
        <v>46315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19167-2025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45769</v>
      </c>
      <c r="E538" s="1" t="n">
        <v>46315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45646</v>
      </c>
      <c r="E539" s="1" t="n">
        <v>46315</v>
      </c>
      <c r="F539" t="inlineStr">
        <is>
          <t>VÄSTERNORRLANDS LÄN</t>
        </is>
      </c>
      <c r="G539" t="inlineStr">
        <is>
          <t>HÄRNÖSAND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38849-2026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46286</v>
      </c>
      <c r="E540" s="1" t="n">
        <v>46315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23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45107</v>
      </c>
      <c r="E541" s="1" t="n">
        <v>46315</v>
      </c>
      <c r="F541" t="inlineStr">
        <is>
          <t>VÄSTERNORRLANDS LÄN</t>
        </is>
      </c>
      <c r="G541" t="inlineStr">
        <is>
          <t>HÄRNÖSAND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25981-2026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46181</v>
      </c>
      <c r="E542" s="1" t="n">
        <v>46315</v>
      </c>
      <c r="F542" t="inlineStr">
        <is>
          <t>VÄSTERNORRLANDS LÄN</t>
        </is>
      </c>
      <c r="G542" t="inlineStr">
        <is>
          <t>HÄRNÖSAND</t>
        </is>
      </c>
      <c r="I542" t="n">
        <v>8.6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38854-2026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46286</v>
      </c>
      <c r="E543" s="1" t="n">
        <v>46315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9160-2026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46070</v>
      </c>
      <c r="E544" s="1" t="n">
        <v>46315</v>
      </c>
      <c r="F544" t="inlineStr">
        <is>
          <t>VÄSTERNORRLANDS LÄN</t>
        </is>
      </c>
      <c r="G544" t="inlineStr">
        <is>
          <t>HÄRNÖSAND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39384-2026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46288</v>
      </c>
      <c r="E545" s="1" t="n">
        <v>46315</v>
      </c>
      <c r="F545" t="inlineStr">
        <is>
          <t>VÄSTERNORRLANDS LÄN</t>
        </is>
      </c>
      <c r="G545" t="inlineStr">
        <is>
          <t>HÄRNÖSAND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39202-2026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46286</v>
      </c>
      <c r="E546" s="1" t="n">
        <v>46315</v>
      </c>
      <c r="F546" t="inlineStr">
        <is>
          <t>VÄSTERNORRLANDS LÄN</t>
        </is>
      </c>
      <c r="G546" t="inlineStr">
        <is>
          <t>HÄRNÖSAND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39390-2026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46288</v>
      </c>
      <c r="E547" s="1" t="n">
        <v>46315</v>
      </c>
      <c r="F547" t="inlineStr">
        <is>
          <t>VÄSTERNORRLANDS LÄN</t>
        </is>
      </c>
      <c r="G547" t="inlineStr">
        <is>
          <t>HÄRNÖSAND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46315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Kyrkan</t>
        </is>
      </c>
      <c r="I548" t="n">
        <v>24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11045-2025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45723</v>
      </c>
      <c r="E549" s="1" t="n">
        <v>46315</v>
      </c>
      <c r="F549" t="inlineStr">
        <is>
          <t>VÄSTERNORRLANDS LÄN</t>
        </is>
      </c>
      <c r="G549" t="inlineStr">
        <is>
          <t>HÄRNÖSAND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46287</v>
      </c>
      <c r="E550" s="1" t="n">
        <v>46315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29104-2023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45097</v>
      </c>
      <c r="E551" s="1" t="n">
        <v>46315</v>
      </c>
      <c r="F551" t="inlineStr">
        <is>
          <t>VÄSTERNORRLANDS LÄN</t>
        </is>
      </c>
      <c r="G551" t="inlineStr">
        <is>
          <t>HÄRNÖSAND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27453-2026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46189</v>
      </c>
      <c r="E552" s="1" t="n">
        <v>46315</v>
      </c>
      <c r="F552" t="inlineStr">
        <is>
          <t>VÄSTERNORRLANDS LÄN</t>
        </is>
      </c>
      <c r="G552" t="inlineStr">
        <is>
          <t>HÄRNÖSAND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39395-2026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46288</v>
      </c>
      <c r="E553" s="1" t="n">
        <v>46315</v>
      </c>
      <c r="F553" t="inlineStr">
        <is>
          <t>VÄSTERNORRLANDS LÄN</t>
        </is>
      </c>
      <c r="G553" t="inlineStr">
        <is>
          <t>HÄRNÖSAND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48047-2022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44855</v>
      </c>
      <c r="E554" s="1" t="n">
        <v>46315</v>
      </c>
      <c r="F554" t="inlineStr">
        <is>
          <t>VÄSTERNORRLANDS LÄN</t>
        </is>
      </c>
      <c r="G554" t="inlineStr">
        <is>
          <t>HÄRNÖSAND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57154-2024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45629</v>
      </c>
      <c r="E555" s="1" t="n">
        <v>46315</v>
      </c>
      <c r="F555" t="inlineStr">
        <is>
          <t>VÄSTERNORRLANDS LÄN</t>
        </is>
      </c>
      <c r="G555" t="inlineStr">
        <is>
          <t>HÄRNÖSAND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45323</v>
      </c>
      <c r="E556" s="1" t="n">
        <v>46315</v>
      </c>
      <c r="F556" t="inlineStr">
        <is>
          <t>VÄSTERNORRLANDS LÄN</t>
        </is>
      </c>
      <c r="G556" t="inlineStr">
        <is>
          <t>HÄRNÖSAND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45500-2024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45578</v>
      </c>
      <c r="E557" s="1" t="n">
        <v>46315</v>
      </c>
      <c r="F557" t="inlineStr">
        <is>
          <t>VÄSTERNORRLANDS LÄN</t>
        </is>
      </c>
      <c r="G557" t="inlineStr">
        <is>
          <t>HÄRNÖSAND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45504-2024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45578</v>
      </c>
      <c r="E558" s="1" t="n">
        <v>46315</v>
      </c>
      <c r="F558" t="inlineStr">
        <is>
          <t>VÄSTERNORRLANDS LÄN</t>
        </is>
      </c>
      <c r="G558" t="inlineStr">
        <is>
          <t>HÄRNÖSAND</t>
        </is>
      </c>
      <c r="I558" t="n">
        <v>10.3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3897-2023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44951</v>
      </c>
      <c r="E559" s="1" t="n">
        <v>46315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35387-2024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45531</v>
      </c>
      <c r="E560" s="1" t="n">
        <v>46315</v>
      </c>
      <c r="F560" t="inlineStr">
        <is>
          <t>VÄSTERNORRLANDS LÄN</t>
        </is>
      </c>
      <c r="G560" t="inlineStr">
        <is>
          <t>HÄRNÖSAND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32418-2024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45512</v>
      </c>
      <c r="E561" s="1" t="n">
        <v>46315</v>
      </c>
      <c r="F561" t="inlineStr">
        <is>
          <t>VÄSTERNORRLANDS LÄN</t>
        </is>
      </c>
      <c r="G561" t="inlineStr">
        <is>
          <t>HÄRNÖSAND</t>
        </is>
      </c>
      <c r="I561" t="n">
        <v>6.8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51001-2022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44867</v>
      </c>
      <c r="E562" s="1" t="n">
        <v>46315</v>
      </c>
      <c r="F562" t="inlineStr">
        <is>
          <t>VÄSTERNORRLANDS LÄN</t>
        </is>
      </c>
      <c r="G562" t="inlineStr">
        <is>
          <t>HÄRNÖSAND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45729</v>
      </c>
      <c r="E563" s="1" t="n">
        <v>46315</v>
      </c>
      <c r="F563" t="inlineStr">
        <is>
          <t>VÄSTERNORRLANDS LÄN</t>
        </is>
      </c>
      <c r="G563" t="inlineStr">
        <is>
          <t>HÄRNÖSAND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33659-2026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46248</v>
      </c>
      <c r="E564" s="1" t="n">
        <v>46315</v>
      </c>
      <c r="F564" t="inlineStr">
        <is>
          <t>VÄSTERNORRLANDS LÄN</t>
        </is>
      </c>
      <c r="G564" t="inlineStr">
        <is>
          <t>HÄRNÖSAND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46296</v>
      </c>
      <c r="E565" s="1" t="n">
        <v>46315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11903-2024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45376</v>
      </c>
      <c r="E566" s="1" t="n">
        <v>46315</v>
      </c>
      <c r="F566" t="inlineStr">
        <is>
          <t>VÄSTERNORRLANDS LÄN</t>
        </is>
      </c>
      <c r="G566" t="inlineStr">
        <is>
          <t>HÄRNÖSAND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12497-2025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45730</v>
      </c>
      <c r="E567" s="1" t="n">
        <v>46315</v>
      </c>
      <c r="F567" t="inlineStr">
        <is>
          <t>VÄSTERNORRLANDS LÄN</t>
        </is>
      </c>
      <c r="G567" t="inlineStr">
        <is>
          <t>HÄRNÖSAND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34028-2026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46252</v>
      </c>
      <c r="E568" s="1" t="n">
        <v>46315</v>
      </c>
      <c r="F568" t="inlineStr">
        <is>
          <t>VÄSTERNORRLANDS LÄN</t>
        </is>
      </c>
      <c r="G568" t="inlineStr">
        <is>
          <t>HÄRNÖSAND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46296</v>
      </c>
      <c r="E569" s="1" t="n">
        <v>46315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11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40833-2026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46296</v>
      </c>
      <c r="E570" s="1" t="n">
        <v>46315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46296</v>
      </c>
      <c r="E571" s="1" t="n">
        <v>46315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4147-2025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45685</v>
      </c>
      <c r="E572" s="1" t="n">
        <v>46315</v>
      </c>
      <c r="F572" t="inlineStr">
        <is>
          <t>VÄSTERNORRLANDS LÄN</t>
        </is>
      </c>
      <c r="G572" t="inlineStr">
        <is>
          <t>HÄRNÖSAND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45776</v>
      </c>
      <c r="E573" s="1" t="n">
        <v>46315</v>
      </c>
      <c r="F573" t="inlineStr">
        <is>
          <t>VÄSTERNORRLANDS LÄN</t>
        </is>
      </c>
      <c r="G573" t="inlineStr">
        <is>
          <t>HÄRNÖSAND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20821-2025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45776</v>
      </c>
      <c r="E574" s="1" t="n">
        <v>46315</v>
      </c>
      <c r="F574" t="inlineStr">
        <is>
          <t>VÄSTERNORRLANDS LÄN</t>
        </is>
      </c>
      <c r="G574" t="inlineStr">
        <is>
          <t>HÄRNÖSAND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21484-2025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45782</v>
      </c>
      <c r="E575" s="1" t="n">
        <v>46315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32.1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21480-2025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45782</v>
      </c>
      <c r="E576" s="1" t="n">
        <v>46315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12.3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46297</v>
      </c>
      <c r="E577" s="1" t="n">
        <v>46315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Kyrkan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42343-2024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45562</v>
      </c>
      <c r="E578" s="1" t="n">
        <v>46315</v>
      </c>
      <c r="F578" t="inlineStr">
        <is>
          <t>VÄSTERNORRLANDS LÄN</t>
        </is>
      </c>
      <c r="G578" t="inlineStr">
        <is>
          <t>HÄRNÖSAND</t>
        </is>
      </c>
      <c r="I578" t="n">
        <v>15.6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33747-2026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46315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45502-2024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45578</v>
      </c>
      <c r="E580" s="1" t="n">
        <v>46315</v>
      </c>
      <c r="F580" t="inlineStr">
        <is>
          <t>VÄSTERNORRLANDS LÄN</t>
        </is>
      </c>
      <c r="G580" t="inlineStr">
        <is>
          <t>HÄRNÖSAND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41010-2026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46297</v>
      </c>
      <c r="E581" s="1" t="n">
        <v>46315</v>
      </c>
      <c r="F581" t="inlineStr">
        <is>
          <t>VÄSTERNORRLANDS LÄN</t>
        </is>
      </c>
      <c r="G581" t="inlineStr">
        <is>
          <t>HÄRNÖSAND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39369-2026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46288</v>
      </c>
      <c r="E582" s="1" t="n">
        <v>46315</v>
      </c>
      <c r="F582" t="inlineStr">
        <is>
          <t>VÄSTERNORRLANDS LÄN</t>
        </is>
      </c>
      <c r="G582" t="inlineStr">
        <is>
          <t>HÄRNÖSAND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23290-2025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46315</v>
      </c>
      <c r="F583" t="inlineStr">
        <is>
          <t>VÄSTERNORRLANDS LÄN</t>
        </is>
      </c>
      <c r="G583" t="inlineStr">
        <is>
          <t>HÄRNÖSAND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45342</v>
      </c>
      <c r="E584" s="1" t="n">
        <v>46315</v>
      </c>
      <c r="F584" t="inlineStr">
        <is>
          <t>VÄSTERNORRLANDS LÄN</t>
        </is>
      </c>
      <c r="G584" t="inlineStr">
        <is>
          <t>HÄRNÖSAND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41439-2026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46301</v>
      </c>
      <c r="E585" s="1" t="n">
        <v>46315</v>
      </c>
      <c r="F585" t="inlineStr">
        <is>
          <t>VÄSTERNORRLANDS LÄN</t>
        </is>
      </c>
      <c r="G585" t="inlineStr">
        <is>
          <t>HÄRNÖSAND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44590-2024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45574</v>
      </c>
      <c r="E586" s="1" t="n">
        <v>46315</v>
      </c>
      <c r="F586" t="inlineStr">
        <is>
          <t>VÄSTERNORRLANDS LÄN</t>
        </is>
      </c>
      <c r="G586" t="inlineStr">
        <is>
          <t>HÄRNÖSAND</t>
        </is>
      </c>
      <c r="I586" t="n">
        <v>11.9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19949-2024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45433</v>
      </c>
      <c r="E587" s="1" t="n">
        <v>46315</v>
      </c>
      <c r="F587" t="inlineStr">
        <is>
          <t>VÄSTERNORRLANDS LÄN</t>
        </is>
      </c>
      <c r="G587" t="inlineStr">
        <is>
          <t>HÄRNÖSAND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34768-2026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46315</v>
      </c>
      <c r="F588" t="inlineStr">
        <is>
          <t>VÄSTERNORRLANDS LÄN</t>
        </is>
      </c>
      <c r="G588" t="inlineStr">
        <is>
          <t>HÄRNÖSAND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8475-2024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45351</v>
      </c>
      <c r="E589" s="1" t="n">
        <v>46315</v>
      </c>
      <c r="F589" t="inlineStr">
        <is>
          <t>VÄSTERNORRLANDS LÄN</t>
        </is>
      </c>
      <c r="G589" t="inlineStr">
        <is>
          <t>HÄRNÖSAND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1088-2022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44571</v>
      </c>
      <c r="E590" s="1" t="n">
        <v>46315</v>
      </c>
      <c r="F590" t="inlineStr">
        <is>
          <t>VÄSTERNORRLANDS LÄN</t>
        </is>
      </c>
      <c r="G590" t="inlineStr">
        <is>
          <t>HÄRNÖSAND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45579</v>
      </c>
      <c r="E591" s="1" t="n">
        <v>46315</v>
      </c>
      <c r="F591" t="inlineStr">
        <is>
          <t>VÄSTERNORRLANDS LÄN</t>
        </is>
      </c>
      <c r="G591" t="inlineStr">
        <is>
          <t>HÄRNÖSAND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23825-2025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45793</v>
      </c>
      <c r="E592" s="1" t="n">
        <v>46315</v>
      </c>
      <c r="F592" t="inlineStr">
        <is>
          <t>VÄSTERNORRLANDS LÄN</t>
        </is>
      </c>
      <c r="G592" t="inlineStr">
        <is>
          <t>HÄRNÖSAND</t>
        </is>
      </c>
      <c r="H592" t="inlineStr">
        <is>
          <t>SCA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61944-2023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45266</v>
      </c>
      <c r="E593" s="1" t="n">
        <v>46315</v>
      </c>
      <c r="F593" t="inlineStr">
        <is>
          <t>VÄSTERNORRLANDS LÄN</t>
        </is>
      </c>
      <c r="G593" t="inlineStr">
        <is>
          <t>HÄRNÖSAND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32790-2024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45516</v>
      </c>
      <c r="E594" s="1" t="n">
        <v>46315</v>
      </c>
      <c r="F594" t="inlineStr">
        <is>
          <t>VÄSTERNORRLANDS LÄN</t>
        </is>
      </c>
      <c r="G594" t="inlineStr">
        <is>
          <t>HÄRNÖSAND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34745-2023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45139</v>
      </c>
      <c r="E595" s="1" t="n">
        <v>46315</v>
      </c>
      <c r="F595" t="inlineStr">
        <is>
          <t>VÄSTERNORRLANDS LÄN</t>
        </is>
      </c>
      <c r="G595" t="inlineStr">
        <is>
          <t>HÄRNÖSAND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45799</v>
      </c>
      <c r="E596" s="1" t="n">
        <v>46315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25355-2025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45800</v>
      </c>
      <c r="E597" s="1" t="n">
        <v>46315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25541-2025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45803</v>
      </c>
      <c r="E598" s="1" t="n">
        <v>46315</v>
      </c>
      <c r="F598" t="inlineStr">
        <is>
          <t>VÄSTERNORRLANDS LÄN</t>
        </is>
      </c>
      <c r="G598" t="inlineStr">
        <is>
          <t>HÄRNÖSAND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18461-2025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45762</v>
      </c>
      <c r="E599" s="1" t="n">
        <v>46315</v>
      </c>
      <c r="F599" t="inlineStr">
        <is>
          <t>VÄSTERNORRLANDS LÄN</t>
        </is>
      </c>
      <c r="G599" t="inlineStr">
        <is>
          <t>HÄRNÖSAND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41997-2026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46303</v>
      </c>
      <c r="E600" s="1" t="n">
        <v>46315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Kyrkan</t>
        </is>
      </c>
      <c r="I600" t="n">
        <v>6.7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35125-2026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46260</v>
      </c>
      <c r="E601" s="1" t="n">
        <v>46315</v>
      </c>
      <c r="F601" t="inlineStr">
        <is>
          <t>VÄSTERNORRLANDS LÄN</t>
        </is>
      </c>
      <c r="G601" t="inlineStr">
        <is>
          <t>HÄRNÖSAND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26176-2025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45805</v>
      </c>
      <c r="E602" s="1" t="n">
        <v>46315</v>
      </c>
      <c r="F602" t="inlineStr">
        <is>
          <t>VÄSTERNORRLANDS LÄN</t>
        </is>
      </c>
      <c r="G602" t="inlineStr">
        <is>
          <t>HÄRNÖSAND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46304</v>
      </c>
      <c r="E603" s="1" t="n">
        <v>46315</v>
      </c>
      <c r="F603" t="inlineStr">
        <is>
          <t>VÄSTERNORRLANDS LÄN</t>
        </is>
      </c>
      <c r="G603" t="inlineStr">
        <is>
          <t>HÄRNÖSAND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57685-2024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45630</v>
      </c>
      <c r="E604" s="1" t="n">
        <v>46315</v>
      </c>
      <c r="F604" t="inlineStr">
        <is>
          <t>VÄSTERNORRLANDS LÄN</t>
        </is>
      </c>
      <c r="G604" t="inlineStr">
        <is>
          <t>HÄRNÖSAND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45205</v>
      </c>
      <c r="E605" s="1" t="n">
        <v>46315</v>
      </c>
      <c r="F605" t="inlineStr">
        <is>
          <t>VÄSTERNORRLANDS LÄN</t>
        </is>
      </c>
      <c r="G605" t="inlineStr">
        <is>
          <t>HÄRNÖSAND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26918-2025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46315</v>
      </c>
      <c r="F606" t="inlineStr">
        <is>
          <t>VÄSTERNORRLANDS LÄN</t>
        </is>
      </c>
      <c r="G606" t="inlineStr">
        <is>
          <t>HÄRNÖSAND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27272-2025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45812</v>
      </c>
      <c r="E607" s="1" t="n">
        <v>46315</v>
      </c>
      <c r="F607" t="inlineStr">
        <is>
          <t>VÄSTERNORRLANDS LÄN</t>
        </is>
      </c>
      <c r="G607" t="inlineStr">
        <is>
          <t>HÄRNÖSAND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27273-2025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45812</v>
      </c>
      <c r="E608" s="1" t="n">
        <v>46315</v>
      </c>
      <c r="F608" t="inlineStr">
        <is>
          <t>VÄSTERNORRLANDS LÄN</t>
        </is>
      </c>
      <c r="G608" t="inlineStr">
        <is>
          <t>HÄRNÖSAND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5021-2026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46049</v>
      </c>
      <c r="E609" s="1" t="n">
        <v>46315</v>
      </c>
      <c r="F609" t="inlineStr">
        <is>
          <t>VÄSTERNORRLANDS LÄN</t>
        </is>
      </c>
      <c r="G609" t="inlineStr">
        <is>
          <t>HÄRNÖSAND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35670-2026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46315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22.1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42269-2026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46307</v>
      </c>
      <c r="E611" s="1" t="n">
        <v>46315</v>
      </c>
      <c r="F611" t="inlineStr">
        <is>
          <t>VÄSTERNORRLANDS LÄN</t>
        </is>
      </c>
      <c r="G611" t="inlineStr">
        <is>
          <t>HÄRNÖSAND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35563-2026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46262</v>
      </c>
      <c r="E612" s="1" t="n">
        <v>46315</v>
      </c>
      <c r="F612" t="inlineStr">
        <is>
          <t>VÄSTERNORRLANDS LÄN</t>
        </is>
      </c>
      <c r="G612" t="inlineStr">
        <is>
          <t>HÄRNÖSAND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42640-2026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46309</v>
      </c>
      <c r="E613" s="1" t="n">
        <v>46315</v>
      </c>
      <c r="F613" t="inlineStr">
        <is>
          <t>VÄSTERNORRLANDS LÄN</t>
        </is>
      </c>
      <c r="G613" t="inlineStr">
        <is>
          <t>HÄRNÖSAND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29233-2025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45824</v>
      </c>
      <c r="E614" s="1" t="n">
        <v>46315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29542-2025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45825</v>
      </c>
      <c r="E615" s="1" t="n">
        <v>46315</v>
      </c>
      <c r="F615" t="inlineStr">
        <is>
          <t>VÄSTERNORRLANDS LÄN</t>
        </is>
      </c>
      <c r="G615" t="inlineStr">
        <is>
          <t>HÄRNÖSAND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29548-2025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45825</v>
      </c>
      <c r="E616" s="1" t="n">
        <v>46315</v>
      </c>
      <c r="F616" t="inlineStr">
        <is>
          <t>VÄSTERNORRLANDS LÄN</t>
        </is>
      </c>
      <c r="G616" t="inlineStr">
        <is>
          <t>HÄRNÖSAND</t>
        </is>
      </c>
      <c r="I616" t="n">
        <v>7.1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29549-2025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45825</v>
      </c>
      <c r="E617" s="1" t="n">
        <v>46315</v>
      </c>
      <c r="F617" t="inlineStr">
        <is>
          <t>VÄSTERNORRLANDS LÄN</t>
        </is>
      </c>
      <c r="G617" t="inlineStr">
        <is>
          <t>HÄRNÖSAND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29550-2025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45825</v>
      </c>
      <c r="E618" s="1" t="n">
        <v>46315</v>
      </c>
      <c r="F618" t="inlineStr">
        <is>
          <t>VÄSTERNORRLANDS LÄN</t>
        </is>
      </c>
      <c r="G618" t="inlineStr">
        <is>
          <t>HÄRNÖSAND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30039-2025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46315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Kyrkan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45833</v>
      </c>
      <c r="E620" s="1" t="n">
        <v>46315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31342-2025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45833</v>
      </c>
      <c r="E621" s="1" t="n">
        <v>46315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31721-2025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45834</v>
      </c>
      <c r="E622" s="1" t="n">
        <v>46315</v>
      </c>
      <c r="F622" t="inlineStr">
        <is>
          <t>VÄSTERNORRLANDS LÄN</t>
        </is>
      </c>
      <c r="G622" t="inlineStr">
        <is>
          <t>HÄRNÖSAND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31483-2025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45833</v>
      </c>
      <c r="E623" s="1" t="n">
        <v>46315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31303-2025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45833</v>
      </c>
      <c r="E624" s="1" t="n">
        <v>46315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46315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31890-2025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45834</v>
      </c>
      <c r="E626" s="1" t="n">
        <v>46315</v>
      </c>
      <c r="F626" t="inlineStr">
        <is>
          <t>VÄSTERNORRLANDS LÄN</t>
        </is>
      </c>
      <c r="G626" t="inlineStr">
        <is>
          <t>HÄRNÖSAND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32374-2025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45837</v>
      </c>
      <c r="E627" s="1" t="n">
        <v>46315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46315</v>
      </c>
      <c r="F628" t="inlineStr">
        <is>
          <t>VÄSTERNORRLANDS LÄN</t>
        </is>
      </c>
      <c r="G628" t="inlineStr">
        <is>
          <t>HÄRNÖSAND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43131-2026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46309</v>
      </c>
      <c r="E629" s="1" t="n">
        <v>46315</v>
      </c>
      <c r="F629" t="inlineStr">
        <is>
          <t>VÄSTERNORRLANDS LÄN</t>
        </is>
      </c>
      <c r="G629" t="inlineStr">
        <is>
          <t>HÄRNÖSAND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32365-2025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45837</v>
      </c>
      <c r="E630" s="1" t="n">
        <v>46315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43128-2026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46309</v>
      </c>
      <c r="E631" s="1" t="n">
        <v>46315</v>
      </c>
      <c r="F631" t="inlineStr">
        <is>
          <t>VÄSTERNORRLANDS LÄN</t>
        </is>
      </c>
      <c r="G631" t="inlineStr">
        <is>
          <t>HÄRNÖSAND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34729-2025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46315</v>
      </c>
      <c r="F632" t="inlineStr">
        <is>
          <t>VÄSTERNORRLANDS LÄN</t>
        </is>
      </c>
      <c r="G632" t="inlineStr">
        <is>
          <t>HÄRNÖSAND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33145-2025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45840</v>
      </c>
      <c r="E633" s="1" t="n">
        <v>46315</v>
      </c>
      <c r="F633" t="inlineStr">
        <is>
          <t>VÄSTERNORRLANDS LÄN</t>
        </is>
      </c>
      <c r="G633" t="inlineStr">
        <is>
          <t>HÄRNÖSAND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43133-2026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46309</v>
      </c>
      <c r="E634" s="1" t="n">
        <v>46315</v>
      </c>
      <c r="F634" t="inlineStr">
        <is>
          <t>VÄSTERNORRLANDS LÄN</t>
        </is>
      </c>
      <c r="G634" t="inlineStr">
        <is>
          <t>HÄRNÖSAND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34736-2025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45848</v>
      </c>
      <c r="E635" s="1" t="n">
        <v>46315</v>
      </c>
      <c r="F635" t="inlineStr">
        <is>
          <t>VÄSTERNORRLANDS LÄN</t>
        </is>
      </c>
      <c r="G635" t="inlineStr">
        <is>
          <t>HÄRNÖSAND</t>
        </is>
      </c>
      <c r="I635" t="n">
        <v>7.9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34751-2025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45848</v>
      </c>
      <c r="E636" s="1" t="n">
        <v>46315</v>
      </c>
      <c r="F636" t="inlineStr">
        <is>
          <t>VÄSTERNORRLANDS LÄN</t>
        </is>
      </c>
      <c r="G636" t="inlineStr">
        <is>
          <t>HÄRNÖSAND</t>
        </is>
      </c>
      <c r="I636" t="n">
        <v>8.699999999999999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16220-2025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45749</v>
      </c>
      <c r="E637" s="1" t="n">
        <v>46315</v>
      </c>
      <c r="F637" t="inlineStr">
        <is>
          <t>VÄSTERNORRLANDS LÄN</t>
        </is>
      </c>
      <c r="G637" t="inlineStr">
        <is>
          <t>HÄRNÖSAND</t>
        </is>
      </c>
      <c r="I637" t="n">
        <v>10.3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35189-2025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45853</v>
      </c>
      <c r="E638" s="1" t="n">
        <v>46315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23805-2025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45793</v>
      </c>
      <c r="E639" s="1" t="n">
        <v>46315</v>
      </c>
      <c r="F639" t="inlineStr">
        <is>
          <t>VÄSTERNORRLANDS LÄN</t>
        </is>
      </c>
      <c r="G639" t="inlineStr">
        <is>
          <t>HÄRNÖSAND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12150-2025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45729</v>
      </c>
      <c r="E640" s="1" t="n">
        <v>46315</v>
      </c>
      <c r="F640" t="inlineStr">
        <is>
          <t>VÄSTERNORRLANDS LÄN</t>
        </is>
      </c>
      <c r="G640" t="inlineStr">
        <is>
          <t>HÄRNÖSAND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14494-2025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45741</v>
      </c>
      <c r="E641" s="1" t="n">
        <v>46315</v>
      </c>
      <c r="F641" t="inlineStr">
        <is>
          <t>VÄSTERNORRLANDS LÄN</t>
        </is>
      </c>
      <c r="G641" t="inlineStr">
        <is>
          <t>HÄRNÖSAND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43403-2026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46314</v>
      </c>
      <c r="E642" s="1" t="n">
        <v>46315</v>
      </c>
      <c r="F642" t="inlineStr">
        <is>
          <t>VÄSTERNORRLANDS LÄN</t>
        </is>
      </c>
      <c r="G642" t="inlineStr">
        <is>
          <t>HÄRNÖSAND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8023-2023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44973</v>
      </c>
      <c r="E643" s="1" t="n">
        <v>46315</v>
      </c>
      <c r="F643" t="inlineStr">
        <is>
          <t>VÄSTERNORRLANDS LÄN</t>
        </is>
      </c>
      <c r="G643" t="inlineStr">
        <is>
          <t>HÄRNÖSAND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44459-2024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45574</v>
      </c>
      <c r="E644" s="1" t="n">
        <v>46315</v>
      </c>
      <c r="F644" t="inlineStr">
        <is>
          <t>VÄSTERNORRLANDS LÄN</t>
        </is>
      </c>
      <c r="G644" t="inlineStr">
        <is>
          <t>HÄRNÖSAND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14495-2025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45741</v>
      </c>
      <c r="E645" s="1" t="n">
        <v>46315</v>
      </c>
      <c r="F645" t="inlineStr">
        <is>
          <t>VÄSTERNORRLANDS LÄN</t>
        </is>
      </c>
      <c r="G645" t="inlineStr">
        <is>
          <t>HÄRNÖSAND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36960-2025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45874</v>
      </c>
      <c r="E646" s="1" t="n">
        <v>46315</v>
      </c>
      <c r="F646" t="inlineStr">
        <is>
          <t>VÄSTERNORRLANDS LÄN</t>
        </is>
      </c>
      <c r="G646" t="inlineStr">
        <is>
          <t>HÄRNÖSAND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36993-2025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45874</v>
      </c>
      <c r="E647" s="1" t="n">
        <v>46315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36958-2025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45874</v>
      </c>
      <c r="E648" s="1" t="n">
        <v>46315</v>
      </c>
      <c r="F648" t="inlineStr">
        <is>
          <t>VÄSTERNORRLANDS LÄN</t>
        </is>
      </c>
      <c r="G648" t="inlineStr">
        <is>
          <t>HÄRNÖSAND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36959-2025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45874</v>
      </c>
      <c r="E649" s="1" t="n">
        <v>46315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37562-2025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45880</v>
      </c>
      <c r="E650" s="1" t="n">
        <v>46315</v>
      </c>
      <c r="F650" t="inlineStr">
        <is>
          <t>VÄSTERNORRLANDS LÄN</t>
        </is>
      </c>
      <c r="G650" t="inlineStr">
        <is>
          <t>HÄRNÖSAND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46315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46315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46315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46315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46315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46315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46315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46315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46315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>
      <c r="A660" t="inlineStr">
        <is>
          <t>S 2294-2026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46267</v>
      </c>
      <c r="E660" s="1" t="n">
        <v>46315</v>
      </c>
      <c r="F660" t="inlineStr">
        <is>
          <t>VÄSTERNORRLANDS LÄN</t>
        </is>
      </c>
      <c r="G660" t="inlineStr">
        <is>
          <t>HÄRNÖSAND</t>
        </is>
      </c>
      <c r="H660" t="inlineStr">
        <is>
          <t>SCA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2026-10-20T01:53:08Z</dcterms:created>
  <dcterms:modified xmlns:dcterms="http://purl.org/dc/terms/" xmlns:xsi="http://www.w3.org/2001/XMLSchema-instance" xsi:type="dcterms:W3CDTF">2026-10-20T01:53:09Z</dcterms:modified>
</cp:coreProperties>
</file>