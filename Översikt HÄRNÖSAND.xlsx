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45575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45575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45575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45575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45575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45575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45575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45575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45575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45575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45575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45575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45575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45575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45575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45575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45575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45575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45575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45575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45575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45575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45575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45575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45575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45575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45575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45575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45575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45575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45575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45575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45575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45575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45575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45575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45575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45575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45575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45575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45575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45575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45575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45575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45575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45575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45575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45575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45575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45575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45575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45575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45575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45575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45575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45575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45575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45575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45575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45575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45575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45575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45575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45575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45575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45575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45575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45575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45575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45575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45575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45575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45575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45575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41592-2024</t>
        </is>
      </c>
      <c r="B76" s="1" t="n">
        <v>45560</v>
      </c>
      <c r="C76" s="1" t="n">
        <v>45575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41592-2024 artfynd.xlsx", "A 41592-2024")</f>
        <v/>
      </c>
      <c r="T76">
        <f>HYPERLINK("https://klasma.github.io/Logging_2280/kartor/A 41592-2024 karta.png", "A 41592-2024")</f>
        <v/>
      </c>
      <c r="V76">
        <f>HYPERLINK("https://klasma.github.io/Logging_2280/klagomål/A 41592-2024 FSC-klagomål.docx", "A 41592-2024")</f>
        <v/>
      </c>
      <c r="W76">
        <f>HYPERLINK("https://klasma.github.io/Logging_2280/klagomålsmail/A 41592-2024 FSC-klagomål mail.docx", "A 41592-2024")</f>
        <v/>
      </c>
      <c r="X76">
        <f>HYPERLINK("https://klasma.github.io/Logging_2280/tillsyn/A 41592-2024 tillsynsbegäran.docx", "A 41592-2024")</f>
        <v/>
      </c>
      <c r="Y76">
        <f>HYPERLINK("https://klasma.github.io/Logging_2280/tillsynsmail/A 41592-2024 tillsynsbegäran mail.docx", "A 41592-2024")</f>
        <v/>
      </c>
    </row>
    <row r="77" ht="15" customHeight="1">
      <c r="A77" t="inlineStr">
        <is>
          <t>A 41689-2024</t>
        </is>
      </c>
      <c r="B77" s="1" t="n">
        <v>45560</v>
      </c>
      <c r="C77" s="1" t="n">
        <v>45575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9.699999999999999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HYPERLINK("https://klasma.github.io/Logging_2280/artfynd/A 41689-2024 artfynd.xlsx", "A 41689-2024")</f>
        <v/>
      </c>
      <c r="T77">
        <f>HYPERLINK("https://klasma.github.io/Logging_2280/kartor/A 41689-2024 karta.png", "A 41689-2024")</f>
        <v/>
      </c>
      <c r="V77">
        <f>HYPERLINK("https://klasma.github.io/Logging_2280/klagomål/A 41689-2024 FSC-klagomål.docx", "A 41689-2024")</f>
        <v/>
      </c>
      <c r="W77">
        <f>HYPERLINK("https://klasma.github.io/Logging_2280/klagomålsmail/A 41689-2024 FSC-klagomål mail.docx", "A 41689-2024")</f>
        <v/>
      </c>
      <c r="X77">
        <f>HYPERLINK("https://klasma.github.io/Logging_2280/tillsyn/A 41689-2024 tillsynsbegäran.docx", "A 41689-2024")</f>
        <v/>
      </c>
      <c r="Y77">
        <f>HYPERLINK("https://klasma.github.io/Logging_2280/tillsynsmail/A 41689-2024 tillsynsbegäran mail.docx", "A 41689-2024")</f>
        <v/>
      </c>
    </row>
    <row r="78" ht="15" customHeight="1">
      <c r="A78" t="inlineStr">
        <is>
          <t>A 41414-2024</t>
        </is>
      </c>
      <c r="B78" s="1" t="n">
        <v>45560</v>
      </c>
      <c r="C78" s="1" t="n">
        <v>45575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41414-2024 artfynd.xlsx", "A 41414-2024")</f>
        <v/>
      </c>
      <c r="T78">
        <f>HYPERLINK("https://klasma.github.io/Logging_2280/kartor/A 41414-2024 karta.png", "A 41414-2024")</f>
        <v/>
      </c>
      <c r="V78">
        <f>HYPERLINK("https://klasma.github.io/Logging_2280/klagomål/A 41414-2024 FSC-klagomål.docx", "A 41414-2024")</f>
        <v/>
      </c>
      <c r="W78">
        <f>HYPERLINK("https://klasma.github.io/Logging_2280/klagomålsmail/A 41414-2024 FSC-klagomål mail.docx", "A 41414-2024")</f>
        <v/>
      </c>
      <c r="X78">
        <f>HYPERLINK("https://klasma.github.io/Logging_2280/tillsyn/A 41414-2024 tillsynsbegäran.docx", "A 41414-2024")</f>
        <v/>
      </c>
      <c r="Y78">
        <f>HYPERLINK("https://klasma.github.io/Logging_2280/tillsynsmail/A 41414-2024 tillsynsbegäran mail.docx", "A 41414-2024")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45575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45575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45575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45575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45575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45575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45575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45575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45575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45575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45575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45575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45575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45575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45575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45575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45575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45575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45575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45575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45575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45575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45575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45575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45575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45575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45575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45575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45575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45575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45575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45575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45575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45575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45575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45575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45575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45575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45575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45575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45575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45575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45575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45575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45575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45575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45575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45575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45575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45575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45575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45575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45575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45575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45575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45575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45575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45575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45575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45575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45575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45575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45575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45575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45575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45575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45575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45575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45575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45575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45575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45575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45575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45575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45575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45575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45575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45575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45575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45575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45575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45575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45575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45575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45575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45575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45575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45575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45575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45575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45575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45575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45575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45575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45575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45575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45575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45575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45575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45575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45575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45575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45575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45575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45575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45575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45575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45575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45575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45575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45575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45575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45575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45575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45575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45575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45575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45575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45575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45575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45575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45575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45575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45575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45575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45575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45575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45575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45575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45575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45575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45575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45575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45575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45575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45575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45575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45575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45575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45575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45575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45575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45575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45575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45575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45575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45575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45575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45575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45575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45575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45575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45575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45575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45575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45575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45575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45575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45575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45575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45575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45575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45575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45575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45575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45575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45575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45575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45575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45575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45575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45575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45575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45575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45575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45575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45575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45575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45575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45575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45575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45575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45575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45575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45575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45575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45575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45575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45575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45575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45575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45575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45575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45575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45575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45575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45575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45575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45575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45575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45575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45575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45575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45575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45575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45575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45575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45575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45575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45575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45575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45575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45575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45575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45575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45575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45575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45575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45575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45575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45575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45575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45575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45575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45575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45575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45575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45575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45575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45575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45575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45575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45575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45575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45575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45575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45575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45575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45575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45575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45575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45575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45575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45575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45575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45575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45575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45575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45575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45575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45575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45575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45575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45575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45575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45575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45575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45575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45575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45575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45575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45575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45575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45575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45575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45575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45575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45575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45575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45575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45575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45575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45575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45575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45575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45575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45575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45575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45575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45575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45575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45575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45575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45575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45575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45575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45575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45575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45575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45575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45575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45575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45575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45575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45575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45575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45575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45575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45575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45575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45575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45575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45575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45575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45575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45575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45575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45575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45575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45575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45575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45575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45575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45575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45575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45575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45575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45575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45575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45575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45575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45575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45575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45575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45575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45575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45575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45575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45575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45575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45575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45575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45575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45575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45575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45575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45575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45575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45575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45575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45575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45575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45575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45575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45575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45575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45575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45575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45575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45575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45575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45575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45575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45575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45575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45575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45575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45575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45575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45575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45575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45575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45575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45575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45575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45575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45575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45575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45575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45575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45575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45575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45575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45575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45575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45575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45575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45575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45575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45575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45575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45575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45575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45575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45575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45575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45575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45575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45575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45575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45575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45575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45575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45575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45575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45575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45575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45575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45575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45575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45575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45575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45575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45575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45575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45575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45575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45575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45575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45575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45575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45575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45575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45575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45575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45575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45575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45575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45575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45575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45575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45575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45575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45575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45575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45575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45575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45575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45575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45575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45575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45575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45575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45575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45575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45575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45575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45575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45575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45575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45575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45575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45575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45575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45575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45575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45575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45575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45575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45575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45575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45575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45575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45575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45575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45575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45575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45575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45575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45575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45575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45575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45575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45575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45575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45575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45575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45575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45575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45575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45575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45575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45575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45575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45575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45575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45575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45575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45575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45575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45575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45575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45575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45575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45575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45575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45575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45575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45575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45575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45575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45575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45575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45575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45575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45575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45575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45575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45575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45575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45575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45575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45575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45575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45575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45575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45575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45575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45575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45575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45575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45575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45575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45575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45575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45575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45575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45575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45575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45575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45575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45575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45575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45575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45575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45575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45575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45575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45575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45575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45575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45575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45575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45575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45575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45575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45575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45575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45575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45575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45575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45575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45575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45575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45575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45575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45575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45575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45575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45575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45575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45575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45575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45575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45575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45575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45575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45575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45575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45575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45575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45575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45575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45575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45575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45575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45575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45575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45575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45575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45575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45575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45575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45575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45575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45575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45575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45575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45575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45575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45575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45575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45575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45575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45575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45575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45575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45575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45575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45575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45575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45575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45575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45575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45575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45575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45575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45575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45575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45575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45575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45575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45575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45575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45575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45575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45575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45575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45575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45575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45575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45575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45575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45575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45575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45575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45575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45575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45575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45575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45575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45575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45575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45575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45575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45575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45575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45575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45575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45575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45575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45575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45575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45575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45575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45575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45575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45575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45575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45575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45575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45575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45575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45575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45575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45575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45575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45575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45575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45575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45575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45575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45575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45575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45575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45575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45575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45575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45575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45575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45575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45575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45575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45575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45575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45575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45575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45575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45575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45575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45575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45575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45575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45575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45575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45575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45575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45575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45575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45575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45575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45575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45575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45575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45575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45575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45575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45575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45575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45575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45575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45575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45575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45575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45575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45575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45575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45575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45575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45575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45575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45575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45575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45575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45575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45575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45575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45575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45575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45575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45575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45575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45575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45575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45575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45575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45575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45575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45575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45575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45575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45575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45575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45575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45575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45575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45575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45575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45575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45575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45575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45575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45575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45575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45575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45575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45575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45575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45575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45575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45575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45575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45575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45575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45575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45575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45575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45575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45575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45575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45575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45575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45575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45575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45575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45575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45575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45575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45575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45575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45575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45575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45575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45575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45575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45575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45575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45575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45575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45575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45575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39049-2024</t>
        </is>
      </c>
      <c r="B850" s="1" t="n">
        <v>45548</v>
      </c>
      <c r="C850" s="1" t="n">
        <v>45575</v>
      </c>
      <c r="D850" t="inlineStr">
        <is>
          <t>VÄSTERNORRLANDS LÄN</t>
        </is>
      </c>
      <c r="E850" t="inlineStr">
        <is>
          <t>HÄRNÖSAND</t>
        </is>
      </c>
      <c r="G850" t="n">
        <v>12.5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39048-2024</t>
        </is>
      </c>
      <c r="B851" s="1" t="n">
        <v>45548</v>
      </c>
      <c r="C851" s="1" t="n">
        <v>45575</v>
      </c>
      <c r="D851" t="inlineStr">
        <is>
          <t>VÄSTERNORRLANDS LÄN</t>
        </is>
      </c>
      <c r="E851" t="inlineStr">
        <is>
          <t>HÄRNÖSAND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39123-2024</t>
        </is>
      </c>
      <c r="B852" s="1" t="n">
        <v>45548</v>
      </c>
      <c r="C852" s="1" t="n">
        <v>45575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38945-2024</t>
        </is>
      </c>
      <c r="B853" s="1" t="n">
        <v>45548</v>
      </c>
      <c r="C853" s="1" t="n">
        <v>45575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45575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45575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45575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45575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45575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45575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45575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45575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41962-2024</t>
        </is>
      </c>
      <c r="B862" s="1" t="n">
        <v>45561</v>
      </c>
      <c r="C862" s="1" t="n">
        <v>45575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41807-2024</t>
        </is>
      </c>
      <c r="B863" s="1" t="n">
        <v>45561</v>
      </c>
      <c r="C863" s="1" t="n">
        <v>45575</v>
      </c>
      <c r="D863" t="inlineStr">
        <is>
          <t>VÄSTERNORRLANDS LÄN</t>
        </is>
      </c>
      <c r="E863" t="inlineStr">
        <is>
          <t>HÄRNÖSAND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42197-2024</t>
        </is>
      </c>
      <c r="B864" s="1" t="n">
        <v>45562</v>
      </c>
      <c r="C864" s="1" t="n">
        <v>45575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42198-2024</t>
        </is>
      </c>
      <c r="B865" s="1" t="n">
        <v>45562</v>
      </c>
      <c r="C865" s="1" t="n">
        <v>45575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42237-2024</t>
        </is>
      </c>
      <c r="B866" s="1" t="n">
        <v>45562</v>
      </c>
      <c r="C866" s="1" t="n">
        <v>45575</v>
      </c>
      <c r="D866" t="inlineStr">
        <is>
          <t>VÄSTERNORRLANDS LÄN</t>
        </is>
      </c>
      <c r="E866" t="inlineStr">
        <is>
          <t>HÄRNÖSAND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42214-2024</t>
        </is>
      </c>
      <c r="B867" s="1" t="n">
        <v>45562</v>
      </c>
      <c r="C867" s="1" t="n">
        <v>45575</v>
      </c>
      <c r="D867" t="inlineStr">
        <is>
          <t>VÄSTERNORRLANDS LÄN</t>
        </is>
      </c>
      <c r="E867" t="inlineStr">
        <is>
          <t>HÄRNÖSAND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42343-2024</t>
        </is>
      </c>
      <c r="B868" s="1" t="n">
        <v>45562</v>
      </c>
      <c r="C868" s="1" t="n">
        <v>45575</v>
      </c>
      <c r="D868" t="inlineStr">
        <is>
          <t>VÄSTERNORRLANDS LÄN</t>
        </is>
      </c>
      <c r="E868" t="inlineStr">
        <is>
          <t>HÄRNÖSAND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45575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45575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42788-2024</t>
        </is>
      </c>
      <c r="B871" s="1" t="n">
        <v>45566</v>
      </c>
      <c r="C871" s="1" t="n">
        <v>45575</v>
      </c>
      <c r="D871" t="inlineStr">
        <is>
          <t>VÄSTERNORRLANDS LÄN</t>
        </is>
      </c>
      <c r="E871" t="inlineStr">
        <is>
          <t>HÄRNÖSAND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42818-2024</t>
        </is>
      </c>
      <c r="B872" s="1" t="n">
        <v>45566</v>
      </c>
      <c r="C872" s="1" t="n">
        <v>45575</v>
      </c>
      <c r="D872" t="inlineStr">
        <is>
          <t>VÄSTERNORRLANDS LÄN</t>
        </is>
      </c>
      <c r="E872" t="inlineStr">
        <is>
          <t>HÄRNÖSAND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45575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43026-2024</t>
        </is>
      </c>
      <c r="B874" s="1" t="n">
        <v>45567</v>
      </c>
      <c r="C874" s="1" t="n">
        <v>45575</v>
      </c>
      <c r="D874" t="inlineStr">
        <is>
          <t>VÄSTERNORRLANDS LÄN</t>
        </is>
      </c>
      <c r="E874" t="inlineStr">
        <is>
          <t>HÄRNÖSAND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43027-2024</t>
        </is>
      </c>
      <c r="B875" s="1" t="n">
        <v>45567</v>
      </c>
      <c r="C875" s="1" t="n">
        <v>45575</v>
      </c>
      <c r="D875" t="inlineStr">
        <is>
          <t>VÄSTERNORRLANDS LÄN</t>
        </is>
      </c>
      <c r="E875" t="inlineStr">
        <is>
          <t>HÄRNÖSAND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45575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45575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44459-2024</t>
        </is>
      </c>
      <c r="B878" s="1" t="n">
        <v>45574</v>
      </c>
      <c r="C878" s="1" t="n">
        <v>45575</v>
      </c>
      <c r="D878" t="inlineStr">
        <is>
          <t>VÄSTERNORRLANDS LÄN</t>
        </is>
      </c>
      <c r="E878" t="inlineStr">
        <is>
          <t>HÄRNÖSAND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44590-2024</t>
        </is>
      </c>
      <c r="B879" s="1" t="n">
        <v>45574</v>
      </c>
      <c r="C879" s="1" t="n">
        <v>45575</v>
      </c>
      <c r="D879" t="inlineStr">
        <is>
          <t>VÄSTERNORRLANDS LÄN</t>
        </is>
      </c>
      <c r="E879" t="inlineStr">
        <is>
          <t>HÄRNÖSAND</t>
        </is>
      </c>
      <c r="G879" t="n">
        <v>11.9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44628-2024</t>
        </is>
      </c>
      <c r="B880" s="1" t="n">
        <v>45574</v>
      </c>
      <c r="C880" s="1" t="n">
        <v>45575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44461-2024</t>
        </is>
      </c>
      <c r="B881" s="1" t="n">
        <v>45574</v>
      </c>
      <c r="C881" s="1" t="n">
        <v>45575</v>
      </c>
      <c r="D881" t="inlineStr">
        <is>
          <t>VÄSTERNORRLANDS LÄN</t>
        </is>
      </c>
      <c r="E881" t="inlineStr">
        <is>
          <t>HÄRNÖSAND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44462-2024</t>
        </is>
      </c>
      <c r="B882" s="1" t="n">
        <v>45574</v>
      </c>
      <c r="C882" s="1" t="n">
        <v>45575</v>
      </c>
      <c r="D882" t="inlineStr">
        <is>
          <t>VÄSTERNORRLANDS LÄN</t>
        </is>
      </c>
      <c r="E882" t="inlineStr">
        <is>
          <t>HÄRNÖSAND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2024-10-10T12:18:07Z</dcterms:created>
  <dcterms:modified xmlns:dcterms="http://purl.org/dc/terms/" xmlns:xsi="http://www.w3.org/2001/XMLSchema-instance" xsi:type="dcterms:W3CDTF">2024-10-10T12:18:08Z</dcterms:modified>
</cp:coreProperties>
</file>