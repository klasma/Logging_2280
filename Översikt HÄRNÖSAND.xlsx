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46306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46306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46306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46306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46306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46306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46306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46306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46306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46306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46306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46306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46306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46306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46306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39049-2024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45548</v>
      </c>
      <c r="E27" s="1" t="n">
        <v>46306</v>
      </c>
      <c r="F27" t="inlineStr">
        <is>
          <t>VÄSTERNORRLANDS LÄN</t>
        </is>
      </c>
      <c r="G27" t="inlineStr">
        <is>
          <t>HÄRNÖSAND</t>
        </is>
      </c>
      <c r="I27" t="n">
        <v>12.5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7</v>
      </c>
      <c r="U27" t="n">
        <v>7</v>
      </c>
      <c r="V27" s="2" t="inlineStr">
        <is>
          <t>Garnlav
Gränsticka
Kötticka
Ullticka
Vedticka</t>
        </is>
      </c>
      <c r="W27">
        <f>HYPERLINK("https://klasma.github.io/Logging_2280/artfynd/A 39049-2024 artfynd.xlsx", "A 39049-2024")</f>
        <v/>
      </c>
      <c r="X27">
        <f>HYPERLINK("https://klasma.github.io/Logging_2280/kartor/A 39049-2024 karta.png", "A 39049-2024")</f>
        <v/>
      </c>
      <c r="Y27">
        <f>HYPERLINK("https://klasma.github.io/Logging_2280/kartor_geotiff/A 39049-2024 georefererad karta.tif", "A 39049-2024")</f>
        <v/>
      </c>
      <c r="AA27">
        <f>HYPERLINK("https://klasma.github.io/Logging_2280/klagomål/A 39049-2024 FSC-klagomål.docx", "A 39049-2024")</f>
        <v/>
      </c>
      <c r="AB27">
        <f>HYPERLINK("https://klasma.github.io/Logging_2280/klagomålsmail/A 39049-2024 FSC-klagomål mail.docx", "A 39049-2024")</f>
        <v/>
      </c>
      <c r="AC27">
        <f>HYPERLINK("https://klasma.github.io/Logging_2280/tillsyn/A 39049-2024 tillsynsbegäran.docx", "A 39049-2024")</f>
        <v/>
      </c>
      <c r="AD27">
        <f>HYPERLINK("https://klasma.github.io/Logging_2280/tillsynsmail/A 39049-2024 tillsynsbegäran mail.docx", "A 39049-2024")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46306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46306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46306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46306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46306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32639-2024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45513</v>
      </c>
      <c r="E34" s="1" t="n">
        <v>46306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1.3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Garnlav
Ullticka
Vitgrynig nållav
Skinnlav</t>
        </is>
      </c>
      <c r="W34">
        <f>HYPERLINK("https://klasma.github.io/Logging_2280/artfynd/A 32639-2024 artfynd.xlsx", "A 32639-2024")</f>
        <v/>
      </c>
      <c r="X34">
        <f>HYPERLINK("https://klasma.github.io/Logging_2280/kartor/A 32639-2024 karta.png", "A 32639-2024")</f>
        <v/>
      </c>
      <c r="Y34">
        <f>HYPERLINK("https://klasma.github.io/Logging_2280/kartor_geotiff/A 32639-2024 georefererad karta.tif", "A 32639-2024")</f>
        <v/>
      </c>
      <c r="AA34">
        <f>HYPERLINK("https://klasma.github.io/Logging_2280/klagomål/A 32639-2024 FSC-klagomål.docx", "A 32639-2024")</f>
        <v/>
      </c>
      <c r="AB34">
        <f>HYPERLINK("https://klasma.github.io/Logging_2280/klagomålsmail/A 32639-2024 FSC-klagomål mail.docx", "A 32639-2024")</f>
        <v/>
      </c>
      <c r="AC34">
        <f>HYPERLINK("https://klasma.github.io/Logging_2280/tillsyn/A 32639-2024 tillsynsbegäran.docx", "A 32639-2024")</f>
        <v/>
      </c>
      <c r="AD34">
        <f>HYPERLINK("https://klasma.github.io/Logging_2280/tillsynsmail/A 32639-2024 tillsynsbegäran mail.docx", "A 32639-2024")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46306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46306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46306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46306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46306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46306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46306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46306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46306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46306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46306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46306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46306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46306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46306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46306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46306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46306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46306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46306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46306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46306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46306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46306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46306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46306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46306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46306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46306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46306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46306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61828-2024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45649</v>
      </c>
      <c r="E73" s="1" t="n">
        <v>46306</v>
      </c>
      <c r="F73" t="inlineStr">
        <is>
          <t>VÄSTERNORRLANDS LÄN</t>
        </is>
      </c>
      <c r="G73" t="inlineStr">
        <is>
          <t>HÄRNÖSAND</t>
        </is>
      </c>
      <c r="I73" t="n">
        <v>0.7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Luddfingersvamp</t>
        </is>
      </c>
      <c r="W73">
        <f>HYPERLINK("https://klasma.github.io/Logging_2280/artfynd/A 61828-2024 artfynd.xlsx", "A 61828-2024")</f>
        <v/>
      </c>
      <c r="X73">
        <f>HYPERLINK("https://klasma.github.io/Logging_2280/kartor/A 61828-2024 karta.png", "A 61828-2024")</f>
        <v/>
      </c>
      <c r="Y73">
        <f>HYPERLINK("https://klasma.github.io/Logging_2280/kartor_geotiff/A 61828-2024 georefererad karta.tif", "A 61828-2024")</f>
        <v/>
      </c>
      <c r="AA73">
        <f>HYPERLINK("https://klasma.github.io/Logging_2280/klagomål/A 61828-2024 FSC-klagomål.docx", "A 61828-2024")</f>
        <v/>
      </c>
      <c r="AB73">
        <f>HYPERLINK("https://klasma.github.io/Logging_2280/klagomålsmail/A 61828-2024 FSC-klagomål mail.docx", "A 61828-2024")</f>
        <v/>
      </c>
      <c r="AC73">
        <f>HYPERLINK("https://klasma.github.io/Logging_2280/tillsyn/A 61828-2024 tillsynsbegäran.docx", "A 61828-2024")</f>
        <v/>
      </c>
      <c r="AD73">
        <f>HYPERLINK("https://klasma.github.io/Logging_2280/tillsynsmail/A 61828-2024 tillsynsbegäran mail.docx", "A 61828-2024")</f>
        <v/>
      </c>
    </row>
    <row r="74" ht="15" customHeight="1">
      <c r="A74" t="inlineStr">
        <is>
          <t>A 19077-2024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45428</v>
      </c>
      <c r="E74" s="1" t="n">
        <v>46306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3.3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HYPERLINK("https://klasma.github.io/Logging_2280/artfynd/A 19077-2024 artfynd.xlsx", "A 19077-2024")</f>
        <v/>
      </c>
      <c r="X74">
        <f>HYPERLINK("https://klasma.github.io/Logging_2280/kartor/A 19077-2024 karta.png", "A 19077-2024")</f>
        <v/>
      </c>
      <c r="Y74">
        <f>HYPERLINK("https://klasma.github.io/Logging_2280/kartor_geotiff/A 19077-2024 georefererad karta.tif", "A 19077-2024")</f>
        <v/>
      </c>
      <c r="AA74">
        <f>HYPERLINK("https://klasma.github.io/Logging_2280/klagomål/A 19077-2024 FSC-klagomål.docx", "A 19077-2024")</f>
        <v/>
      </c>
      <c r="AB74">
        <f>HYPERLINK("https://klasma.github.io/Logging_2280/klagomålsmail/A 19077-2024 FSC-klagomål mail.docx", "A 19077-2024")</f>
        <v/>
      </c>
      <c r="AC74">
        <f>HYPERLINK("https://klasma.github.io/Logging_2280/tillsyn/A 19077-2024 tillsynsbegäran.docx", "A 19077-2024")</f>
        <v/>
      </c>
      <c r="AD74">
        <f>HYPERLINK("https://klasma.github.io/Logging_2280/tillsynsmail/A 19077-2024 tillsynsbegäran mail.docx", "A 19077-2024")</f>
        <v/>
      </c>
    </row>
    <row r="75" ht="15" customHeight="1">
      <c r="A75" t="inlineStr">
        <is>
          <t>A 8407-2024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46306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Lunglav</t>
        </is>
      </c>
      <c r="W75">
        <f>HYPERLINK("https://klasma.github.io/Logging_2280/artfynd/A 8407-2024 artfynd.xlsx", "A 8407-2024")</f>
        <v/>
      </c>
      <c r="X75">
        <f>HYPERLINK("https://klasma.github.io/Logging_2280/kartor/A 8407-2024 karta.png", "A 8407-2024")</f>
        <v/>
      </c>
      <c r="Y75">
        <f>HYPERLINK("https://klasma.github.io/Logging_2280/kartor_geotiff/A 8407-2024 georefererad karta.tif", "A 8407-2024")</f>
        <v/>
      </c>
      <c r="AA75">
        <f>HYPERLINK("https://klasma.github.io/Logging_2280/klagomål/A 8407-2024 FSC-klagomål.docx", "A 8407-2024")</f>
        <v/>
      </c>
      <c r="AB75">
        <f>HYPERLINK("https://klasma.github.io/Logging_2280/klagomålsmail/A 8407-2024 FSC-klagomål mail.docx", "A 8407-2024")</f>
        <v/>
      </c>
      <c r="AC75">
        <f>HYPERLINK("https://klasma.github.io/Logging_2280/tillsyn/A 8407-2024 tillsynsbegäran.docx", "A 8407-2024")</f>
        <v/>
      </c>
      <c r="AD75">
        <f>HYPERLINK("https://klasma.github.io/Logging_2280/tillsynsmail/A 8407-2024 tillsynsbegäran mail.docx", "A 8407-2024")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46306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46306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46707-2024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46306</v>
      </c>
      <c r="F78" t="inlineStr">
        <is>
          <t>VÄSTERNORRLANDS LÄN</t>
        </is>
      </c>
      <c r="G78" t="inlineStr">
        <is>
          <t>HÄRNÖSAND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Tretåig hackspett</t>
        </is>
      </c>
      <c r="W78">
        <f>HYPERLINK("https://klasma.github.io/Logging_2280/artfynd/A 46707-2024 artfynd.xlsx", "A 46707-2024")</f>
        <v/>
      </c>
      <c r="X78">
        <f>HYPERLINK("https://klasma.github.io/Logging_2280/kartor/A 46707-2024 karta.png", "A 46707-2024")</f>
        <v/>
      </c>
      <c r="Y78">
        <f>HYPERLINK("https://klasma.github.io/Logging_2280/kartor_geotiff/A 46707-2024 georefererad karta.tif", "A 46707-2024")</f>
        <v/>
      </c>
      <c r="AA78">
        <f>HYPERLINK("https://klasma.github.io/Logging_2280/klagomål/A 46707-2024 FSC-klagomål.docx", "A 46707-2024")</f>
        <v/>
      </c>
      <c r="AB78">
        <f>HYPERLINK("https://klasma.github.io/Logging_2280/klagomålsmail/A 46707-2024 FSC-klagomål mail.docx", "A 46707-2024")</f>
        <v/>
      </c>
      <c r="AC78">
        <f>HYPERLINK("https://klasma.github.io/Logging_2280/tillsyn/A 46707-2024 tillsynsbegäran.docx", "A 46707-2024")</f>
        <v/>
      </c>
      <c r="AD78">
        <f>HYPERLINK("https://klasma.github.io/Logging_2280/tillsynsmail/A 46707-2024 tillsynsbegäran mail.docx", "A 46707-2024")</f>
        <v/>
      </c>
      <c r="AE78">
        <f>HYPERLINK("https://klasma.github.io/Logging_2280/fåglar/A 46707-2024 prioriterade fågelarter.docx", "A 46707-2024")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46306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26086-2025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46306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HYPERLINK("https://klasma.github.io/Logging_2280/artfynd/A 26086-2025 artfynd.xlsx", "A 26086-2025")</f>
        <v/>
      </c>
      <c r="X80">
        <f>HYPERLINK("https://klasma.github.io/Logging_2280/kartor/A 26086-2025 karta.png", "A 26086-2025")</f>
        <v/>
      </c>
      <c r="Y80">
        <f>HYPERLINK("https://klasma.github.io/Logging_2280/kartor_geotiff/A 26086-2025 georefererad karta.tif", "A 26086-2025")</f>
        <v/>
      </c>
      <c r="AA80">
        <f>HYPERLINK("https://klasma.github.io/Logging_2280/klagomål/A 26086-2025 FSC-klagomål.docx", "A 26086-2025")</f>
        <v/>
      </c>
      <c r="AB80">
        <f>HYPERLINK("https://klasma.github.io/Logging_2280/klagomålsmail/A 26086-2025 FSC-klagomål mail.docx", "A 26086-2025")</f>
        <v/>
      </c>
      <c r="AC80">
        <f>HYPERLINK("https://klasma.github.io/Logging_2280/tillsyn/A 26086-2025 tillsynsbegäran.docx", "A 26086-2025")</f>
        <v/>
      </c>
      <c r="AD80">
        <f>HYPERLINK("https://klasma.github.io/Logging_2280/tillsynsmail/A 26086-2025 tillsynsbegäran mail.docx", "A 26086-2025")</f>
        <v/>
      </c>
      <c r="AE80">
        <f>HYPERLINK("https://klasma.github.io/Logging_2280/fåglar/A 26086-2025 prioriterade fågelarter.docx", "A 26086-2025")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46306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46306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HYPERLINK("https://klasma.github.io/Logging_2280/artfynd/A 7853-2024 artfynd.xlsx", "A 7853-2024")</f>
        <v/>
      </c>
      <c r="X82">
        <f>HYPERLINK("https://klasma.github.io/Logging_2280/kartor/A 7853-2024 karta.png", "A 7853-2024")</f>
        <v/>
      </c>
      <c r="Y82">
        <f>HYPERLINK("https://klasma.github.io/Logging_2280/kartor_geotiff/A 7853-2024 georefererad karta.tif", "A 7853-2024")</f>
        <v/>
      </c>
      <c r="AA82">
        <f>HYPERLINK("https://klasma.github.io/Logging_2280/klagomål/A 7853-2024 FSC-klagomål.docx", "A 7853-2024")</f>
        <v/>
      </c>
      <c r="AB82">
        <f>HYPERLINK("https://klasma.github.io/Logging_2280/klagomålsmail/A 7853-2024 FSC-klagomål mail.docx", "A 7853-2024")</f>
        <v/>
      </c>
      <c r="AC82">
        <f>HYPERLINK("https://klasma.github.io/Logging_2280/tillsyn/A 7853-2024 tillsynsbegäran.docx", "A 7853-2024")</f>
        <v/>
      </c>
      <c r="AD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46306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13984-2023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46306</v>
      </c>
      <c r="F84" t="inlineStr">
        <is>
          <t>VÄSTERNORRLANDS LÄN</t>
        </is>
      </c>
      <c r="G84" t="inlineStr">
        <is>
          <t>HÄRNÖSAND</t>
        </is>
      </c>
      <c r="I84" t="n">
        <v>2.3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Fläcknycklar</t>
        </is>
      </c>
      <c r="W84">
        <f>HYPERLINK("https://klasma.github.io/Logging_2280/artfynd/A 13984-2023 artfynd.xlsx", "A 13984-2023")</f>
        <v/>
      </c>
      <c r="X84">
        <f>HYPERLINK("https://klasma.github.io/Logging_2280/kartor/A 13984-2023 karta.png", "A 13984-2023")</f>
        <v/>
      </c>
      <c r="Y84">
        <f>HYPERLINK("https://klasma.github.io/Logging_2280/kartor_geotiff/A 13984-2023 georefererad karta.tif", "A 13984-2023")</f>
        <v/>
      </c>
      <c r="AA84">
        <f>HYPERLINK("https://klasma.github.io/Logging_2280/klagomål/A 13984-2023 FSC-klagomål.docx", "A 13984-2023")</f>
        <v/>
      </c>
      <c r="AB84">
        <f>HYPERLINK("https://klasma.github.io/Logging_2280/klagomålsmail/A 13984-2023 FSC-klagomål mail.docx", "A 13984-2023")</f>
        <v/>
      </c>
      <c r="AC84">
        <f>HYPERLINK("https://klasma.github.io/Logging_2280/tillsyn/A 13984-2023 tillsynsbegäran.docx", "A 13984-2023")</f>
        <v/>
      </c>
      <c r="AD84">
        <f>HYPERLINK("https://klasma.github.io/Logging_2280/tillsynsmail/A 13984-2023 tillsynsbegäran mail.docx", "A 13984-2023")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46306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46306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HYPERLINK("https://klasma.github.io/Logging_2280/artfynd/A 24202-2024 artfynd.xlsx", "A 24202-2024")</f>
        <v/>
      </c>
      <c r="X86">
        <f>HYPERLINK("https://klasma.github.io/Logging_2280/kartor/A 24202-2024 karta.png", "A 24202-2024")</f>
        <v/>
      </c>
      <c r="Y86">
        <f>HYPERLINK("https://klasma.github.io/Logging_2280/kartor_geotiff/A 24202-2024 georefererad karta.tif", "A 24202-2024")</f>
        <v/>
      </c>
      <c r="AA86">
        <f>HYPERLINK("https://klasma.github.io/Logging_2280/klagomål/A 24202-2024 FSC-klagomål.docx", "A 24202-2024")</f>
        <v/>
      </c>
      <c r="AB86">
        <f>HYPERLINK("https://klasma.github.io/Logging_2280/klagomålsmail/A 24202-2024 FSC-klagomål mail.docx", "A 24202-2024")</f>
        <v/>
      </c>
      <c r="AC86">
        <f>HYPERLINK("https://klasma.github.io/Logging_2280/tillsyn/A 24202-2024 tillsynsbegäran.docx", "A 24202-2024")</f>
        <v/>
      </c>
      <c r="AD86">
        <f>HYPERLINK("https://klasma.github.io/Logging_2280/tillsynsmail/A 24202-2024 tillsynsbegäran mail.docx", "A 24202-2024")</f>
        <v/>
      </c>
    </row>
    <row r="87" ht="15" customHeight="1">
      <c r="A87" t="inlineStr">
        <is>
          <t>A 1190-2026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46306</v>
      </c>
      <c r="F87" t="inlineStr">
        <is>
          <t>VÄSTERNORRLANDS LÄN</t>
        </is>
      </c>
      <c r="G87" t="inlineStr">
        <is>
          <t>HÄRNÖSAND</t>
        </is>
      </c>
      <c r="I87" t="n">
        <v>3.5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Tretåig hackspett</t>
        </is>
      </c>
      <c r="W87">
        <f>HYPERLINK("https://klasma.github.io/Logging_2280/artfynd/A 1190-2026 artfynd.xlsx", "A 1190-2026")</f>
        <v/>
      </c>
      <c r="X87">
        <f>HYPERLINK("https://klasma.github.io/Logging_2280/kartor/A 1190-2026 karta.png", "A 1190-2026")</f>
        <v/>
      </c>
      <c r="Y87">
        <f>HYPERLINK("https://klasma.github.io/Logging_2280/kartor_geotiff/A 1190-2026 georefererad karta.tif", "A 1190-2026")</f>
        <v/>
      </c>
      <c r="AA87">
        <f>HYPERLINK("https://klasma.github.io/Logging_2280/klagomål/A 1190-2026 FSC-klagomål.docx", "A 1190-2026")</f>
        <v/>
      </c>
      <c r="AB87">
        <f>HYPERLINK("https://klasma.github.io/Logging_2280/klagomålsmail/A 1190-2026 FSC-klagomål mail.docx", "A 1190-2026")</f>
        <v/>
      </c>
      <c r="AC87">
        <f>HYPERLINK("https://klasma.github.io/Logging_2280/tillsyn/A 1190-2026 tillsynsbegäran.docx", "A 1190-2026")</f>
        <v/>
      </c>
      <c r="AD87">
        <f>HYPERLINK("https://klasma.github.io/Logging_2280/tillsynsmail/A 1190-2026 tillsynsbegäran mail.docx", "A 1190-2026")</f>
        <v/>
      </c>
      <c r="AE87">
        <f>HYPERLINK("https://klasma.github.io/Logging_2280/fåglar/A 1190-2026 prioriterade fågelarter.docx", "A 1190-2026")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46306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46306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25340-2026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46176</v>
      </c>
      <c r="E90" s="1" t="n">
        <v>46306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Garnlav</t>
        </is>
      </c>
      <c r="W90">
        <f>HYPERLINK("https://klasma.github.io/Logging_2280/artfynd/A 25340-2026 artfynd.xlsx", "A 25340-2026")</f>
        <v/>
      </c>
      <c r="X90">
        <f>HYPERLINK("https://klasma.github.io/Logging_2280/kartor/A 25340-2026 karta.png", "A 25340-2026")</f>
        <v/>
      </c>
      <c r="Y90">
        <f>HYPERLINK("https://klasma.github.io/Logging_2280/kartor_geotiff/A 25340-2026 georefererad karta.tif", "A 25340-2026")</f>
        <v/>
      </c>
      <c r="AA90">
        <f>HYPERLINK("https://klasma.github.io/Logging_2280/klagomål/A 25340-2026 FSC-klagomål.docx", "A 25340-2026")</f>
        <v/>
      </c>
      <c r="AB90">
        <f>HYPERLINK("https://klasma.github.io/Logging_2280/klagomålsmail/A 25340-2026 FSC-klagomål mail.docx", "A 25340-2026")</f>
        <v/>
      </c>
      <c r="AC90">
        <f>HYPERLINK("https://klasma.github.io/Logging_2280/tillsyn/A 25340-2026 tillsynsbegäran.docx", "A 25340-2026")</f>
        <v/>
      </c>
      <c r="AD90">
        <f>HYPERLINK("https://klasma.github.io/Logging_2280/tillsynsmail/A 25340-2026 tillsynsbegäran mail.docx", "A 25340-2026")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46306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46306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30907-2026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46213</v>
      </c>
      <c r="E93" s="1" t="n">
        <v>46306</v>
      </c>
      <c r="F93" t="inlineStr">
        <is>
          <t>VÄSTERNORRLANDS LÄN</t>
        </is>
      </c>
      <c r="G93" t="inlineStr">
        <is>
          <t>HÄRNÖSAND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HYPERLINK("https://klasma.github.io/Logging_2280/artfynd/A 30907-2026 artfynd.xlsx", "A 30907-2026")</f>
        <v/>
      </c>
      <c r="X93">
        <f>HYPERLINK("https://klasma.github.io/Logging_2280/kartor/A 30907-2026 karta.png", "A 30907-2026")</f>
        <v/>
      </c>
      <c r="Y93">
        <f>HYPERLINK("https://klasma.github.io/Logging_2280/kartor_geotiff/A 30907-2026 georefererad karta.tif", "A 30907-2026")</f>
        <v/>
      </c>
      <c r="AA93">
        <f>HYPERLINK("https://klasma.github.io/Logging_2280/klagomål/A 30907-2026 FSC-klagomål.docx", "A 30907-2026")</f>
        <v/>
      </c>
      <c r="AB93">
        <f>HYPERLINK("https://klasma.github.io/Logging_2280/klagomålsmail/A 30907-2026 FSC-klagomål mail.docx", "A 30907-2026")</f>
        <v/>
      </c>
      <c r="AC93">
        <f>HYPERLINK("https://klasma.github.io/Logging_2280/tillsyn/A 30907-2026 tillsynsbegäran.docx", "A 30907-2026")</f>
        <v/>
      </c>
      <c r="AD93">
        <f>HYPERLINK("https://klasma.github.io/Logging_2280/tillsynsmail/A 30907-2026 tillsynsbegäran mail.docx", "A 30907-2026")</f>
        <v/>
      </c>
      <c r="AE93">
        <f>HYPERLINK("https://klasma.github.io/Logging_2280/fåglar/A 30907-2026 prioriterade fågelarter.docx", "A 30907-2026")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46306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46306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46306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46306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46306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46306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46306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46306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46306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46306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46306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46306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46306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46306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46306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46306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44848</v>
      </c>
      <c r="E110" s="1" t="n">
        <v>46306</v>
      </c>
      <c r="F110" t="inlineStr">
        <is>
          <t>VÄSTERNORRLANDS LÄN</t>
        </is>
      </c>
      <c r="G110" t="inlineStr">
        <is>
          <t>HÄRNÖSAND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46306</v>
      </c>
      <c r="F111" t="inlineStr">
        <is>
          <t>VÄSTERNORRLANDS LÄN</t>
        </is>
      </c>
      <c r="G111" t="inlineStr">
        <is>
          <t>HÄRNÖSAND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44571</v>
      </c>
      <c r="E112" s="1" t="n">
        <v>46306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64682-2021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46306</v>
      </c>
      <c r="F113" t="inlineStr">
        <is>
          <t>VÄSTERNORRLANDS LÄN</t>
        </is>
      </c>
      <c r="G113" t="inlineStr">
        <is>
          <t>HÄRNÖSAND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16616-2022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44672</v>
      </c>
      <c r="E114" s="1" t="n">
        <v>46306</v>
      </c>
      <c r="F114" t="inlineStr">
        <is>
          <t>VÄSTERNORRLANDS LÄN</t>
        </is>
      </c>
      <c r="G114" t="inlineStr">
        <is>
          <t>HÄRNÖSAND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46306</v>
      </c>
      <c r="F115" t="inlineStr">
        <is>
          <t>VÄSTERNORRLANDS LÄN</t>
        </is>
      </c>
      <c r="G115" t="inlineStr">
        <is>
          <t>HÄRNÖSAND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46306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46306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46306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46306</v>
      </c>
      <c r="F119" t="inlineStr">
        <is>
          <t>VÄSTERNORRLANDS LÄN</t>
        </is>
      </c>
      <c r="G119" t="inlineStr">
        <is>
          <t>HÄRNÖSAND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46306</v>
      </c>
      <c r="F120" t="inlineStr">
        <is>
          <t>VÄSTERNORRLANDS LÄN</t>
        </is>
      </c>
      <c r="G120" t="inlineStr">
        <is>
          <t>HÄRNÖSAND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46306</v>
      </c>
      <c r="F121" t="inlineStr">
        <is>
          <t>VÄSTERNORRLANDS LÄN</t>
        </is>
      </c>
      <c r="G121" t="inlineStr">
        <is>
          <t>HÄRNÖSAND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46306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36649-2022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44804</v>
      </c>
      <c r="E123" s="1" t="n">
        <v>46306</v>
      </c>
      <c r="F123" t="inlineStr">
        <is>
          <t>VÄSTERNORRLANDS LÄN</t>
        </is>
      </c>
      <c r="G123" t="inlineStr">
        <is>
          <t>HÄRNÖSAND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46306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46306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46306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26398-2022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46306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46306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46306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46306</v>
      </c>
      <c r="F130" t="inlineStr">
        <is>
          <t>VÄSTERNORRLANDS LÄN</t>
        </is>
      </c>
      <c r="G130" t="inlineStr">
        <is>
          <t>HÄRNÖSAND</t>
        </is>
      </c>
      <c r="H130" t="inlineStr">
        <is>
          <t>SCA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46306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46306</v>
      </c>
      <c r="F132" t="inlineStr">
        <is>
          <t>VÄSTERNORRLANDS LÄN</t>
        </is>
      </c>
      <c r="G132" t="inlineStr">
        <is>
          <t>HÄRNÖSAND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46306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46306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Övriga statliga verk och myndigheter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46306</v>
      </c>
      <c r="F135" t="inlineStr">
        <is>
          <t>VÄSTERNORRLANDS LÄN</t>
        </is>
      </c>
      <c r="G135" t="inlineStr">
        <is>
          <t>HÄRNÖSAND</t>
        </is>
      </c>
      <c r="I135" t="n">
        <v>14.2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46306</v>
      </c>
      <c r="F136" t="inlineStr">
        <is>
          <t>VÄSTERNORRLANDS LÄN</t>
        </is>
      </c>
      <c r="G136" t="inlineStr">
        <is>
          <t>HÄRNÖSAND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46306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18885-2023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45044</v>
      </c>
      <c r="E138" s="1" t="n">
        <v>46306</v>
      </c>
      <c r="F138" t="inlineStr">
        <is>
          <t>VÄSTERNORRLANDS LÄN</t>
        </is>
      </c>
      <c r="G138" t="inlineStr">
        <is>
          <t>HÄRNÖSAND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46306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46306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46306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46306</v>
      </c>
      <c r="F142" t="inlineStr">
        <is>
          <t>VÄSTERNORRLANDS LÄN</t>
        </is>
      </c>
      <c r="G142" t="inlineStr">
        <is>
          <t>HÄRNÖSAND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46306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46306</v>
      </c>
      <c r="F144" t="inlineStr">
        <is>
          <t>VÄSTERNORRLANDS LÄN</t>
        </is>
      </c>
      <c r="G144" t="inlineStr">
        <is>
          <t>HÄRNÖSAND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46306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46306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46306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46306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46306</v>
      </c>
      <c r="F149" t="inlineStr">
        <is>
          <t>VÄSTERNORRLANDS LÄN</t>
        </is>
      </c>
      <c r="G149" t="inlineStr">
        <is>
          <t>HÄRNÖSAND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32140-2023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46306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46306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46306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44853</v>
      </c>
      <c r="E153" s="1" t="n">
        <v>46306</v>
      </c>
      <c r="F153" t="inlineStr">
        <is>
          <t>VÄSTERNORRLANDS LÄN</t>
        </is>
      </c>
      <c r="G153" t="inlineStr">
        <is>
          <t>HÄRNÖSAND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45293</v>
      </c>
      <c r="E154" s="1" t="n">
        <v>46306</v>
      </c>
      <c r="F154" t="inlineStr">
        <is>
          <t>VÄSTERNORRLANDS LÄN</t>
        </is>
      </c>
      <c r="G154" t="inlineStr">
        <is>
          <t>HÄRNÖSAND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61574-2021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46306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46306</v>
      </c>
      <c r="F156" t="inlineStr">
        <is>
          <t>VÄSTERNORRLANDS LÄN</t>
        </is>
      </c>
      <c r="G156" t="inlineStr">
        <is>
          <t>HÄRNÖSAND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46306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46306</v>
      </c>
      <c r="F158" t="inlineStr">
        <is>
          <t>VÄSTERNORRLANDS LÄN</t>
        </is>
      </c>
      <c r="G158" t="inlineStr">
        <is>
          <t>HÄRNÖSAND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46306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Kyrkan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46306</v>
      </c>
      <c r="F160" t="inlineStr">
        <is>
          <t>VÄSTERNORRLANDS LÄN</t>
        </is>
      </c>
      <c r="G160" t="inlineStr">
        <is>
          <t>HÄRNÖSAND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29104-2023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46306</v>
      </c>
      <c r="F161" t="inlineStr">
        <is>
          <t>VÄSTERNORRLANDS LÄN</t>
        </is>
      </c>
      <c r="G161" t="inlineStr">
        <is>
          <t>HÄRNÖSAND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45352</v>
      </c>
      <c r="E162" s="1" t="n">
        <v>46306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64746-2023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46306</v>
      </c>
      <c r="F163" t="inlineStr">
        <is>
          <t>VÄSTERNORRLANDS LÄN</t>
        </is>
      </c>
      <c r="G163" t="inlineStr">
        <is>
          <t>HÄRNÖSAND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46306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44855</v>
      </c>
      <c r="E165" s="1" t="n">
        <v>46306</v>
      </c>
      <c r="F165" t="inlineStr">
        <is>
          <t>VÄSTERNORRLANDS LÄN</t>
        </is>
      </c>
      <c r="G165" t="inlineStr">
        <is>
          <t>HÄRNÖSAND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45462</v>
      </c>
      <c r="E166" s="1" t="n">
        <v>46306</v>
      </c>
      <c r="F166" t="inlineStr">
        <is>
          <t>VÄSTERNORRLANDS LÄN</t>
        </is>
      </c>
      <c r="G166" t="inlineStr">
        <is>
          <t>HÄRNÖSAND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46306</v>
      </c>
      <c r="F167" t="inlineStr">
        <is>
          <t>VÄSTERNORRLANDS LÄN</t>
        </is>
      </c>
      <c r="G167" t="inlineStr">
        <is>
          <t>HÄRNÖSAND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45323</v>
      </c>
      <c r="E168" s="1" t="n">
        <v>46306</v>
      </c>
      <c r="F168" t="inlineStr">
        <is>
          <t>VÄSTERNORRLANDS LÄN</t>
        </is>
      </c>
      <c r="G168" t="inlineStr">
        <is>
          <t>HÄRNÖSAND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46306</v>
      </c>
      <c r="F169" t="inlineStr">
        <is>
          <t>VÄSTERNORRLANDS LÄN</t>
        </is>
      </c>
      <c r="G169" t="inlineStr">
        <is>
          <t>HÄRNÖSAND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46306</v>
      </c>
      <c r="F170" t="inlineStr">
        <is>
          <t>VÄSTERNORRLANDS LÄN</t>
        </is>
      </c>
      <c r="G170" t="inlineStr">
        <is>
          <t>HÄRNÖSAND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63375-2023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46306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46306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46306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46306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46306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46306</v>
      </c>
      <c r="F176" t="inlineStr">
        <is>
          <t>VÄSTERNORRLANDS LÄN</t>
        </is>
      </c>
      <c r="G176" t="inlineStr">
        <is>
          <t>HÄRNÖSAND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46306</v>
      </c>
      <c r="F177" t="inlineStr">
        <is>
          <t>VÄSTERNORRLANDS LÄN</t>
        </is>
      </c>
      <c r="G177" t="inlineStr">
        <is>
          <t>HÄRNÖSAND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46306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44867</v>
      </c>
      <c r="E179" s="1" t="n">
        <v>46306</v>
      </c>
      <c r="F179" t="inlineStr">
        <is>
          <t>VÄSTERNORRLANDS LÄN</t>
        </is>
      </c>
      <c r="G179" t="inlineStr">
        <is>
          <t>HÄRNÖSAND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46306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46306</v>
      </c>
      <c r="F181" t="inlineStr">
        <is>
          <t>VÄSTERNORRLANDS LÄN</t>
        </is>
      </c>
      <c r="G181" t="inlineStr">
        <is>
          <t>HÄRNÖSAND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45511</v>
      </c>
      <c r="E182" s="1" t="n">
        <v>46306</v>
      </c>
      <c r="F182" t="inlineStr">
        <is>
          <t>VÄSTERNORRLANDS LÄN</t>
        </is>
      </c>
      <c r="G182" t="inlineStr">
        <is>
          <t>HÄRNÖSAND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46306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46306</v>
      </c>
      <c r="F184" t="inlineStr">
        <is>
          <t>VÄSTERNORRLANDS LÄN</t>
        </is>
      </c>
      <c r="G184" t="inlineStr">
        <is>
          <t>HÄRNÖSAND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46306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50338-2022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44865</v>
      </c>
      <c r="E186" s="1" t="n">
        <v>46306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46306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46306</v>
      </c>
      <c r="F188" t="inlineStr">
        <is>
          <t>VÄSTERNORRLANDS LÄN</t>
        </is>
      </c>
      <c r="G188" t="inlineStr">
        <is>
          <t>HÄRNÖSAND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46306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45476</v>
      </c>
      <c r="E190" s="1" t="n">
        <v>46306</v>
      </c>
      <c r="F190" t="inlineStr">
        <is>
          <t>VÄSTERNORRLANDS LÄN</t>
        </is>
      </c>
      <c r="G190" t="inlineStr">
        <is>
          <t>HÄRNÖSAND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45409</v>
      </c>
      <c r="E191" s="1" t="n">
        <v>46306</v>
      </c>
      <c r="F191" t="inlineStr">
        <is>
          <t>VÄSTERNORRLANDS LÄN</t>
        </is>
      </c>
      <c r="G191" t="inlineStr">
        <is>
          <t>HÄRNÖSAND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46306</v>
      </c>
      <c r="F192" t="inlineStr">
        <is>
          <t>VÄSTERNORRLANDS LÄN</t>
        </is>
      </c>
      <c r="G192" t="inlineStr">
        <is>
          <t>HÄRNÖSAND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46306</v>
      </c>
      <c r="F193" t="inlineStr">
        <is>
          <t>VÄSTERNORRLANDS LÄN</t>
        </is>
      </c>
      <c r="G193" t="inlineStr">
        <is>
          <t>HÄRNÖSAND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46306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46306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46306</v>
      </c>
      <c r="F196" t="inlineStr">
        <is>
          <t>VÄSTERNORRLANDS LÄN</t>
        </is>
      </c>
      <c r="G196" t="inlineStr">
        <is>
          <t>HÄRNÖSAND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46306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46306</v>
      </c>
      <c r="F198" t="inlineStr">
        <is>
          <t>VÄSTERNORRLANDS LÄN</t>
        </is>
      </c>
      <c r="G198" t="inlineStr">
        <is>
          <t>HÄRNÖSAND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46306</v>
      </c>
      <c r="F199" t="inlineStr">
        <is>
          <t>VÄSTERNORRLANDS LÄN</t>
        </is>
      </c>
      <c r="G199" t="inlineStr">
        <is>
          <t>HÄRNÖSAND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46306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44819</v>
      </c>
      <c r="E201" s="1" t="n">
        <v>46306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64023-2023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45278</v>
      </c>
      <c r="E202" s="1" t="n">
        <v>46306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46306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45502</v>
      </c>
      <c r="E204" s="1" t="n">
        <v>46306</v>
      </c>
      <c r="F204" t="inlineStr">
        <is>
          <t>VÄSTERNORRLANDS LÄN</t>
        </is>
      </c>
      <c r="G204" t="inlineStr">
        <is>
          <t>HÄRNÖSAND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46306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46306</v>
      </c>
      <c r="F206" t="inlineStr">
        <is>
          <t>VÄSTERNORRLANDS LÄN</t>
        </is>
      </c>
      <c r="G206" t="inlineStr">
        <is>
          <t>HÄRNÖSAND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46306</v>
      </c>
      <c r="F207" t="inlineStr">
        <is>
          <t>VÄSTERNORRLANDS LÄN</t>
        </is>
      </c>
      <c r="G207" t="inlineStr">
        <is>
          <t>HÄRNÖSAND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69269-2021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46306</v>
      </c>
      <c r="F208" t="inlineStr">
        <is>
          <t>VÄSTERNORRLANDS LÄN</t>
        </is>
      </c>
      <c r="G208" t="inlineStr">
        <is>
          <t>HÄRNÖSAND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46306</v>
      </c>
      <c r="F209" t="inlineStr">
        <is>
          <t>VÄSTERNORRLANDS LÄN</t>
        </is>
      </c>
      <c r="G209" t="inlineStr">
        <is>
          <t>HÄRNÖSAND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46306</v>
      </c>
      <c r="F210" t="inlineStr">
        <is>
          <t>VÄSTERNORRLANDS LÄN</t>
        </is>
      </c>
      <c r="G210" t="inlineStr">
        <is>
          <t>HÄRNÖSAND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45776</v>
      </c>
      <c r="E211" s="1" t="n">
        <v>46306</v>
      </c>
      <c r="F211" t="inlineStr">
        <is>
          <t>VÄSTERNORRLANDS LÄN</t>
        </is>
      </c>
      <c r="G211" t="inlineStr">
        <is>
          <t>HÄRNÖSAND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44791</v>
      </c>
      <c r="E212" s="1" t="n">
        <v>46306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46306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32.1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46306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45418</v>
      </c>
      <c r="E215" s="1" t="n">
        <v>46306</v>
      </c>
      <c r="F215" t="inlineStr">
        <is>
          <t>VÄSTERNORRLANDS LÄN</t>
        </is>
      </c>
      <c r="G215" t="inlineStr">
        <is>
          <t>HÄRNÖSAND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62333-2021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46306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46306</v>
      </c>
      <c r="F217" t="inlineStr">
        <is>
          <t>VÄSTERNORRLANDS LÄN</t>
        </is>
      </c>
      <c r="G217" t="inlineStr">
        <is>
          <t>HÄRNÖSAND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46306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53107-2023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45228</v>
      </c>
      <c r="E219" s="1" t="n">
        <v>46306</v>
      </c>
      <c r="F219" t="inlineStr">
        <is>
          <t>VÄSTERNORRLANDS LÄN</t>
        </is>
      </c>
      <c r="G219" t="inlineStr">
        <is>
          <t>HÄRNÖSAND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46306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46306</v>
      </c>
      <c r="F221" t="inlineStr">
        <is>
          <t>VÄSTERNORRLANDS LÄN</t>
        </is>
      </c>
      <c r="G221" t="inlineStr">
        <is>
          <t>HÄRNÖSAND</t>
        </is>
      </c>
      <c r="I221" t="n">
        <v>15.6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49039-2023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45209</v>
      </c>
      <c r="E222" s="1" t="n">
        <v>46306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46306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46306</v>
      </c>
      <c r="F224" t="inlineStr">
        <is>
          <t>VÄSTERNORRLANDS LÄN</t>
        </is>
      </c>
      <c r="G224" t="inlineStr">
        <is>
          <t>HÄRNÖSAND</t>
        </is>
      </c>
      <c r="I224" t="n">
        <v>14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45148</v>
      </c>
      <c r="E225" s="1" t="n">
        <v>46306</v>
      </c>
      <c r="F225" t="inlineStr">
        <is>
          <t>VÄSTERNORRLANDS LÄN</t>
        </is>
      </c>
      <c r="G225" t="inlineStr">
        <is>
          <t>HÄRNÖSAND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46306</v>
      </c>
      <c r="F226" t="inlineStr">
        <is>
          <t>VÄSTERNORRLANDS LÄN</t>
        </is>
      </c>
      <c r="G226" t="inlineStr">
        <is>
          <t>HÄRNÖSAND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46306</v>
      </c>
      <c r="F227" t="inlineStr">
        <is>
          <t>VÄSTERNORRLANDS LÄN</t>
        </is>
      </c>
      <c r="G227" t="inlineStr">
        <is>
          <t>HÄRNÖSAND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46306</v>
      </c>
      <c r="F228" t="inlineStr">
        <is>
          <t>VÄSTERNORRLANDS LÄN</t>
        </is>
      </c>
      <c r="G228" t="inlineStr">
        <is>
          <t>HÄRNÖSAND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46306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46306</v>
      </c>
      <c r="F230" t="inlineStr">
        <is>
          <t>VÄSTERNORRLANDS LÄN</t>
        </is>
      </c>
      <c r="G230" t="inlineStr">
        <is>
          <t>HÄRNÖSAND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60970-2021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44496</v>
      </c>
      <c r="E231" s="1" t="n">
        <v>46306</v>
      </c>
      <c r="F231" t="inlineStr">
        <is>
          <t>VÄSTERNORRLANDS LÄN</t>
        </is>
      </c>
      <c r="G231" t="inlineStr">
        <is>
          <t>HÄRNÖSAND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46306</v>
      </c>
      <c r="F232" t="inlineStr">
        <is>
          <t>VÄSTERNORRLANDS LÄN</t>
        </is>
      </c>
      <c r="G232" t="inlineStr">
        <is>
          <t>HÄRNÖSAND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46306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46306</v>
      </c>
      <c r="F234" t="inlineStr">
        <is>
          <t>VÄSTERNORRLANDS LÄN</t>
        </is>
      </c>
      <c r="G234" t="inlineStr">
        <is>
          <t>HÄRNÖSAND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45578</v>
      </c>
      <c r="E235" s="1" t="n">
        <v>46306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46306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54251-2022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44881</v>
      </c>
      <c r="E237" s="1" t="n">
        <v>46306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46306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46306</v>
      </c>
      <c r="F239" t="inlineStr">
        <is>
          <t>VÄSTERNORRLANDS LÄN</t>
        </is>
      </c>
      <c r="G239" t="inlineStr">
        <is>
          <t>HÄRNÖSAND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46306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46306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45981-2025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45924</v>
      </c>
      <c r="E242" s="1" t="n">
        <v>46306</v>
      </c>
      <c r="F242" t="inlineStr">
        <is>
          <t>VÄSTERNORRLANDS LÄN</t>
        </is>
      </c>
      <c r="G242" t="inlineStr">
        <is>
          <t>HÄRNÖSAND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46306</v>
      </c>
      <c r="F243" t="inlineStr">
        <is>
          <t>VÄSTERNORRLANDS LÄN</t>
        </is>
      </c>
      <c r="G243" t="inlineStr">
        <is>
          <t>HÄRNÖSAND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45409</v>
      </c>
      <c r="E244" s="1" t="n">
        <v>46306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46306</v>
      </c>
      <c r="F245" t="inlineStr">
        <is>
          <t>VÄSTERNORRLANDS LÄN</t>
        </is>
      </c>
      <c r="G245" t="inlineStr">
        <is>
          <t>HÄRNÖSAND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46306</v>
      </c>
      <c r="F246" t="inlineStr">
        <is>
          <t>VÄSTERNORRLANDS LÄN</t>
        </is>
      </c>
      <c r="G246" t="inlineStr">
        <is>
          <t>HÄRNÖSAND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46306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46306</v>
      </c>
      <c r="F248" t="inlineStr">
        <is>
          <t>VÄSTERNORRLANDS LÄN</t>
        </is>
      </c>
      <c r="G248" t="inlineStr">
        <is>
          <t>HÄRNÖSAND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44609</v>
      </c>
      <c r="E249" s="1" t="n">
        <v>46306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Övriga statliga verk och myndigheter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46306</v>
      </c>
      <c r="F250" t="inlineStr">
        <is>
          <t>VÄSTERNORRLANDS LÄN</t>
        </is>
      </c>
      <c r="G250" t="inlineStr">
        <is>
          <t>HÄRNÖSAND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45574</v>
      </c>
      <c r="E251" s="1" t="n">
        <v>46306</v>
      </c>
      <c r="F251" t="inlineStr">
        <is>
          <t>VÄSTERNORRLANDS LÄN</t>
        </is>
      </c>
      <c r="G251" t="inlineStr">
        <is>
          <t>HÄRNÖSAND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46306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45433</v>
      </c>
      <c r="E253" s="1" t="n">
        <v>46306</v>
      </c>
      <c r="F253" t="inlineStr">
        <is>
          <t>VÄSTERNORRLANDS LÄN</t>
        </is>
      </c>
      <c r="G253" t="inlineStr">
        <is>
          <t>HÄRNÖSAND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45351</v>
      </c>
      <c r="E254" s="1" t="n">
        <v>46306</v>
      </c>
      <c r="F254" t="inlineStr">
        <is>
          <t>VÄSTERNORRLANDS LÄN</t>
        </is>
      </c>
      <c r="G254" t="inlineStr">
        <is>
          <t>HÄRNÖSAND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46306</v>
      </c>
      <c r="F255" t="inlineStr">
        <is>
          <t>VÄSTERNORRLANDS LÄN</t>
        </is>
      </c>
      <c r="G255" t="inlineStr">
        <is>
          <t>HÄRNÖSAND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46306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44641</v>
      </c>
      <c r="E257" s="1" t="n">
        <v>46306</v>
      </c>
      <c r="F257" t="inlineStr">
        <is>
          <t>VÄSTERNORRLANDS LÄN</t>
        </is>
      </c>
      <c r="G257" t="inlineStr">
        <is>
          <t>HÄRNÖSAND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46306</v>
      </c>
      <c r="F258" t="inlineStr">
        <is>
          <t>VÄSTERNORRLANDS LÄN</t>
        </is>
      </c>
      <c r="G258" t="inlineStr">
        <is>
          <t>HÄRNÖSAND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46306</v>
      </c>
      <c r="F259" t="inlineStr">
        <is>
          <t>VÄSTERNORRLANDS LÄN</t>
        </is>
      </c>
      <c r="G259" t="inlineStr">
        <is>
          <t>HÄRNÖSAND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46306</v>
      </c>
      <c r="F260" t="inlineStr">
        <is>
          <t>VÄSTERNORRLANDS LÄN</t>
        </is>
      </c>
      <c r="G260" t="inlineStr">
        <is>
          <t>HÄRNÖSAND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45639</v>
      </c>
      <c r="E261" s="1" t="n">
        <v>46306</v>
      </c>
      <c r="F261" t="inlineStr">
        <is>
          <t>VÄSTERNORRLANDS LÄN</t>
        </is>
      </c>
      <c r="G261" t="inlineStr">
        <is>
          <t>HÄRNÖSAND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46306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46306</v>
      </c>
      <c r="F263" t="inlineStr">
        <is>
          <t>VÄSTERNORRLANDS LÄN</t>
        </is>
      </c>
      <c r="G263" t="inlineStr">
        <is>
          <t>HÄRNÖSAND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46306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46306</v>
      </c>
      <c r="F265" t="inlineStr">
        <is>
          <t>VÄSTERNORRLANDS LÄN</t>
        </is>
      </c>
      <c r="G265" t="inlineStr">
        <is>
          <t>HÄRNÖSAND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46306</v>
      </c>
      <c r="F266" t="inlineStr">
        <is>
          <t>VÄSTERNORRLANDS LÄN</t>
        </is>
      </c>
      <c r="G266" t="inlineStr">
        <is>
          <t>HÄRNÖSAND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46306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46306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46306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46306</v>
      </c>
      <c r="F270" t="inlineStr">
        <is>
          <t>VÄSTERNORRLANDS LÄN</t>
        </is>
      </c>
      <c r="G270" t="inlineStr">
        <is>
          <t>HÄRNÖSAND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46306</v>
      </c>
      <c r="F271" t="inlineStr">
        <is>
          <t>VÄSTERNORRLANDS LÄN</t>
        </is>
      </c>
      <c r="G271" t="inlineStr">
        <is>
          <t>HÄRNÖSAND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46306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46306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54091-2024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45616</v>
      </c>
      <c r="E274" s="1" t="n">
        <v>46306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46306</v>
      </c>
      <c r="F275" t="inlineStr">
        <is>
          <t>VÄSTERNORRLANDS LÄN</t>
        </is>
      </c>
      <c r="G275" t="inlineStr">
        <is>
          <t>HÄRNÖSAND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46306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46306</v>
      </c>
      <c r="F277" t="inlineStr">
        <is>
          <t>VÄSTERNORRLANDS LÄN</t>
        </is>
      </c>
      <c r="G277" t="inlineStr">
        <is>
          <t>HÄRNÖSAND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45390</v>
      </c>
      <c r="E278" s="1" t="n">
        <v>46306</v>
      </c>
      <c r="F278" t="inlineStr">
        <is>
          <t>VÄSTERNORRLANDS LÄN</t>
        </is>
      </c>
      <c r="G278" t="inlineStr">
        <is>
          <t>HÄRNÖSAND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45505</v>
      </c>
      <c r="E279" s="1" t="n">
        <v>46306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46306</v>
      </c>
      <c r="F280" t="inlineStr">
        <is>
          <t>VÄSTERNORRLANDS LÄN</t>
        </is>
      </c>
      <c r="G280" t="inlineStr">
        <is>
          <t>HÄRNÖSAND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16979-2022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44676</v>
      </c>
      <c r="E281" s="1" t="n">
        <v>46306</v>
      </c>
      <c r="F281" t="inlineStr">
        <is>
          <t>VÄSTERNORRLANDS LÄN</t>
        </is>
      </c>
      <c r="G281" t="inlineStr">
        <is>
          <t>HÄRNÖSAND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46306</v>
      </c>
      <c r="F282" t="inlineStr">
        <is>
          <t>VÄSTERNORRLANDS LÄN</t>
        </is>
      </c>
      <c r="G282" t="inlineStr">
        <is>
          <t>HÄRNÖSAND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44755</v>
      </c>
      <c r="E283" s="1" t="n">
        <v>46306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45805</v>
      </c>
      <c r="E284" s="1" t="n">
        <v>46306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46306</v>
      </c>
      <c r="F285" t="inlineStr">
        <is>
          <t>VÄSTERNORRLANDS LÄN</t>
        </is>
      </c>
      <c r="G285" t="inlineStr">
        <is>
          <t>HÄRNÖSAND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46306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44747</v>
      </c>
      <c r="E287" s="1" t="n">
        <v>46306</v>
      </c>
      <c r="F287" t="inlineStr">
        <is>
          <t>VÄSTERNORRLANDS LÄN</t>
        </is>
      </c>
      <c r="G287" t="inlineStr">
        <is>
          <t>HÄRNÖSAND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46306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46306</v>
      </c>
      <c r="F289" t="inlineStr">
        <is>
          <t>VÄSTERNORRLANDS LÄN</t>
        </is>
      </c>
      <c r="G289" t="inlineStr">
        <is>
          <t>HÄRNÖSAND</t>
        </is>
      </c>
      <c r="I289" t="n">
        <v>7.9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46306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46306</v>
      </c>
      <c r="F291" t="inlineStr">
        <is>
          <t>VÄSTERNORRLANDS LÄN</t>
        </is>
      </c>
      <c r="G291" t="inlineStr">
        <is>
          <t>HÄRNÖSAND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46306</v>
      </c>
      <c r="F292" t="inlineStr">
        <is>
          <t>VÄSTERNORRLANDS LÄN</t>
        </is>
      </c>
      <c r="G292" t="inlineStr">
        <is>
          <t>HÄRNÖSAND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46306</v>
      </c>
      <c r="F293" t="inlineStr">
        <is>
          <t>VÄSTERNORRLANDS LÄN</t>
        </is>
      </c>
      <c r="G293" t="inlineStr">
        <is>
          <t>HÄRNÖSAND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46306</v>
      </c>
      <c r="F294" t="inlineStr">
        <is>
          <t>VÄSTERNORRLANDS LÄN</t>
        </is>
      </c>
      <c r="G294" t="inlineStr">
        <is>
          <t>HÄRNÖSAND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46306</v>
      </c>
      <c r="F295" t="inlineStr">
        <is>
          <t>VÄSTERNORRLANDS LÄN</t>
        </is>
      </c>
      <c r="G295" t="inlineStr">
        <is>
          <t>HÄRNÖSAND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9727-2022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44617</v>
      </c>
      <c r="E296" s="1" t="n">
        <v>46306</v>
      </c>
      <c r="F296" t="inlineStr">
        <is>
          <t>VÄSTERNORRLANDS LÄN</t>
        </is>
      </c>
      <c r="G296" t="inlineStr">
        <is>
          <t>HÄRNÖSAND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46306</v>
      </c>
      <c r="F297" t="inlineStr">
        <is>
          <t>VÄSTERNORRLANDS LÄN</t>
        </is>
      </c>
      <c r="G297" t="inlineStr">
        <is>
          <t>HÄRNÖSAND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46306</v>
      </c>
      <c r="F298" t="inlineStr">
        <is>
          <t>VÄSTERNORRLANDS LÄN</t>
        </is>
      </c>
      <c r="G298" t="inlineStr">
        <is>
          <t>HÄRNÖSAND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46306</v>
      </c>
      <c r="F299" t="inlineStr">
        <is>
          <t>VÄSTERNORRLANDS LÄN</t>
        </is>
      </c>
      <c r="G299" t="inlineStr">
        <is>
          <t>HÄRNÖSAND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46306</v>
      </c>
      <c r="F300" t="inlineStr">
        <is>
          <t>VÄSTERNORRLANDS LÄN</t>
        </is>
      </c>
      <c r="G300" t="inlineStr">
        <is>
          <t>HÄRNÖSAND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25430-2022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46306</v>
      </c>
      <c r="F301" t="inlineStr">
        <is>
          <t>VÄSTERNORRLANDS LÄN</t>
        </is>
      </c>
      <c r="G301" t="inlineStr">
        <is>
          <t>HÄRNÖSAND</t>
        </is>
      </c>
      <c r="I301" t="n">
        <v>18.7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44858</v>
      </c>
      <c r="E302" s="1" t="n">
        <v>46306</v>
      </c>
      <c r="F302" t="inlineStr">
        <is>
          <t>VÄSTERNORRLANDS LÄN</t>
        </is>
      </c>
      <c r="G302" t="inlineStr">
        <is>
          <t>HÄRNÖSAND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46306</v>
      </c>
      <c r="F303" t="inlineStr">
        <is>
          <t>VÄSTERNORRLANDS LÄN</t>
        </is>
      </c>
      <c r="G303" t="inlineStr">
        <is>
          <t>HÄRNÖSAND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56395-2022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46306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46306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46306</v>
      </c>
      <c r="F306" t="inlineStr">
        <is>
          <t>VÄSTERNORRLANDS LÄN</t>
        </is>
      </c>
      <c r="G306" t="inlineStr">
        <is>
          <t>HÄRNÖSAND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46306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46306</v>
      </c>
      <c r="F308" t="inlineStr">
        <is>
          <t>VÄSTERNORRLANDS LÄN</t>
        </is>
      </c>
      <c r="G308" t="inlineStr">
        <is>
          <t>HÄRNÖSAND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46306</v>
      </c>
      <c r="F309" t="inlineStr">
        <is>
          <t>VÄSTERNORRLANDS LÄN</t>
        </is>
      </c>
      <c r="G309" t="inlineStr">
        <is>
          <t>HÄRNÖSAND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46306</v>
      </c>
      <c r="F310" t="inlineStr">
        <is>
          <t>VÄSTERNORRLANDS LÄN</t>
        </is>
      </c>
      <c r="G310" t="inlineStr">
        <is>
          <t>HÄRNÖSAND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46306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45825</v>
      </c>
      <c r="E312" s="1" t="n">
        <v>46306</v>
      </c>
      <c r="F312" t="inlineStr">
        <is>
          <t>VÄSTERNORRLANDS LÄN</t>
        </is>
      </c>
      <c r="G312" t="inlineStr">
        <is>
          <t>HÄRNÖSAND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21471-2022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46306</v>
      </c>
      <c r="F313" t="inlineStr">
        <is>
          <t>VÄSTERNORRLANDS LÄN</t>
        </is>
      </c>
      <c r="G313" t="inlineStr">
        <is>
          <t>HÄRNÖSAND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46306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44728</v>
      </c>
      <c r="E315" s="1" t="n">
        <v>46306</v>
      </c>
      <c r="F315" t="inlineStr">
        <is>
          <t>VÄSTERNORRLANDS LÄN</t>
        </is>
      </c>
      <c r="G315" t="inlineStr">
        <is>
          <t>HÄRNÖSAND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46306</v>
      </c>
      <c r="F316" t="inlineStr">
        <is>
          <t>VÄSTERNORRLANDS LÄN</t>
        </is>
      </c>
      <c r="G316" t="inlineStr">
        <is>
          <t>HÄRNÖSAND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46306</v>
      </c>
      <c r="F317" t="inlineStr">
        <is>
          <t>VÄSTERNORRLANDS LÄN</t>
        </is>
      </c>
      <c r="G317" t="inlineStr">
        <is>
          <t>HÄRNÖSAND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46306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46306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46306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46306</v>
      </c>
      <c r="F321" t="inlineStr">
        <is>
          <t>VÄSTERNORRLANDS LÄN</t>
        </is>
      </c>
      <c r="G321" t="inlineStr">
        <is>
          <t>HÄRNÖSAND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46306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45638</v>
      </c>
      <c r="E323" s="1" t="n">
        <v>46306</v>
      </c>
      <c r="F323" t="inlineStr">
        <is>
          <t>VÄSTERNORRLANDS LÄN</t>
        </is>
      </c>
      <c r="G323" t="inlineStr">
        <is>
          <t>HÄRNÖSAND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46306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46306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46306</v>
      </c>
      <c r="F326" t="inlineStr">
        <is>
          <t>VÄSTERNORRLANDS LÄN</t>
        </is>
      </c>
      <c r="G326" t="inlineStr">
        <is>
          <t>HÄRNÖSAND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42646-2023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46306</v>
      </c>
      <c r="F327" t="inlineStr">
        <is>
          <t>VÄSTERNORRLANDS LÄN</t>
        </is>
      </c>
      <c r="G327" t="inlineStr">
        <is>
          <t>HÄRNÖSAND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32374-2025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45837</v>
      </c>
      <c r="E328" s="1" t="n">
        <v>46306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44728</v>
      </c>
      <c r="E329" s="1" t="n">
        <v>46306</v>
      </c>
      <c r="F329" t="inlineStr">
        <is>
          <t>VÄSTERNORRLANDS LÄN</t>
        </is>
      </c>
      <c r="G329" t="inlineStr">
        <is>
          <t>HÄRNÖSAND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46306</v>
      </c>
      <c r="F330" t="inlineStr">
        <is>
          <t>VÄSTERNORRLANDS LÄN</t>
        </is>
      </c>
      <c r="G330" t="inlineStr">
        <is>
          <t>HÄRNÖSAND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46306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46306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45699</v>
      </c>
      <c r="E333" s="1" t="n">
        <v>46306</v>
      </c>
      <c r="F333" t="inlineStr">
        <is>
          <t>VÄSTERNORRLANDS LÄN</t>
        </is>
      </c>
      <c r="G333" t="inlineStr">
        <is>
          <t>HÄRNÖSAND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46306</v>
      </c>
      <c r="F334" t="inlineStr">
        <is>
          <t>VÄSTERNORRLANDS LÄN</t>
        </is>
      </c>
      <c r="G334" t="inlineStr">
        <is>
          <t>HÄRNÖSAND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27912-2022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44743</v>
      </c>
      <c r="E335" s="1" t="n">
        <v>46306</v>
      </c>
      <c r="F335" t="inlineStr">
        <is>
          <t>VÄSTERNORRLANDS LÄN</t>
        </is>
      </c>
      <c r="G335" t="inlineStr">
        <is>
          <t>HÄRNÖSAND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45840</v>
      </c>
      <c r="E336" s="1" t="n">
        <v>46306</v>
      </c>
      <c r="F336" t="inlineStr">
        <is>
          <t>VÄSTERNORRLANDS LÄN</t>
        </is>
      </c>
      <c r="G336" t="inlineStr">
        <is>
          <t>HÄRNÖSAND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46306</v>
      </c>
      <c r="F337" t="inlineStr">
        <is>
          <t>VÄSTERNORRLANDS LÄN</t>
        </is>
      </c>
      <c r="G337" t="inlineStr">
        <is>
          <t>HÄRNÖSAND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46320-2022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44847</v>
      </c>
      <c r="E338" s="1" t="n">
        <v>46306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46306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44726</v>
      </c>
      <c r="E340" s="1" t="n">
        <v>46306</v>
      </c>
      <c r="F340" t="inlineStr">
        <is>
          <t>VÄSTERNORRLANDS LÄN</t>
        </is>
      </c>
      <c r="G340" t="inlineStr">
        <is>
          <t>HÄRNÖSAND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45667</v>
      </c>
      <c r="E341" s="1" t="n">
        <v>46306</v>
      </c>
      <c r="F341" t="inlineStr">
        <is>
          <t>VÄSTERNORRLANDS LÄN</t>
        </is>
      </c>
      <c r="G341" t="inlineStr">
        <is>
          <t>HÄRNÖSAND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45723</v>
      </c>
      <c r="E342" s="1" t="n">
        <v>46306</v>
      </c>
      <c r="F342" t="inlineStr">
        <is>
          <t>VÄSTERNORRLANDS LÄN</t>
        </is>
      </c>
      <c r="G342" t="inlineStr">
        <is>
          <t>HÄRNÖSAND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45848</v>
      </c>
      <c r="E343" s="1" t="n">
        <v>46306</v>
      </c>
      <c r="F343" t="inlineStr">
        <is>
          <t>VÄSTERNORRLANDS LÄN</t>
        </is>
      </c>
      <c r="G343" t="inlineStr">
        <is>
          <t>HÄRNÖSAND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46306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34751-2025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45848</v>
      </c>
      <c r="E345" s="1" t="n">
        <v>46306</v>
      </c>
      <c r="F345" t="inlineStr">
        <is>
          <t>VÄSTERNORRLANDS LÄN</t>
        </is>
      </c>
      <c r="G345" t="inlineStr">
        <is>
          <t>HÄRNÖSAND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46306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46306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46306</v>
      </c>
      <c r="F348" t="inlineStr">
        <is>
          <t>VÄSTERNORRLANDS LÄN</t>
        </is>
      </c>
      <c r="G348" t="inlineStr">
        <is>
          <t>HÄRNÖSAND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45645</v>
      </c>
      <c r="E349" s="1" t="n">
        <v>46306</v>
      </c>
      <c r="F349" t="inlineStr">
        <is>
          <t>VÄSTERNORRLANDS LÄN</t>
        </is>
      </c>
      <c r="G349" t="inlineStr">
        <is>
          <t>HÄRNÖSAND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46306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45853</v>
      </c>
      <c r="E351" s="1" t="n">
        <v>46306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46306</v>
      </c>
      <c r="F352" t="inlineStr">
        <is>
          <t>VÄSTERNORRLANDS LÄN</t>
        </is>
      </c>
      <c r="G352" t="inlineStr">
        <is>
          <t>HÄRNÖSAND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40452-2023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45168</v>
      </c>
      <c r="E353" s="1" t="n">
        <v>46306</v>
      </c>
      <c r="F353" t="inlineStr">
        <is>
          <t>VÄSTERNORRLANDS LÄN</t>
        </is>
      </c>
      <c r="G353" t="inlineStr">
        <is>
          <t>HÄRNÖSAND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47939-2022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46306</v>
      </c>
      <c r="F354" t="inlineStr">
        <is>
          <t>VÄSTERNORRLANDS LÄN</t>
        </is>
      </c>
      <c r="G354" t="inlineStr">
        <is>
          <t>HÄRNÖSAND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46306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45793</v>
      </c>
      <c r="E356" s="1" t="n">
        <v>46306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45293</v>
      </c>
      <c r="E357" s="1" t="n">
        <v>46306</v>
      </c>
      <c r="F357" t="inlineStr">
        <is>
          <t>VÄSTERNORRLANDS LÄN</t>
        </is>
      </c>
      <c r="G357" t="inlineStr">
        <is>
          <t>HÄRNÖSAND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46306</v>
      </c>
      <c r="F358" t="inlineStr">
        <is>
          <t>VÄSTERNORRLANDS LÄN</t>
        </is>
      </c>
      <c r="G358" t="inlineStr">
        <is>
          <t>HÄRNÖSAND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46306</v>
      </c>
      <c r="F359" t="inlineStr">
        <is>
          <t>VÄSTERNORRLANDS LÄN</t>
        </is>
      </c>
      <c r="G359" t="inlineStr">
        <is>
          <t>HÄRNÖSAND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45138</v>
      </c>
      <c r="E360" s="1" t="n">
        <v>46306</v>
      </c>
      <c r="F360" t="inlineStr">
        <is>
          <t>VÄSTERNORRLANDS LÄN</t>
        </is>
      </c>
      <c r="G360" t="inlineStr">
        <is>
          <t>HÄRNÖSAND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46306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46306</v>
      </c>
      <c r="F362" t="inlineStr">
        <is>
          <t>VÄSTERNORRLANDS LÄN</t>
        </is>
      </c>
      <c r="G362" t="inlineStr">
        <is>
          <t>HÄRNÖSAND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46306</v>
      </c>
      <c r="F363" t="inlineStr">
        <is>
          <t>VÄSTERNORRLANDS LÄN</t>
        </is>
      </c>
      <c r="G363" t="inlineStr">
        <is>
          <t>HÄRNÖSAND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45231</v>
      </c>
      <c r="E364" s="1" t="n">
        <v>46306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46306</v>
      </c>
      <c r="F365" t="inlineStr">
        <is>
          <t>VÄSTERNORRLANDS LÄN</t>
        </is>
      </c>
      <c r="G365" t="inlineStr">
        <is>
          <t>HÄRNÖSAND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44747</v>
      </c>
      <c r="E366" s="1" t="n">
        <v>46306</v>
      </c>
      <c r="F366" t="inlineStr">
        <is>
          <t>VÄSTERNORRLANDS LÄN</t>
        </is>
      </c>
      <c r="G366" t="inlineStr">
        <is>
          <t>HÄRNÖSAND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46306</v>
      </c>
      <c r="F367" t="inlineStr">
        <is>
          <t>VÄSTERNORRLANDS LÄN</t>
        </is>
      </c>
      <c r="G367" t="inlineStr">
        <is>
          <t>HÄRNÖSAND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46306</v>
      </c>
      <c r="F368" t="inlineStr">
        <is>
          <t>VÄSTERNORRLANDS LÄN</t>
        </is>
      </c>
      <c r="G368" t="inlineStr">
        <is>
          <t>HÄRNÖSAND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46306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46306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45313</v>
      </c>
      <c r="E371" s="1" t="n">
        <v>46306</v>
      </c>
      <c r="F371" t="inlineStr">
        <is>
          <t>VÄSTERNORRLANDS LÄN</t>
        </is>
      </c>
      <c r="G371" t="inlineStr">
        <is>
          <t>HÄRNÖSAND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10549-2024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45366</v>
      </c>
      <c r="E372" s="1" t="n">
        <v>46306</v>
      </c>
      <c r="F372" t="inlineStr">
        <is>
          <t>VÄSTERNORRLANDS LÄN</t>
        </is>
      </c>
      <c r="G372" t="inlineStr">
        <is>
          <t>HÄRNÖSAND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46306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45545</v>
      </c>
      <c r="E374" s="1" t="n">
        <v>46306</v>
      </c>
      <c r="F374" t="inlineStr">
        <is>
          <t>VÄSTERNORRLANDS LÄN</t>
        </is>
      </c>
      <c r="G374" t="inlineStr">
        <is>
          <t>HÄRNÖSAND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46306</v>
      </c>
      <c r="F375" t="inlineStr">
        <is>
          <t>VÄSTERNORRLANDS LÄN</t>
        </is>
      </c>
      <c r="G375" t="inlineStr">
        <is>
          <t>HÄRNÖSAND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46306</v>
      </c>
      <c r="F376" t="inlineStr">
        <is>
          <t>VÄSTERNORRLANDS LÄN</t>
        </is>
      </c>
      <c r="G376" t="inlineStr">
        <is>
          <t>HÄRNÖSAND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44980</v>
      </c>
      <c r="E377" s="1" t="n">
        <v>46306</v>
      </c>
      <c r="F377" t="inlineStr">
        <is>
          <t>VÄSTERNORRLANDS LÄN</t>
        </is>
      </c>
      <c r="G377" t="inlineStr">
        <is>
          <t>HÄRNÖSAND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47944-2022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44853</v>
      </c>
      <c r="E378" s="1" t="n">
        <v>46306</v>
      </c>
      <c r="F378" t="inlineStr">
        <is>
          <t>VÄSTERNORRLANDS LÄN</t>
        </is>
      </c>
      <c r="G378" t="inlineStr">
        <is>
          <t>HÄRNÖSAND</t>
        </is>
      </c>
      <c r="I378" t="n">
        <v>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46306</v>
      </c>
      <c r="F379" t="inlineStr">
        <is>
          <t>VÄSTERNORRLANDS LÄN</t>
        </is>
      </c>
      <c r="G379" t="inlineStr">
        <is>
          <t>HÄRNÖSAND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46306</v>
      </c>
      <c r="F380" t="inlineStr">
        <is>
          <t>VÄSTERNORRLANDS LÄN</t>
        </is>
      </c>
      <c r="G380" t="inlineStr">
        <is>
          <t>HÄRNÖSAND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45979</v>
      </c>
      <c r="E381" s="1" t="n">
        <v>46306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45678</v>
      </c>
      <c r="E382" s="1" t="n">
        <v>46306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46306</v>
      </c>
      <c r="F383" t="inlineStr">
        <is>
          <t>VÄSTERNORRLANDS LÄN</t>
        </is>
      </c>
      <c r="G383" t="inlineStr">
        <is>
          <t>HÄRNÖSAND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46306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46306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45764</v>
      </c>
      <c r="E386" s="1" t="n">
        <v>46306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46306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44971</v>
      </c>
      <c r="E388" s="1" t="n">
        <v>46306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46306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44936</v>
      </c>
      <c r="E390" s="1" t="n">
        <v>46306</v>
      </c>
      <c r="F390" t="inlineStr">
        <is>
          <t>VÄSTERNORRLANDS LÄN</t>
        </is>
      </c>
      <c r="G390" t="inlineStr">
        <is>
          <t>HÄRNÖSAND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46306</v>
      </c>
      <c r="F391" t="inlineStr">
        <is>
          <t>VÄSTERNORRLANDS LÄN</t>
        </is>
      </c>
      <c r="G391" t="inlineStr">
        <is>
          <t>HÄRNÖSAND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45749</v>
      </c>
      <c r="E392" s="1" t="n">
        <v>46306</v>
      </c>
      <c r="F392" t="inlineStr">
        <is>
          <t>VÄSTERNORRLANDS LÄN</t>
        </is>
      </c>
      <c r="G392" t="inlineStr">
        <is>
          <t>HÄRNÖSAND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46306</v>
      </c>
      <c r="F393" t="inlineStr">
        <is>
          <t>VÄSTERNORRLANDS LÄN</t>
        </is>
      </c>
      <c r="G393" t="inlineStr">
        <is>
          <t>HÄRNÖSAND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57877-2025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46306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34513-2022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44792</v>
      </c>
      <c r="E395" s="1" t="n">
        <v>46306</v>
      </c>
      <c r="F395" t="inlineStr">
        <is>
          <t>VÄSTERNORRLANDS LÄN</t>
        </is>
      </c>
      <c r="G395" t="inlineStr">
        <is>
          <t>HÄRNÖSAND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46306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46306</v>
      </c>
      <c r="F397" t="inlineStr">
        <is>
          <t>VÄSTERNORRLANDS LÄN</t>
        </is>
      </c>
      <c r="G397" t="inlineStr">
        <is>
          <t>HÄRNÖSAND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45496</v>
      </c>
      <c r="E398" s="1" t="n">
        <v>46306</v>
      </c>
      <c r="F398" t="inlineStr">
        <is>
          <t>VÄSTERNORRLANDS LÄN</t>
        </is>
      </c>
      <c r="G398" t="inlineStr">
        <is>
          <t>HÄRNÖSAND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45352</v>
      </c>
      <c r="E399" s="1" t="n">
        <v>46306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46306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46306</v>
      </c>
      <c r="F401" t="inlineStr">
        <is>
          <t>VÄSTERNORRLANDS LÄN</t>
        </is>
      </c>
      <c r="G401" t="inlineStr">
        <is>
          <t>HÄRNÖSAND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46306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26976-2023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46306</v>
      </c>
      <c r="F403" t="inlineStr">
        <is>
          <t>VÄSTERNORRLANDS LÄN</t>
        </is>
      </c>
      <c r="G403" t="inlineStr">
        <is>
          <t>HÄRNÖSAND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45280</v>
      </c>
      <c r="E404" s="1" t="n">
        <v>46306</v>
      </c>
      <c r="F404" t="inlineStr">
        <is>
          <t>VÄSTERNORRLANDS LÄN</t>
        </is>
      </c>
      <c r="G404" t="inlineStr">
        <is>
          <t>HÄRNÖSAND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14665-2026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46306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16.2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45749</v>
      </c>
      <c r="E406" s="1" t="n">
        <v>46306</v>
      </c>
      <c r="F406" t="inlineStr">
        <is>
          <t>VÄSTERNORRLANDS LÄN</t>
        </is>
      </c>
      <c r="G406" t="inlineStr">
        <is>
          <t>HÄRNÖSAND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46306</v>
      </c>
      <c r="F407" t="inlineStr">
        <is>
          <t>VÄSTERNORRLANDS LÄN</t>
        </is>
      </c>
      <c r="G407" t="inlineStr">
        <is>
          <t>HÄRNÖSAND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45462</v>
      </c>
      <c r="E408" s="1" t="n">
        <v>46306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45749</v>
      </c>
      <c r="E409" s="1" t="n">
        <v>46306</v>
      </c>
      <c r="F409" t="inlineStr">
        <is>
          <t>VÄSTERNORRLANDS LÄN</t>
        </is>
      </c>
      <c r="G409" t="inlineStr">
        <is>
          <t>HÄRNÖSAND</t>
        </is>
      </c>
      <c r="I409" t="n">
        <v>9.300000000000001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46306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46306</v>
      </c>
      <c r="F411" t="inlineStr">
        <is>
          <t>VÄSTERNORRLANDS LÄN</t>
        </is>
      </c>
      <c r="G411" t="inlineStr">
        <is>
          <t>HÄRNÖSAND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46306</v>
      </c>
      <c r="F412" t="inlineStr">
        <is>
          <t>VÄSTERNORRLANDS LÄN</t>
        </is>
      </c>
      <c r="G412" t="inlineStr">
        <is>
          <t>HÄRNÖSAND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44603</v>
      </c>
      <c r="E413" s="1" t="n">
        <v>46306</v>
      </c>
      <c r="F413" t="inlineStr">
        <is>
          <t>VÄSTERNORRLANDS LÄN</t>
        </is>
      </c>
      <c r="G413" t="inlineStr">
        <is>
          <t>HÄRNÖSAND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46306</v>
      </c>
      <c r="F414" t="inlineStr">
        <is>
          <t>VÄSTERNORRLANDS LÄN</t>
        </is>
      </c>
      <c r="G414" t="inlineStr">
        <is>
          <t>HÄRNÖSAND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46306</v>
      </c>
      <c r="F415" t="inlineStr">
        <is>
          <t>VÄSTERNORRLANDS LÄN</t>
        </is>
      </c>
      <c r="G415" t="inlineStr">
        <is>
          <t>HÄRNÖSAND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44875</v>
      </c>
      <c r="E416" s="1" t="n">
        <v>46306</v>
      </c>
      <c r="F416" t="inlineStr">
        <is>
          <t>VÄSTERNORRLANDS LÄN</t>
        </is>
      </c>
      <c r="G416" t="inlineStr">
        <is>
          <t>HÄRNÖSAND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45482</v>
      </c>
      <c r="E417" s="1" t="n">
        <v>46306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46306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46306</v>
      </c>
      <c r="F419" t="inlineStr">
        <is>
          <t>VÄSTERNORRLANDS LÄN</t>
        </is>
      </c>
      <c r="G419" t="inlineStr">
        <is>
          <t>HÄRNÖSAND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46306</v>
      </c>
      <c r="F420" t="inlineStr">
        <is>
          <t>VÄSTERNORRLANDS LÄN</t>
        </is>
      </c>
      <c r="G420" t="inlineStr">
        <is>
          <t>HÄRNÖSAND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46306</v>
      </c>
      <c r="F421" t="inlineStr">
        <is>
          <t>VÄSTERNORRLANDS LÄN</t>
        </is>
      </c>
      <c r="G421" t="inlineStr">
        <is>
          <t>HÄRNÖSAND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46306</v>
      </c>
      <c r="F422" t="inlineStr">
        <is>
          <t>VÄSTERNORRLANDS LÄN</t>
        </is>
      </c>
      <c r="G422" t="inlineStr">
        <is>
          <t>HÄRNÖSAND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46306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45987</v>
      </c>
      <c r="E424" s="1" t="n">
        <v>46306</v>
      </c>
      <c r="F424" t="inlineStr">
        <is>
          <t>VÄSTERNORRLANDS LÄN</t>
        </is>
      </c>
      <c r="G424" t="inlineStr">
        <is>
          <t>HÄRNÖSAND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46306</v>
      </c>
      <c r="F425" t="inlineStr">
        <is>
          <t>VÄSTERNORRLANDS LÄN</t>
        </is>
      </c>
      <c r="G425" t="inlineStr">
        <is>
          <t>HÄRNÖSAND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46306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45496</v>
      </c>
      <c r="E427" s="1" t="n">
        <v>46306</v>
      </c>
      <c r="F427" t="inlineStr">
        <is>
          <t>VÄSTERNORRLANDS LÄN</t>
        </is>
      </c>
      <c r="G427" t="inlineStr">
        <is>
          <t>HÄRNÖSAND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46306</v>
      </c>
      <c r="F428" t="inlineStr">
        <is>
          <t>VÄSTERNORRLANDS LÄN</t>
        </is>
      </c>
      <c r="G428" t="inlineStr">
        <is>
          <t>HÄRNÖSAND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46306</v>
      </c>
      <c r="F429" t="inlineStr">
        <is>
          <t>VÄSTERNORRLANDS LÄN</t>
        </is>
      </c>
      <c r="G429" t="inlineStr">
        <is>
          <t>HÄRNÖSAND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59034-2022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44903</v>
      </c>
      <c r="E430" s="1" t="n">
        <v>46306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46306</v>
      </c>
      <c r="F431" t="inlineStr">
        <is>
          <t>VÄSTERNORRLANDS LÄN</t>
        </is>
      </c>
      <c r="G431" t="inlineStr">
        <is>
          <t>HÄRNÖSAND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44945</v>
      </c>
      <c r="E432" s="1" t="n">
        <v>46306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46306</v>
      </c>
      <c r="F433" t="inlineStr">
        <is>
          <t>VÄSTERNORRLANDS LÄN</t>
        </is>
      </c>
      <c r="G433" t="inlineStr">
        <is>
          <t>HÄRNÖSAND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46306</v>
      </c>
      <c r="F434" t="inlineStr">
        <is>
          <t>VÄSTERNORRLANDS LÄN</t>
        </is>
      </c>
      <c r="G434" t="inlineStr">
        <is>
          <t>HÄRNÖSAND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46306</v>
      </c>
      <c r="F435" t="inlineStr">
        <is>
          <t>VÄSTERNORRLANDS LÄN</t>
        </is>
      </c>
      <c r="G435" t="inlineStr">
        <is>
          <t>HÄRNÖSAND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46306</v>
      </c>
      <c r="F436" t="inlineStr">
        <is>
          <t>VÄSTERNORRLANDS LÄN</t>
        </is>
      </c>
      <c r="G436" t="inlineStr">
        <is>
          <t>HÄRNÖSAND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46306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46306</v>
      </c>
      <c r="F438" t="inlineStr">
        <is>
          <t>VÄSTERNORRLANDS LÄN</t>
        </is>
      </c>
      <c r="G438" t="inlineStr">
        <is>
          <t>HÄRNÖSAND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46306</v>
      </c>
      <c r="F439" t="inlineStr">
        <is>
          <t>VÄSTERNORRLANDS LÄN</t>
        </is>
      </c>
      <c r="G439" t="inlineStr">
        <is>
          <t>HÄRNÖSAND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45376</v>
      </c>
      <c r="E440" s="1" t="n">
        <v>46306</v>
      </c>
      <c r="F440" t="inlineStr">
        <is>
          <t>VÄSTERNORRLANDS LÄN</t>
        </is>
      </c>
      <c r="G440" t="inlineStr">
        <is>
          <t>HÄRNÖSAND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46306</v>
      </c>
      <c r="F441" t="inlineStr">
        <is>
          <t>VÄSTERNORRLANDS LÄN</t>
        </is>
      </c>
      <c r="G441" t="inlineStr">
        <is>
          <t>HÄRNÖSAND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46306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46306</v>
      </c>
      <c r="F443" t="inlineStr">
        <is>
          <t>VÄSTERNORRLANDS LÄN</t>
        </is>
      </c>
      <c r="G443" t="inlineStr">
        <is>
          <t>HÄRNÖSAND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56165-2022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44889</v>
      </c>
      <c r="E444" s="1" t="n">
        <v>46306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45289</v>
      </c>
      <c r="E445" s="1" t="n">
        <v>46306</v>
      </c>
      <c r="F445" t="inlineStr">
        <is>
          <t>VÄSTERNORRLANDS LÄN</t>
        </is>
      </c>
      <c r="G445" t="inlineStr">
        <is>
          <t>HÄRNÖSAND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45687-2022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44845</v>
      </c>
      <c r="E446" s="1" t="n">
        <v>46306</v>
      </c>
      <c r="F446" t="inlineStr">
        <is>
          <t>VÄSTERNORRLANDS LÄN</t>
        </is>
      </c>
      <c r="G446" t="inlineStr">
        <is>
          <t>HÄRNÖSAND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46306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45194</v>
      </c>
      <c r="E448" s="1" t="n">
        <v>46306</v>
      </c>
      <c r="F448" t="inlineStr">
        <is>
          <t>VÄSTERNORRLANDS LÄN</t>
        </is>
      </c>
      <c r="G448" t="inlineStr">
        <is>
          <t>HÄRNÖSAND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45289</v>
      </c>
      <c r="E449" s="1" t="n">
        <v>46306</v>
      </c>
      <c r="F449" t="inlineStr">
        <is>
          <t>VÄSTERNORRLANDS LÄN</t>
        </is>
      </c>
      <c r="G449" t="inlineStr">
        <is>
          <t>HÄRNÖSAND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44580</v>
      </c>
      <c r="E450" s="1" t="n">
        <v>46306</v>
      </c>
      <c r="F450" t="inlineStr">
        <is>
          <t>VÄSTERNORRLANDS LÄN</t>
        </is>
      </c>
      <c r="G450" t="inlineStr">
        <is>
          <t>HÄRNÖSAND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45476</v>
      </c>
      <c r="E451" s="1" t="n">
        <v>46306</v>
      </c>
      <c r="F451" t="inlineStr">
        <is>
          <t>VÄSTERNORRLANDS LÄN</t>
        </is>
      </c>
      <c r="G451" t="inlineStr">
        <is>
          <t>HÄRNÖSAND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42348-2025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45904</v>
      </c>
      <c r="E452" s="1" t="n">
        <v>46306</v>
      </c>
      <c r="F452" t="inlineStr">
        <is>
          <t>VÄSTERNORRLANDS LÄN</t>
        </is>
      </c>
      <c r="G452" t="inlineStr">
        <is>
          <t>HÄRNÖSAND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64107-2025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46306</v>
      </c>
      <c r="F453" t="inlineStr">
        <is>
          <t>VÄSTERNORRLANDS LÄN</t>
        </is>
      </c>
      <c r="G453" t="inlineStr">
        <is>
          <t>HÄRNÖSAND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13611-2023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45006</v>
      </c>
      <c r="E454" s="1" t="n">
        <v>46306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46024</v>
      </c>
      <c r="E455" s="1" t="n">
        <v>46306</v>
      </c>
      <c r="F455" t="inlineStr">
        <is>
          <t>VÄSTERNORRLANDS LÄN</t>
        </is>
      </c>
      <c r="G455" t="inlineStr">
        <is>
          <t>HÄRNÖSAND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46024</v>
      </c>
      <c r="E456" s="1" t="n">
        <v>46306</v>
      </c>
      <c r="F456" t="inlineStr">
        <is>
          <t>VÄSTERNORRLANDS LÄN</t>
        </is>
      </c>
      <c r="G456" t="inlineStr">
        <is>
          <t>HÄRNÖSAND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46306</v>
      </c>
      <c r="F457" t="inlineStr">
        <is>
          <t>VÄSTERNORRLANDS LÄN</t>
        </is>
      </c>
      <c r="G457" t="inlineStr">
        <is>
          <t>HÄRNÖSAND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46024</v>
      </c>
      <c r="E458" s="1" t="n">
        <v>46306</v>
      </c>
      <c r="F458" t="inlineStr">
        <is>
          <t>VÄSTERNORRLANDS LÄN</t>
        </is>
      </c>
      <c r="G458" t="inlineStr">
        <is>
          <t>HÄRNÖSAND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46023</v>
      </c>
      <c r="E459" s="1" t="n">
        <v>46306</v>
      </c>
      <c r="F459" t="inlineStr">
        <is>
          <t>VÄSTERNORRLANDS LÄN</t>
        </is>
      </c>
      <c r="G459" t="inlineStr">
        <is>
          <t>HÄRNÖSAND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46306</v>
      </c>
      <c r="F460" t="inlineStr">
        <is>
          <t>VÄSTERNORRLANDS LÄN</t>
        </is>
      </c>
      <c r="G460" t="inlineStr">
        <is>
          <t>HÄRNÖSAND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45300</v>
      </c>
      <c r="E461" s="1" t="n">
        <v>46306</v>
      </c>
      <c r="F461" t="inlineStr">
        <is>
          <t>VÄSTERNORRLANDS LÄN</t>
        </is>
      </c>
      <c r="G461" t="inlineStr">
        <is>
          <t>HÄRNÖSAND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46026</v>
      </c>
      <c r="E462" s="1" t="n">
        <v>46306</v>
      </c>
      <c r="F462" t="inlineStr">
        <is>
          <t>VÄSTERNORRLANDS LÄN</t>
        </is>
      </c>
      <c r="G462" t="inlineStr">
        <is>
          <t>HÄRNÖSAND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45035</v>
      </c>
      <c r="E463" s="1" t="n">
        <v>46306</v>
      </c>
      <c r="F463" t="inlineStr">
        <is>
          <t>VÄSTERNORRLANDS LÄN</t>
        </is>
      </c>
      <c r="G463" t="inlineStr">
        <is>
          <t>HÄRNÖSAND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46306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780-2026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46029</v>
      </c>
      <c r="E465" s="1" t="n">
        <v>46306</v>
      </c>
      <c r="F465" t="inlineStr">
        <is>
          <t>VÄSTERNORRLANDS LÄN</t>
        </is>
      </c>
      <c r="G465" t="inlineStr">
        <is>
          <t>HÄRNÖSAND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46306</v>
      </c>
      <c r="F466" t="inlineStr">
        <is>
          <t>VÄSTERNORRLANDS LÄN</t>
        </is>
      </c>
      <c r="G466" t="inlineStr">
        <is>
          <t>HÄRNÖSAND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46306</v>
      </c>
      <c r="F467" t="inlineStr">
        <is>
          <t>VÄSTERNORRLANDS LÄN</t>
        </is>
      </c>
      <c r="G467" t="inlineStr">
        <is>
          <t>HÄRNÖSAND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45526</v>
      </c>
      <c r="E468" s="1" t="n">
        <v>46306</v>
      </c>
      <c r="F468" t="inlineStr">
        <is>
          <t>VÄSTERNORRLANDS LÄN</t>
        </is>
      </c>
      <c r="G468" t="inlineStr">
        <is>
          <t>HÄRNÖSAND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46306</v>
      </c>
      <c r="F469" t="inlineStr">
        <is>
          <t>VÄSTERNORRLANDS LÄN</t>
        </is>
      </c>
      <c r="G469" t="inlineStr">
        <is>
          <t>HÄRNÖSAND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46306</v>
      </c>
      <c r="F470" t="inlineStr">
        <is>
          <t>VÄSTERNORRLANDS LÄN</t>
        </is>
      </c>
      <c r="G470" t="inlineStr">
        <is>
          <t>HÄRNÖSAND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46306</v>
      </c>
      <c r="F471" t="inlineStr">
        <is>
          <t>VÄSTERNORRLANDS LÄN</t>
        </is>
      </c>
      <c r="G471" t="inlineStr">
        <is>
          <t>HÄRNÖSAND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46306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Kyrkan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46306</v>
      </c>
      <c r="F473" t="inlineStr">
        <is>
          <t>VÄSTERNORRLANDS LÄN</t>
        </is>
      </c>
      <c r="G473" t="inlineStr">
        <is>
          <t>HÄRNÖSAND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46306</v>
      </c>
      <c r="F474" t="inlineStr">
        <is>
          <t>VÄSTERNORRLANDS LÄN</t>
        </is>
      </c>
      <c r="G474" t="inlineStr">
        <is>
          <t>HÄRNÖSAND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45392</v>
      </c>
      <c r="E475" s="1" t="n">
        <v>46306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46306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46306</v>
      </c>
      <c r="F477" t="inlineStr">
        <is>
          <t>VÄSTERNORRLANDS LÄN</t>
        </is>
      </c>
      <c r="G477" t="inlineStr">
        <is>
          <t>HÄRNÖSAND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46306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46306</v>
      </c>
      <c r="F479" t="inlineStr">
        <is>
          <t>VÄSTERNORRLANDS LÄN</t>
        </is>
      </c>
      <c r="G479" t="inlineStr">
        <is>
          <t>HÄRNÖSAND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45000</v>
      </c>
      <c r="E480" s="1" t="n">
        <v>46306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46306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58869-2023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45250</v>
      </c>
      <c r="E482" s="1" t="n">
        <v>46306</v>
      </c>
      <c r="F482" t="inlineStr">
        <is>
          <t>VÄSTERNORRLANDS LÄN</t>
        </is>
      </c>
      <c r="G482" t="inlineStr">
        <is>
          <t>HÄRNÖSAND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46306</v>
      </c>
      <c r="F483" t="inlineStr">
        <is>
          <t>VÄSTERNORRLANDS LÄN</t>
        </is>
      </c>
      <c r="G483" t="inlineStr">
        <is>
          <t>HÄRNÖSAND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46306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34226-2023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45126</v>
      </c>
      <c r="E485" s="1" t="n">
        <v>46306</v>
      </c>
      <c r="F485" t="inlineStr">
        <is>
          <t>VÄSTERNORRLANDS LÄN</t>
        </is>
      </c>
      <c r="G485" t="inlineStr">
        <is>
          <t>HÄRNÖSAND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45825</v>
      </c>
      <c r="E486" s="1" t="n">
        <v>46306</v>
      </c>
      <c r="F486" t="inlineStr">
        <is>
          <t>VÄSTERNORRLANDS LÄN</t>
        </is>
      </c>
      <c r="G486" t="inlineStr">
        <is>
          <t>HÄRNÖSAND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46306</v>
      </c>
      <c r="F487" t="inlineStr">
        <is>
          <t>VÄSTERNORRLANDS LÄN</t>
        </is>
      </c>
      <c r="G487" t="inlineStr">
        <is>
          <t>HÄRNÖSAND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46045</v>
      </c>
      <c r="E488" s="1" t="n">
        <v>46306</v>
      </c>
      <c r="F488" t="inlineStr">
        <is>
          <t>VÄSTERNORRLANDS LÄN</t>
        </is>
      </c>
      <c r="G488" t="inlineStr">
        <is>
          <t>HÄRNÖSAND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46306</v>
      </c>
      <c r="F489" t="inlineStr">
        <is>
          <t>VÄSTERNORRLANDS LÄN</t>
        </is>
      </c>
      <c r="G489" t="inlineStr">
        <is>
          <t>HÄRNÖSAND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45887</v>
      </c>
      <c r="E490" s="1" t="n">
        <v>46306</v>
      </c>
      <c r="F490" t="inlineStr">
        <is>
          <t>VÄSTERNORRLANDS LÄN</t>
        </is>
      </c>
      <c r="G490" t="inlineStr">
        <is>
          <t>HÄRNÖSAND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46306</v>
      </c>
      <c r="F491" t="inlineStr">
        <is>
          <t>VÄSTERNORRLANDS LÄN</t>
        </is>
      </c>
      <c r="G491" t="inlineStr">
        <is>
          <t>HÄRNÖSAND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46306</v>
      </c>
      <c r="F492" t="inlineStr">
        <is>
          <t>VÄSTERNORRLANDS LÄN</t>
        </is>
      </c>
      <c r="G492" t="inlineStr">
        <is>
          <t>HÄRNÖSAND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46306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46306</v>
      </c>
      <c r="F494" t="inlineStr">
        <is>
          <t>VÄSTERNORRLANDS LÄN</t>
        </is>
      </c>
      <c r="G494" t="inlineStr">
        <is>
          <t>HÄRNÖSAND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46306</v>
      </c>
      <c r="F495" t="inlineStr">
        <is>
          <t>VÄSTERNORRLANDS LÄN</t>
        </is>
      </c>
      <c r="G495" t="inlineStr">
        <is>
          <t>HÄRNÖSAND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46306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46306</v>
      </c>
      <c r="F497" t="inlineStr">
        <is>
          <t>VÄSTERNORRLANDS LÄN</t>
        </is>
      </c>
      <c r="G497" t="inlineStr">
        <is>
          <t>HÄRNÖSAND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46306</v>
      </c>
      <c r="F498" t="inlineStr">
        <is>
          <t>VÄSTERNORRLANDS LÄN</t>
        </is>
      </c>
      <c r="G498" t="inlineStr">
        <is>
          <t>HÄRNÖSAND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46306</v>
      </c>
      <c r="F499" t="inlineStr">
        <is>
          <t>VÄSTERNORRLANDS LÄN</t>
        </is>
      </c>
      <c r="G499" t="inlineStr">
        <is>
          <t>HÄRNÖSAND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46306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46306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Kyrkan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46306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Kyrkan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46306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Kyrkan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46306</v>
      </c>
      <c r="F504" t="inlineStr">
        <is>
          <t>VÄSTERNORRLANDS LÄN</t>
        </is>
      </c>
      <c r="G504" t="inlineStr">
        <is>
          <t>HÄRNÖSAND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46306</v>
      </c>
      <c r="F505" t="inlineStr">
        <is>
          <t>VÄSTERNORRLANDS LÄN</t>
        </is>
      </c>
      <c r="G505" t="inlineStr">
        <is>
          <t>HÄRNÖSAND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46070</v>
      </c>
      <c r="E506" s="1" t="n">
        <v>46306</v>
      </c>
      <c r="F506" t="inlineStr">
        <is>
          <t>VÄSTERNORRLANDS LÄN</t>
        </is>
      </c>
      <c r="G506" t="inlineStr">
        <is>
          <t>HÄRNÖSAND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46306</v>
      </c>
      <c r="F507" t="inlineStr">
        <is>
          <t>VÄSTERNORRLANDS LÄN</t>
        </is>
      </c>
      <c r="G507" t="inlineStr">
        <is>
          <t>HÄRNÖSAND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46306</v>
      </c>
      <c r="F508" t="inlineStr">
        <is>
          <t>VÄSTERNORRLANDS LÄN</t>
        </is>
      </c>
      <c r="G508" t="inlineStr">
        <is>
          <t>HÄRNÖSAND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46306</v>
      </c>
      <c r="F509" t="inlineStr">
        <is>
          <t>VÄSTERNORRLANDS LÄN</t>
        </is>
      </c>
      <c r="G509" t="inlineStr">
        <is>
          <t>HÄRNÖSAND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46306</v>
      </c>
      <c r="F510" t="inlineStr">
        <is>
          <t>VÄSTERNORRLANDS LÄN</t>
        </is>
      </c>
      <c r="G510" t="inlineStr">
        <is>
          <t>HÄRNÖSAND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46306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46306</v>
      </c>
      <c r="F512" t="inlineStr">
        <is>
          <t>VÄSTERNORRLANDS LÄN</t>
        </is>
      </c>
      <c r="G512" t="inlineStr">
        <is>
          <t>HÄRNÖSAND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46306</v>
      </c>
      <c r="F513" t="inlineStr">
        <is>
          <t>VÄSTERNORRLANDS LÄN</t>
        </is>
      </c>
      <c r="G513" t="inlineStr">
        <is>
          <t>HÄRNÖSAND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46306</v>
      </c>
      <c r="F514" t="inlineStr">
        <is>
          <t>VÄSTERNORRLANDS LÄN</t>
        </is>
      </c>
      <c r="G514" t="inlineStr">
        <is>
          <t>HÄRNÖSAND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46306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46306</v>
      </c>
      <c r="F516" t="inlineStr">
        <is>
          <t>VÄSTERNORRLANDS LÄN</t>
        </is>
      </c>
      <c r="G516" t="inlineStr">
        <is>
          <t>HÄRNÖSAND</t>
        </is>
      </c>
      <c r="I516" t="n">
        <v>16.7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11202-2026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46080</v>
      </c>
      <c r="E517" s="1" t="n">
        <v>46306</v>
      </c>
      <c r="F517" t="inlineStr">
        <is>
          <t>VÄSTERNORRLANDS LÄN</t>
        </is>
      </c>
      <c r="G517" t="inlineStr">
        <is>
          <t>HÄRNÖSAND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46085</v>
      </c>
      <c r="E518" s="1" t="n">
        <v>46306</v>
      </c>
      <c r="F518" t="inlineStr">
        <is>
          <t>VÄSTERNORRLANDS LÄN</t>
        </is>
      </c>
      <c r="G518" t="inlineStr">
        <is>
          <t>HÄRNÖSAND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46306</v>
      </c>
      <c r="F519" t="inlineStr">
        <is>
          <t>VÄSTERNORRLANDS LÄN</t>
        </is>
      </c>
      <c r="G519" t="inlineStr">
        <is>
          <t>HÄRNÖSAND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46306</v>
      </c>
      <c r="F520" t="inlineStr">
        <is>
          <t>VÄSTERNORRLANDS LÄN</t>
        </is>
      </c>
      <c r="G520" t="inlineStr">
        <is>
          <t>HÄRNÖSAND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46306</v>
      </c>
      <c r="F521" t="inlineStr">
        <is>
          <t>VÄSTERNORRLANDS LÄN</t>
        </is>
      </c>
      <c r="G521" t="inlineStr">
        <is>
          <t>HÄRNÖSAND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46306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Övriga statliga verk och myndigheter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12650-2026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46091</v>
      </c>
      <c r="E523" s="1" t="n">
        <v>46306</v>
      </c>
      <c r="F523" t="inlineStr">
        <is>
          <t>VÄSTERNORRLANDS LÄN</t>
        </is>
      </c>
      <c r="G523" t="inlineStr">
        <is>
          <t>HÄRNÖSAND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46306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46306</v>
      </c>
      <c r="F525" t="inlineStr">
        <is>
          <t>VÄSTERNORRLANDS LÄN</t>
        </is>
      </c>
      <c r="G525" t="inlineStr">
        <is>
          <t>HÄRNÖSAND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46091</v>
      </c>
      <c r="E526" s="1" t="n">
        <v>46306</v>
      </c>
      <c r="F526" t="inlineStr">
        <is>
          <t>VÄSTERNORRLANDS LÄN</t>
        </is>
      </c>
      <c r="G526" t="inlineStr">
        <is>
          <t>HÄRNÖSAND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46091</v>
      </c>
      <c r="E527" s="1" t="n">
        <v>46306</v>
      </c>
      <c r="F527" t="inlineStr">
        <is>
          <t>VÄSTERNORRLANDS LÄN</t>
        </is>
      </c>
      <c r="G527" t="inlineStr">
        <is>
          <t>HÄRNÖSAND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46091</v>
      </c>
      <c r="E528" s="1" t="n">
        <v>46306</v>
      </c>
      <c r="F528" t="inlineStr">
        <is>
          <t>VÄSTERNORRLANDS LÄN</t>
        </is>
      </c>
      <c r="G528" t="inlineStr">
        <is>
          <t>HÄRNÖSAND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46306</v>
      </c>
      <c r="F529" t="inlineStr">
        <is>
          <t>VÄSTERNORRLANDS LÄN</t>
        </is>
      </c>
      <c r="G529" t="inlineStr">
        <is>
          <t>HÄRNÖSAND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45832</v>
      </c>
      <c r="E530" s="1" t="n">
        <v>46306</v>
      </c>
      <c r="F530" t="inlineStr">
        <is>
          <t>VÄSTERNORRLANDS LÄN</t>
        </is>
      </c>
      <c r="G530" t="inlineStr">
        <is>
          <t>HÄRNÖSAND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46306</v>
      </c>
      <c r="F531" t="inlineStr">
        <is>
          <t>VÄSTERNORRLANDS LÄN</t>
        </is>
      </c>
      <c r="G531" t="inlineStr">
        <is>
          <t>HÄRNÖSAND</t>
        </is>
      </c>
      <c r="I531" t="n">
        <v>9.199999999999999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46306</v>
      </c>
      <c r="F532" t="inlineStr">
        <is>
          <t>VÄSTERNORRLANDS LÄN</t>
        </is>
      </c>
      <c r="G532" t="inlineStr">
        <is>
          <t>HÄRNÖSAND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46306</v>
      </c>
      <c r="F533" t="inlineStr">
        <is>
          <t>VÄSTERNORRLANDS LÄN</t>
        </is>
      </c>
      <c r="G533" t="inlineStr">
        <is>
          <t>HÄRNÖSAND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46306</v>
      </c>
      <c r="F534" t="inlineStr">
        <is>
          <t>VÄSTERNORRLANDS LÄN</t>
        </is>
      </c>
      <c r="G534" t="inlineStr">
        <is>
          <t>HÄRNÖSAND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23231-2026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46306</v>
      </c>
      <c r="F535" t="inlineStr">
        <is>
          <t>VÄSTERNORRLANDS LÄN</t>
        </is>
      </c>
      <c r="G535" t="inlineStr">
        <is>
          <t>HÄRNÖSAND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46306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45786</v>
      </c>
      <c r="E537" s="1" t="n">
        <v>46306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46306</v>
      </c>
      <c r="F538" t="inlineStr">
        <is>
          <t>VÄSTERNORRLANDS LÄN</t>
        </is>
      </c>
      <c r="G538" t="inlineStr">
        <is>
          <t>HÄRNÖSAND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46306</v>
      </c>
      <c r="F539" t="inlineStr">
        <is>
          <t>VÄSTERNORRLANDS LÄN</t>
        </is>
      </c>
      <c r="G539" t="inlineStr">
        <is>
          <t>HÄRNÖSAND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46306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31.8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46306</v>
      </c>
      <c r="F541" t="inlineStr">
        <is>
          <t>VÄSTERNORRLANDS LÄN</t>
        </is>
      </c>
      <c r="G541" t="inlineStr">
        <is>
          <t>HÄRNÖSAND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46306</v>
      </c>
      <c r="F542" t="inlineStr">
        <is>
          <t>VÄSTERNORRLANDS LÄN</t>
        </is>
      </c>
      <c r="G542" t="inlineStr">
        <is>
          <t>HÄRNÖSAND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24120-2026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46168</v>
      </c>
      <c r="E543" s="1" t="n">
        <v>46306</v>
      </c>
      <c r="F543" t="inlineStr">
        <is>
          <t>VÄSTERNORRLANDS LÄN</t>
        </is>
      </c>
      <c r="G543" t="inlineStr">
        <is>
          <t>HÄRNÖSAND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46306</v>
      </c>
      <c r="F544" t="inlineStr">
        <is>
          <t>VÄSTERNORRLANDS LÄN</t>
        </is>
      </c>
      <c r="G544" t="inlineStr">
        <is>
          <t>HÄRNÖSAND</t>
        </is>
      </c>
      <c r="I544" t="n">
        <v>12.3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46306</v>
      </c>
      <c r="F545" t="inlineStr">
        <is>
          <t>VÄSTERNORRLANDS LÄN</t>
        </is>
      </c>
      <c r="G545" t="inlineStr">
        <is>
          <t>HÄRNÖSAND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45638</v>
      </c>
      <c r="E546" s="1" t="n">
        <v>46306</v>
      </c>
      <c r="F546" t="inlineStr">
        <is>
          <t>VÄSTERNORRLANDS LÄN</t>
        </is>
      </c>
      <c r="G546" t="inlineStr">
        <is>
          <t>HÄRNÖSAND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46306</v>
      </c>
      <c r="F547" t="inlineStr">
        <is>
          <t>VÄSTERNORRLANDS LÄN</t>
        </is>
      </c>
      <c r="G547" t="inlineStr">
        <is>
          <t>HÄRNÖSAND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46149</v>
      </c>
      <c r="E548" s="1" t="n">
        <v>46306</v>
      </c>
      <c r="F548" t="inlineStr">
        <is>
          <t>VÄSTERNORRLANDS LÄN</t>
        </is>
      </c>
      <c r="G548" t="inlineStr">
        <is>
          <t>HÄRNÖSAND</t>
        </is>
      </c>
      <c r="I548" t="n">
        <v>13.8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46165</v>
      </c>
      <c r="E549" s="1" t="n">
        <v>46306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46306</v>
      </c>
      <c r="F550" t="inlineStr">
        <is>
          <t>VÄSTERNORRLANDS LÄN</t>
        </is>
      </c>
      <c r="G550" t="inlineStr">
        <is>
          <t>HÄRNÖSAND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45910</v>
      </c>
      <c r="E551" s="1" t="n">
        <v>46306</v>
      </c>
      <c r="F551" t="inlineStr">
        <is>
          <t>VÄSTERNORRLANDS LÄN</t>
        </is>
      </c>
      <c r="G551" t="inlineStr">
        <is>
          <t>HÄRNÖSAND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46306</v>
      </c>
      <c r="F552" t="inlineStr">
        <is>
          <t>VÄSTERNORRLANDS LÄN</t>
        </is>
      </c>
      <c r="G552" t="inlineStr">
        <is>
          <t>HÄRNÖSAND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46306</v>
      </c>
      <c r="F553" t="inlineStr">
        <is>
          <t>VÄSTERNORRLANDS LÄN</t>
        </is>
      </c>
      <c r="G553" t="inlineStr">
        <is>
          <t>HÄRNÖSAND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46175</v>
      </c>
      <c r="E554" s="1" t="n">
        <v>46306</v>
      </c>
      <c r="F554" t="inlineStr">
        <is>
          <t>VÄSTERNORRLANDS LÄN</t>
        </is>
      </c>
      <c r="G554" t="inlineStr">
        <is>
          <t>HÄRNÖSAND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46306</v>
      </c>
      <c r="F555" t="inlineStr">
        <is>
          <t>VÄSTERNORRLANDS LÄN</t>
        </is>
      </c>
      <c r="G555" t="inlineStr">
        <is>
          <t>HÄRNÖSAND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46306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46306</v>
      </c>
      <c r="F557" t="inlineStr">
        <is>
          <t>VÄSTERNORRLANDS LÄN</t>
        </is>
      </c>
      <c r="G557" t="inlineStr">
        <is>
          <t>HÄRNÖSAND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46306</v>
      </c>
      <c r="F558" t="inlineStr">
        <is>
          <t>VÄSTERNORRLANDS LÄN</t>
        </is>
      </c>
      <c r="G558" t="inlineStr">
        <is>
          <t>HÄRNÖSAND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25451-2026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46306</v>
      </c>
      <c r="F559" t="inlineStr">
        <is>
          <t>VÄSTERNORRLANDS LÄN</t>
        </is>
      </c>
      <c r="G559" t="inlineStr">
        <is>
          <t>HÄRNÖSAND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46306</v>
      </c>
      <c r="F560" t="inlineStr">
        <is>
          <t>VÄSTERNORRLANDS LÄN</t>
        </is>
      </c>
      <c r="G560" t="inlineStr">
        <is>
          <t>HÄRNÖSAND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46306</v>
      </c>
      <c r="F561" t="inlineStr">
        <is>
          <t>VÄSTERNORRLANDS LÄN</t>
        </is>
      </c>
      <c r="G561" t="inlineStr">
        <is>
          <t>HÄRNÖSAND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46306</v>
      </c>
      <c r="F562" t="inlineStr">
        <is>
          <t>VÄSTERNORRLANDS LÄN</t>
        </is>
      </c>
      <c r="G562" t="inlineStr">
        <is>
          <t>HÄRNÖSAND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46306</v>
      </c>
      <c r="F563" t="inlineStr">
        <is>
          <t>VÄSTERNORRLANDS LÄN</t>
        </is>
      </c>
      <c r="G563" t="inlineStr">
        <is>
          <t>HÄRNÖSAND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25974-2026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46306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46306</v>
      </c>
      <c r="F565" t="inlineStr">
        <is>
          <t>VÄSTERNORRLANDS LÄN</t>
        </is>
      </c>
      <c r="G565" t="inlineStr">
        <is>
          <t>HÄRNÖSAND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46306</v>
      </c>
      <c r="F566" t="inlineStr">
        <is>
          <t>VÄSTERNORRLANDS LÄN</t>
        </is>
      </c>
      <c r="G566" t="inlineStr">
        <is>
          <t>HÄRNÖSAND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46306</v>
      </c>
      <c r="F567" t="inlineStr">
        <is>
          <t>VÄSTERNORRLANDS LÄN</t>
        </is>
      </c>
      <c r="G567" t="inlineStr">
        <is>
          <t>HÄRNÖSAND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46306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25745-2025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46306</v>
      </c>
      <c r="F569" t="inlineStr">
        <is>
          <t>VÄSTERNORRLANDS LÄN</t>
        </is>
      </c>
      <c r="G569" t="inlineStr">
        <is>
          <t>HÄRNÖSAND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46306</v>
      </c>
      <c r="F570" t="inlineStr">
        <is>
          <t>VÄSTERNORRLANDS LÄN</t>
        </is>
      </c>
      <c r="G570" t="inlineStr">
        <is>
          <t>HÄRNÖSAND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46189</v>
      </c>
      <c r="E571" s="1" t="n">
        <v>46306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46306</v>
      </c>
      <c r="F572" t="inlineStr">
        <is>
          <t>VÄSTERNORRLANDS LÄN</t>
        </is>
      </c>
      <c r="G572" t="inlineStr">
        <is>
          <t>HÄRNÖSAND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46189</v>
      </c>
      <c r="E573" s="1" t="n">
        <v>46306</v>
      </c>
      <c r="F573" t="inlineStr">
        <is>
          <t>VÄSTERNORRLANDS LÄN</t>
        </is>
      </c>
      <c r="G573" t="inlineStr">
        <is>
          <t>HÄRNÖSAND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46189</v>
      </c>
      <c r="E574" s="1" t="n">
        <v>46306</v>
      </c>
      <c r="F574" t="inlineStr">
        <is>
          <t>VÄSTERNORRLANDS LÄN</t>
        </is>
      </c>
      <c r="G574" t="inlineStr">
        <is>
          <t>HÄRNÖSAND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46306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46306</v>
      </c>
      <c r="F576" t="inlineStr">
        <is>
          <t>VÄSTERNORRLANDS LÄN</t>
        </is>
      </c>
      <c r="G576" t="inlineStr">
        <is>
          <t>HÄRNÖSAND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46306</v>
      </c>
      <c r="F577" t="inlineStr">
        <is>
          <t>VÄSTERNORRLANDS LÄN</t>
        </is>
      </c>
      <c r="G577" t="inlineStr">
        <is>
          <t>HÄRNÖSAND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46306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46306</v>
      </c>
      <c r="F579" t="inlineStr">
        <is>
          <t>VÄSTERNORRLANDS LÄN</t>
        </is>
      </c>
      <c r="G579" t="inlineStr">
        <is>
          <t>HÄRNÖSAND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46306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46306</v>
      </c>
      <c r="F581" t="inlineStr">
        <is>
          <t>VÄSTERNORRLANDS LÄN</t>
        </is>
      </c>
      <c r="G581" t="inlineStr">
        <is>
          <t>HÄRNÖSAND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46306</v>
      </c>
      <c r="F582" t="inlineStr">
        <is>
          <t>VÄSTERNORRLANDS LÄN</t>
        </is>
      </c>
      <c r="G582" t="inlineStr">
        <is>
          <t>HÄRNÖSAND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46306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46306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46306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46306</v>
      </c>
      <c r="F586" t="inlineStr">
        <is>
          <t>VÄSTERNORRLANDS LÄN</t>
        </is>
      </c>
      <c r="G586" t="inlineStr">
        <is>
          <t>HÄRNÖSAND</t>
        </is>
      </c>
      <c r="I586" t="n">
        <v>14.6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46306</v>
      </c>
      <c r="F587" t="inlineStr">
        <is>
          <t>VÄSTERNORRLANDS LÄN</t>
        </is>
      </c>
      <c r="G587" t="inlineStr">
        <is>
          <t>HÄRNÖSAND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46306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46306</v>
      </c>
      <c r="F589" t="inlineStr">
        <is>
          <t>VÄSTERNORRLANDS LÄN</t>
        </is>
      </c>
      <c r="G589" t="inlineStr">
        <is>
          <t>HÄRNÖSAND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46306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46306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46306</v>
      </c>
      <c r="F592" t="inlineStr">
        <is>
          <t>VÄSTERNORRLANDS LÄN</t>
        </is>
      </c>
      <c r="G592" t="inlineStr">
        <is>
          <t>HÄRNÖSAND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46306</v>
      </c>
      <c r="F593" t="inlineStr">
        <is>
          <t>VÄSTERNORRLANDS LÄN</t>
        </is>
      </c>
      <c r="G593" t="inlineStr">
        <is>
          <t>HÄRNÖSAND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46306</v>
      </c>
      <c r="F594" t="inlineStr">
        <is>
          <t>VÄSTERNORRLANDS LÄN</t>
        </is>
      </c>
      <c r="G594" t="inlineStr">
        <is>
          <t>HÄRNÖSAND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46306</v>
      </c>
      <c r="F595" t="inlineStr">
        <is>
          <t>VÄSTERNORRLANDS LÄN</t>
        </is>
      </c>
      <c r="G595" t="inlineStr">
        <is>
          <t>HÄRNÖSAND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46306</v>
      </c>
      <c r="F596" t="inlineStr">
        <is>
          <t>VÄSTERNORRLANDS LÄN</t>
        </is>
      </c>
      <c r="G596" t="inlineStr">
        <is>
          <t>HÄRNÖSAND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46306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46306</v>
      </c>
      <c r="F598" t="inlineStr">
        <is>
          <t>VÄSTERNORRLANDS LÄN</t>
        </is>
      </c>
      <c r="G598" t="inlineStr">
        <is>
          <t>HÄRNÖSAND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46306</v>
      </c>
      <c r="F599" t="inlineStr">
        <is>
          <t>VÄSTERNORRLANDS LÄN</t>
        </is>
      </c>
      <c r="G599" t="inlineStr">
        <is>
          <t>HÄRNÖSAND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45348</v>
      </c>
      <c r="E600" s="1" t="n">
        <v>46306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46306</v>
      </c>
      <c r="F601" t="inlineStr">
        <is>
          <t>VÄSTERNORRLANDS LÄN</t>
        </is>
      </c>
      <c r="G601" t="inlineStr">
        <is>
          <t>HÄRNÖSAND</t>
        </is>
      </c>
      <c r="I601" t="n">
        <v>13.6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46215</v>
      </c>
      <c r="E602" s="1" t="n">
        <v>46306</v>
      </c>
      <c r="F602" t="inlineStr">
        <is>
          <t>VÄSTERNORRLANDS LÄN</t>
        </is>
      </c>
      <c r="G602" t="inlineStr">
        <is>
          <t>HÄRNÖSAND</t>
        </is>
      </c>
      <c r="I602" t="n">
        <v>12.7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46215</v>
      </c>
      <c r="E603" s="1" t="n">
        <v>46306</v>
      </c>
      <c r="F603" t="inlineStr">
        <is>
          <t>VÄSTERNORRLANDS LÄN</t>
        </is>
      </c>
      <c r="G603" t="inlineStr">
        <is>
          <t>HÄRNÖSAND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46306</v>
      </c>
      <c r="F604" t="inlineStr">
        <is>
          <t>VÄSTERNORRLANDS LÄN</t>
        </is>
      </c>
      <c r="G604" t="inlineStr">
        <is>
          <t>HÄRNÖSAND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46306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46306</v>
      </c>
      <c r="F606" t="inlineStr">
        <is>
          <t>VÄSTERNORRLANDS LÄN</t>
        </is>
      </c>
      <c r="G606" t="inlineStr">
        <is>
          <t>HÄRNÖSAND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46306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46161</v>
      </c>
      <c r="E608" s="1" t="n">
        <v>46306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46306</v>
      </c>
      <c r="F609" t="inlineStr">
        <is>
          <t>VÄSTERNORRLANDS LÄN</t>
        </is>
      </c>
      <c r="G609" t="inlineStr">
        <is>
          <t>HÄRNÖSAND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46306</v>
      </c>
      <c r="F610" t="inlineStr">
        <is>
          <t>VÄSTERNORRLANDS LÄN</t>
        </is>
      </c>
      <c r="G610" t="inlineStr">
        <is>
          <t>HÄRNÖSAND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37246-2026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46306</v>
      </c>
      <c r="F611" t="inlineStr">
        <is>
          <t>VÄSTERNORRLANDS LÄN</t>
        </is>
      </c>
      <c r="G611" t="inlineStr">
        <is>
          <t>HÄRNÖSAND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46232</v>
      </c>
      <c r="E612" s="1" t="n">
        <v>46306</v>
      </c>
      <c r="F612" t="inlineStr">
        <is>
          <t>VÄSTERNORRLANDS LÄN</t>
        </is>
      </c>
      <c r="G612" t="inlineStr">
        <is>
          <t>HÄRNÖSAND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46275</v>
      </c>
      <c r="E613" s="1" t="n">
        <v>46306</v>
      </c>
      <c r="F613" t="inlineStr">
        <is>
          <t>VÄSTERNORRLANDS LÄN</t>
        </is>
      </c>
      <c r="G613" t="inlineStr">
        <is>
          <t>HÄRNÖSAND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32293-2026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46237</v>
      </c>
      <c r="E614" s="1" t="n">
        <v>46306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46306</v>
      </c>
      <c r="F615" t="inlineStr">
        <is>
          <t>VÄSTERNORRLANDS LÄN</t>
        </is>
      </c>
      <c r="G615" t="inlineStr">
        <is>
          <t>HÄRNÖSAND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46306</v>
      </c>
      <c r="F616" t="inlineStr">
        <is>
          <t>VÄSTERNORRLANDS LÄN</t>
        </is>
      </c>
      <c r="G616" t="inlineStr">
        <is>
          <t>HÄRNÖSAND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32485-2026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46306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38215-2026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46306</v>
      </c>
      <c r="F618" t="inlineStr">
        <is>
          <t>VÄSTERNORRLANDS LÄN</t>
        </is>
      </c>
      <c r="G618" t="inlineStr">
        <is>
          <t>HÄRNÖSAND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38849-2026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46286</v>
      </c>
      <c r="E619" s="1" t="n">
        <v>46306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25981-2026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46306</v>
      </c>
      <c r="F620" t="inlineStr">
        <is>
          <t>VÄSTERNORRLANDS LÄN</t>
        </is>
      </c>
      <c r="G620" t="inlineStr">
        <is>
          <t>HÄRNÖSAND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46286</v>
      </c>
      <c r="E621" s="1" t="n">
        <v>46306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46070</v>
      </c>
      <c r="E622" s="1" t="n">
        <v>46306</v>
      </c>
      <c r="F622" t="inlineStr">
        <is>
          <t>VÄSTERNORRLANDS LÄN</t>
        </is>
      </c>
      <c r="G622" t="inlineStr">
        <is>
          <t>HÄRNÖSAND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46288</v>
      </c>
      <c r="E623" s="1" t="n">
        <v>46306</v>
      </c>
      <c r="F623" t="inlineStr">
        <is>
          <t>VÄSTERNORRLANDS LÄN</t>
        </is>
      </c>
      <c r="G623" t="inlineStr">
        <is>
          <t>HÄRNÖSAND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46286</v>
      </c>
      <c r="E624" s="1" t="n">
        <v>46306</v>
      </c>
      <c r="F624" t="inlineStr">
        <is>
          <t>VÄSTERNORRLANDS LÄN</t>
        </is>
      </c>
      <c r="G624" t="inlineStr">
        <is>
          <t>HÄRNÖSAND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46288</v>
      </c>
      <c r="E625" s="1" t="n">
        <v>46306</v>
      </c>
      <c r="F625" t="inlineStr">
        <is>
          <t>VÄSTERNORRLANDS LÄN</t>
        </is>
      </c>
      <c r="G625" t="inlineStr">
        <is>
          <t>HÄRNÖSAND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46244</v>
      </c>
      <c r="E626" s="1" t="n">
        <v>46306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Kyrkan</t>
        </is>
      </c>
      <c r="I626" t="n">
        <v>24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46287</v>
      </c>
      <c r="E627" s="1" t="n">
        <v>46306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46306</v>
      </c>
      <c r="F628" t="inlineStr">
        <is>
          <t>VÄSTERNORRLANDS LÄN</t>
        </is>
      </c>
      <c r="G628" t="inlineStr">
        <is>
          <t>HÄRNÖSAND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39395-2026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46288</v>
      </c>
      <c r="E629" s="1" t="n">
        <v>46306</v>
      </c>
      <c r="F629" t="inlineStr">
        <is>
          <t>VÄSTERNORRLANDS LÄN</t>
        </is>
      </c>
      <c r="G629" t="inlineStr">
        <is>
          <t>HÄRNÖSAND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46306</v>
      </c>
      <c r="F630" t="inlineStr">
        <is>
          <t>VÄSTERNORRLANDS LÄN</t>
        </is>
      </c>
      <c r="G630" t="inlineStr">
        <is>
          <t>HÄRNÖSAND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46306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46252</v>
      </c>
      <c r="E632" s="1" t="n">
        <v>46306</v>
      </c>
      <c r="F632" t="inlineStr">
        <is>
          <t>VÄSTERNORRLANDS LÄN</t>
        </is>
      </c>
      <c r="G632" t="inlineStr">
        <is>
          <t>HÄRNÖSAND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46296</v>
      </c>
      <c r="E633" s="1" t="n">
        <v>46306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40833-2026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46296</v>
      </c>
      <c r="E634" s="1" t="n">
        <v>46306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46296</v>
      </c>
      <c r="E635" s="1" t="n">
        <v>46306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46297</v>
      </c>
      <c r="E636" s="1" t="n">
        <v>46306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Kyrkan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33747-2026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46251</v>
      </c>
      <c r="E637" s="1" t="n">
        <v>46306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46297</v>
      </c>
      <c r="E638" s="1" t="n">
        <v>46306</v>
      </c>
      <c r="F638" t="inlineStr">
        <is>
          <t>VÄSTERNORRLANDS LÄN</t>
        </is>
      </c>
      <c r="G638" t="inlineStr">
        <is>
          <t>HÄRNÖSAND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46288</v>
      </c>
      <c r="E639" s="1" t="n">
        <v>46306</v>
      </c>
      <c r="F639" t="inlineStr">
        <is>
          <t>VÄSTERNORRLANDS LÄN</t>
        </is>
      </c>
      <c r="G639" t="inlineStr">
        <is>
          <t>HÄRNÖSAND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41439-2026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46301</v>
      </c>
      <c r="E640" s="1" t="n">
        <v>46306</v>
      </c>
      <c r="F640" t="inlineStr">
        <is>
          <t>VÄSTERNORRLANDS LÄN</t>
        </is>
      </c>
      <c r="G640" t="inlineStr">
        <is>
          <t>HÄRNÖSAND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46306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46303</v>
      </c>
      <c r="E642" s="1" t="n">
        <v>46306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Kyrkan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46262</v>
      </c>
      <c r="E643" s="1" t="n">
        <v>46306</v>
      </c>
      <c r="F643" t="inlineStr">
        <is>
          <t>VÄSTERNORRLANDS LÄN</t>
        </is>
      </c>
      <c r="G643" t="inlineStr">
        <is>
          <t>HÄRNÖSAND</t>
        </is>
      </c>
      <c r="I643" t="n">
        <v>7.9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35125-2026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46260</v>
      </c>
      <c r="E644" s="1" t="n">
        <v>46306</v>
      </c>
      <c r="F644" t="inlineStr">
        <is>
          <t>VÄSTERNORRLANDS LÄN</t>
        </is>
      </c>
      <c r="G644" t="inlineStr">
        <is>
          <t>HÄRNÖSAND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42116-2026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46304</v>
      </c>
      <c r="E645" s="1" t="n">
        <v>46306</v>
      </c>
      <c r="F645" t="inlineStr">
        <is>
          <t>VÄSTERNORRLANDS LÄN</t>
        </is>
      </c>
      <c r="G645" t="inlineStr">
        <is>
          <t>HÄRNÖSAND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46306</v>
      </c>
      <c r="F646" t="inlineStr">
        <is>
          <t>VÄSTERNORRLANDS LÄN</t>
        </is>
      </c>
      <c r="G646" t="inlineStr">
        <is>
          <t>HÄRNÖSAND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46306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46306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46306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46306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46306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46306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46306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46306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46306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2294-2026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46267</v>
      </c>
      <c r="E656" s="1" t="n">
        <v>46306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2026-10-11T02:03:48Z</dcterms:created>
  <dcterms:modified xmlns:dcterms="http://purl.org/dc/terms/" xmlns:xsi="http://www.w3.org/2001/XMLSchema-instance" xsi:type="dcterms:W3CDTF">2026-10-11T02:03:49Z</dcterms:modified>
</cp:coreProperties>
</file>