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46301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46301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46301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46301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46301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46301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46301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46301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46301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46301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46301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46301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46301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t="n">
        <v>0</v>
      </c>
      <c r="V26" s="2" t="inlineStr">
        <is>
          <t>Gränsticka
Kattfotslav
Bårdlav
Skinnlav
Vedticka</t>
        </is>
      </c>
      <c r="W26">
        <f>HYPERLINK("https://klasma.github.io/Logging_2280/artfynd/A 48667-2024 artfynd.xlsx", "A 48667-2024")</f>
        <v/>
      </c>
      <c r="X26">
        <f>HYPERLINK("https://klasma.github.io/Logging_2280/kartor/A 48667-2024 karta.png", "A 48667-2024")</f>
        <v/>
      </c>
      <c r="Y26">
        <f>HYPERLINK("https://klasma.github.io/Logging_2280/kartor_geotiff/A 48667-2024 georefererad karta.tif", "A 48667-2024")</f>
        <v/>
      </c>
      <c r="AA26">
        <f>HYPERLINK("https://klasma.github.io/Logging_2280/klagomål/A 48667-2024 FSC-klagomål.docx", "A 48667-2024")</f>
        <v/>
      </c>
      <c r="AB26">
        <f>HYPERLINK("https://klasma.github.io/Logging_2280/klagomålsmail/A 48667-2024 FSC-klagomål mail.docx", "A 48667-2024")</f>
        <v/>
      </c>
      <c r="AC26">
        <f>HYPERLINK("https://klasma.github.io/Logging_2280/tillsyn/A 48667-2024 tillsynsbegäran.docx", "A 48667-2024")</f>
        <v/>
      </c>
      <c r="AD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46301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46301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46301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46301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46301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46301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46301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41592-2024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46301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6.8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6</v>
      </c>
      <c r="V34" s="2" t="inlineStr">
        <is>
          <t>Garnlav
Ullticka
Vedflamlav
Stuplav</t>
        </is>
      </c>
      <c r="W34">
        <f>HYPERLINK("https://klasma.github.io/Logging_2280/artfynd/A 41592-2024 artfynd.xlsx", "A 41592-2024")</f>
        <v/>
      </c>
      <c r="X34">
        <f>HYPERLINK("https://klasma.github.io/Logging_2280/kartor/A 41592-2024 karta.png", "A 41592-2024")</f>
        <v/>
      </c>
      <c r="Y34">
        <f>HYPERLINK("https://klasma.github.io/Logging_2280/kartor_geotiff/A 41592-2024 georefererad karta.tif", "A 41592-2024")</f>
        <v/>
      </c>
      <c r="AA34">
        <f>HYPERLINK("https://klasma.github.io/Logging_2280/klagomål/A 41592-2024 FSC-klagomål.docx", "A 41592-2024")</f>
        <v/>
      </c>
      <c r="AB34">
        <f>HYPERLINK("https://klasma.github.io/Logging_2280/klagomålsmail/A 41592-2024 FSC-klagomål mail.docx", "A 41592-2024")</f>
        <v/>
      </c>
      <c r="AC34">
        <f>HYPERLINK("https://klasma.github.io/Logging_2280/tillsyn/A 41592-2024 tillsynsbegäran.docx", "A 41592-2024")</f>
        <v/>
      </c>
      <c r="AD34">
        <f>HYPERLINK("https://klasma.github.io/Logging_2280/tillsynsmail/A 41592-2024 tillsynsbegäran mail.docx", "A 41592-2024")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46301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46301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46301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46301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46301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46301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46301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Ullticka
Vedflamlav
Fläcknycklar</t>
        </is>
      </c>
      <c r="W45">
        <f>HYPERLINK("https://klasma.github.io/Logging_2280/artfynd/A 43101-2023 artfynd.xlsx", "A 43101-2023")</f>
        <v/>
      </c>
      <c r="X45">
        <f>HYPERLINK("https://klasma.github.io/Logging_2280/kartor/A 43101-2023 karta.png", "A 43101-2023")</f>
        <v/>
      </c>
      <c r="Y45">
        <f>HYPERLINK("https://klasma.github.io/Logging_2280/kartor_geotiff/A 43101-2023 georefererad karta.tif", "A 43101-2023")</f>
        <v/>
      </c>
      <c r="AA45">
        <f>HYPERLINK("https://klasma.github.io/Logging_2280/klagomål/A 43101-2023 FSC-klagomål.docx", "A 43101-2023")</f>
        <v/>
      </c>
      <c r="AB45">
        <f>HYPERLINK("https://klasma.github.io/Logging_2280/klagomålsmail/A 43101-2023 FSC-klagomål mail.docx", "A 43101-2023")</f>
        <v/>
      </c>
      <c r="AC45">
        <f>HYPERLINK("https://klasma.github.io/Logging_2280/tillsyn/A 43101-2023 tillsynsbegäran.docx", "A 43101-2023")</f>
        <v/>
      </c>
      <c r="AD45">
        <f>HYPERLINK("https://klasma.github.io/Logging_2280/tillsynsmail/A 43101-2023 tillsynsbegäran mail.docx", "A 43101-2023")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46301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46301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8921-2024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45355</v>
      </c>
      <c r="E48" s="1" t="n">
        <v>46301</v>
      </c>
      <c r="F48" t="inlineStr">
        <is>
          <t>VÄSTERNORRLANDS LÄN</t>
        </is>
      </c>
      <c r="G48" t="inlineStr">
        <is>
          <t>HÄRNÖSAND</t>
        </is>
      </c>
      <c r="I48" t="n">
        <v>3.7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2</v>
      </c>
      <c r="V48" s="2" t="inlineStr">
        <is>
          <t>Skrovlig taggsvamp
Apelsinticka
Svartvit taggsvamp</t>
        </is>
      </c>
      <c r="W48">
        <f>HYPERLINK("https://klasma.github.io/Logging_2280/artfynd/A 8921-2024 artfynd.xlsx", "A 8921-2024")</f>
        <v/>
      </c>
      <c r="X48">
        <f>HYPERLINK("https://klasma.github.io/Logging_2280/kartor/A 8921-2024 karta.png", "A 8921-2024")</f>
        <v/>
      </c>
      <c r="Y48">
        <f>HYPERLINK("https://klasma.github.io/Logging_2280/kartor_geotiff/A 8921-2024 georefererad karta.tif", "A 8921-2024")</f>
        <v/>
      </c>
      <c r="AA48">
        <f>HYPERLINK("https://klasma.github.io/Logging_2280/klagomål/A 8921-2024 FSC-klagomål.docx", "A 8921-2024")</f>
        <v/>
      </c>
      <c r="AB48">
        <f>HYPERLINK("https://klasma.github.io/Logging_2280/klagomålsmail/A 8921-2024 FSC-klagomål mail.docx", "A 8921-2024")</f>
        <v/>
      </c>
      <c r="AC48">
        <f>HYPERLINK("https://klasma.github.io/Logging_2280/tillsyn/A 8921-2024 tillsynsbegäran.docx", "A 8921-2024")</f>
        <v/>
      </c>
      <c r="AD48">
        <f>HYPERLINK("https://klasma.github.io/Logging_2280/tillsynsmail/A 8921-2024 tillsynsbegäran mail.docx", "A 8921-2024")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46301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46301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46301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46301</v>
      </c>
      <c r="F52" t="inlineStr">
        <is>
          <t>VÄSTERNORRLANDS LÄN</t>
        </is>
      </c>
      <c r="G52" t="inlineStr">
        <is>
          <t>HÄRNÖSAND</t>
        </is>
      </c>
      <c r="I52" t="n">
        <v>4.7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Slåtterfibbla
Strutbräken
Svart trolldruva</t>
        </is>
      </c>
      <c r="W52">
        <f>HYPERLINK("https://klasma.github.io/Logging_2280/artfynd/A 3953-2024 artfynd.xlsx", "A 3953-2024")</f>
        <v/>
      </c>
      <c r="X52">
        <f>HYPERLINK("https://klasma.github.io/Logging_2280/kartor/A 3953-2024 karta.png", "A 3953-2024")</f>
        <v/>
      </c>
      <c r="Y52">
        <f>HYPERLINK("https://klasma.github.io/Logging_2280/kartor_geotiff/A 3953-2024 georefererad karta.tif", "A 3953-2024")</f>
        <v/>
      </c>
      <c r="AA52">
        <f>HYPERLINK("https://klasma.github.io/Logging_2280/klagomål/A 3953-2024 FSC-klagomål.docx", "A 3953-2024")</f>
        <v/>
      </c>
      <c r="AB52">
        <f>HYPERLINK("https://klasma.github.io/Logging_2280/klagomålsmail/A 3953-2024 FSC-klagomål mail.docx", "A 3953-2024")</f>
        <v/>
      </c>
      <c r="AC52">
        <f>HYPERLINK("https://klasma.github.io/Logging_2280/tillsyn/A 3953-2024 tillsynsbegäran.docx", "A 3953-2024")</f>
        <v/>
      </c>
      <c r="AD52">
        <f>HYPERLINK("https://klasma.github.io/Logging_2280/tillsynsmail/A 3953-2024 tillsynsbegäran mail.docx", "A 3953-2024")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46301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46301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46301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46301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46301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46301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54894-2024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46301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Lunglav</t>
        </is>
      </c>
      <c r="W62">
        <f>HYPERLINK("https://klasma.github.io/Logging_2280/artfynd/A 54894-2024 artfynd.xlsx", "A 54894-2024")</f>
        <v/>
      </c>
      <c r="X62">
        <f>HYPERLINK("https://klasma.github.io/Logging_2280/kartor/A 54894-2024 karta.png", "A 54894-2024")</f>
        <v/>
      </c>
      <c r="Y62">
        <f>HYPERLINK("https://klasma.github.io/Logging_2280/kartor_geotiff/A 54894-2024 georefererad karta.tif", "A 54894-2024")</f>
        <v/>
      </c>
      <c r="AA62">
        <f>HYPERLINK("https://klasma.github.io/Logging_2280/klagomål/A 54894-2024 FSC-klagomål.docx", "A 54894-2024")</f>
        <v/>
      </c>
      <c r="AB62">
        <f>HYPERLINK("https://klasma.github.io/Logging_2280/klagomålsmail/A 54894-2024 FSC-klagomål mail.docx", "A 54894-2024")</f>
        <v/>
      </c>
      <c r="AC62">
        <f>HYPERLINK("https://klasma.github.io/Logging_2280/tillsyn/A 54894-2024 tillsynsbegäran.docx", "A 54894-2024")</f>
        <v/>
      </c>
      <c r="AD62">
        <f>HYPERLINK("https://klasma.github.io/Logging_2280/tillsynsmail/A 54894-2024 tillsynsbegäran mail.docx", "A 54894-2024")</f>
        <v/>
      </c>
    </row>
    <row r="63" ht="15" customHeight="1">
      <c r="A63" t="inlineStr">
        <is>
          <t>A 54964-2025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45967</v>
      </c>
      <c r="E63" s="1" t="n">
        <v>46301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7.2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Gammelgransskål</t>
        </is>
      </c>
      <c r="W63">
        <f>HYPERLINK("https://klasma.github.io/Logging_2280/artfynd/A 54964-2025 artfynd.xlsx", "A 54964-2025")</f>
        <v/>
      </c>
      <c r="X63">
        <f>HYPERLINK("https://klasma.github.io/Logging_2280/kartor/A 54964-2025 karta.png", "A 54964-2025")</f>
        <v/>
      </c>
      <c r="Y63">
        <f>HYPERLINK("https://klasma.github.io/Logging_2280/kartor_geotiff/A 54964-2025 georefererad karta.tif", "A 54964-2025")</f>
        <v/>
      </c>
      <c r="AA63">
        <f>HYPERLINK("https://klasma.github.io/Logging_2280/klagomål/A 54964-2025 FSC-klagomål.docx", "A 54964-2025")</f>
        <v/>
      </c>
      <c r="AB63">
        <f>HYPERLINK("https://klasma.github.io/Logging_2280/klagomålsmail/A 54964-2025 FSC-klagomål mail.docx", "A 54964-2025")</f>
        <v/>
      </c>
      <c r="AC63">
        <f>HYPERLINK("https://klasma.github.io/Logging_2280/tillsyn/A 54964-2025 tillsynsbegäran.docx", "A 54964-2025")</f>
        <v/>
      </c>
      <c r="AD63">
        <f>HYPERLINK("https://klasma.github.io/Logging_2280/tillsynsmail/A 54964-2025 tillsynsbegäran mail.docx", "A 54964-2025")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46301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46301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46301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46301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46301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46301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46301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46301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46301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HYPERLINK("https://klasma.github.io/Logging_2280/artfynd/A 26086-2025 artfynd.xlsx", "A 26086-2025")</f>
        <v/>
      </c>
      <c r="X72">
        <f>HYPERLINK("https://klasma.github.io/Logging_2280/kartor/A 26086-2025 karta.png", "A 26086-2025")</f>
        <v/>
      </c>
      <c r="Y72">
        <f>HYPERLINK("https://klasma.github.io/Logging_2280/kartor_geotiff/A 26086-2025 georefererad karta.tif", "A 26086-2025")</f>
        <v/>
      </c>
      <c r="AA72">
        <f>HYPERLINK("https://klasma.github.io/Logging_2280/klagomål/A 26086-2025 FSC-klagomål.docx", "A 26086-2025")</f>
        <v/>
      </c>
      <c r="AB72">
        <f>HYPERLINK("https://klasma.github.io/Logging_2280/klagomålsmail/A 26086-2025 FSC-klagomål mail.docx", "A 26086-2025")</f>
        <v/>
      </c>
      <c r="AC72">
        <f>HYPERLINK("https://klasma.github.io/Logging_2280/tillsyn/A 26086-2025 tillsynsbegäran.docx", "A 26086-2025")</f>
        <v/>
      </c>
      <c r="AD72">
        <f>HYPERLINK("https://klasma.github.io/Logging_2280/tillsynsmail/A 26086-2025 tillsynsbegäran mail.docx", "A 26086-2025")</f>
        <v/>
      </c>
      <c r="AE72">
        <f>HYPERLINK("https://klasma.github.io/Logging_2280/fåglar/A 26086-2025 prioriterade fågelarter.docx", "A 26086-2025")</f>
        <v/>
      </c>
    </row>
    <row r="73" ht="15" customHeight="1">
      <c r="A73" t="inlineStr">
        <is>
          <t>A 26922-2025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46301</v>
      </c>
      <c r="F73" t="inlineStr">
        <is>
          <t>VÄSTERNORRLANDS LÄN</t>
        </is>
      </c>
      <c r="G73" t="inlineStr">
        <is>
          <t>HÄRNÖSAND</t>
        </is>
      </c>
      <c r="I73" t="n">
        <v>2.4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Barkticka</t>
        </is>
      </c>
      <c r="W73">
        <f>HYPERLINK("https://klasma.github.io/Logging_2280/artfynd/A 26922-2025 artfynd.xlsx", "A 26922-2025")</f>
        <v/>
      </c>
      <c r="X73">
        <f>HYPERLINK("https://klasma.github.io/Logging_2280/kartor/A 26922-2025 karta.png", "A 26922-2025")</f>
        <v/>
      </c>
      <c r="Y73">
        <f>HYPERLINK("https://klasma.github.io/Logging_2280/kartor_geotiff/A 26922-2025 georefererad karta.tif", "A 26922-2025")</f>
        <v/>
      </c>
      <c r="AA73">
        <f>HYPERLINK("https://klasma.github.io/Logging_2280/klagomål/A 26922-2025 FSC-klagomål.docx", "A 26922-2025")</f>
        <v/>
      </c>
      <c r="AB73">
        <f>HYPERLINK("https://klasma.github.io/Logging_2280/klagomålsmail/A 26922-2025 FSC-klagomål mail.docx", "A 26922-2025")</f>
        <v/>
      </c>
      <c r="AC73">
        <f>HYPERLINK("https://klasma.github.io/Logging_2280/tillsyn/A 26922-2025 tillsynsbegäran.docx", "A 26922-2025")</f>
        <v/>
      </c>
      <c r="AD73">
        <f>HYPERLINK("https://klasma.github.io/Logging_2280/tillsynsmail/A 26922-2025 tillsynsbegäran mail.docx", "A 26922-2025")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46301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46301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46301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46301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HYPERLINK("https://klasma.github.io/Logging_2280/artfynd/A 18583-2026 artfynd.xlsx", "A 18583-2026")</f>
        <v/>
      </c>
      <c r="X77">
        <f>HYPERLINK("https://klasma.github.io/Logging_2280/kartor/A 18583-2026 karta.png", "A 18583-2026")</f>
        <v/>
      </c>
      <c r="Y77">
        <f>HYPERLINK("https://klasma.github.io/Logging_2280/kartor_geotiff/A 18583-2026 georefererad karta.tif", "A 18583-2026")</f>
        <v/>
      </c>
      <c r="AA77">
        <f>HYPERLINK("https://klasma.github.io/Logging_2280/klagomål/A 18583-2026 FSC-klagomål.docx", "A 18583-2026")</f>
        <v/>
      </c>
      <c r="AB77">
        <f>HYPERLINK("https://klasma.github.io/Logging_2280/klagomålsmail/A 18583-2026 FSC-klagomål mail.docx", "A 18583-2026")</f>
        <v/>
      </c>
      <c r="AC77">
        <f>HYPERLINK("https://klasma.github.io/Logging_2280/tillsyn/A 18583-2026 tillsynsbegäran.docx", "A 18583-2026")</f>
        <v/>
      </c>
      <c r="AD77">
        <f>HYPERLINK("https://klasma.github.io/Logging_2280/tillsynsmail/A 18583-2026 tillsynsbegäran mail.docx", "A 18583-2026")</f>
        <v/>
      </c>
    </row>
    <row r="78" ht="15" customHeight="1">
      <c r="A78" t="inlineStr">
        <is>
          <t>A 43541-2022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44837</v>
      </c>
      <c r="E78" s="1" t="n">
        <v>46301</v>
      </c>
      <c r="F78" t="inlineStr">
        <is>
          <t>VÄSTERNORRLANDS LÄN</t>
        </is>
      </c>
      <c r="G78" t="inlineStr">
        <is>
          <t>HÄRNÖSAND</t>
        </is>
      </c>
      <c r="I78" t="n">
        <v>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Sötgräs</t>
        </is>
      </c>
      <c r="W78">
        <f>HYPERLINK("https://klasma.github.io/Logging_2280/artfynd/A 43541-2022 artfynd.xlsx", "A 43541-2022")</f>
        <v/>
      </c>
      <c r="X78">
        <f>HYPERLINK("https://klasma.github.io/Logging_2280/kartor/A 43541-2022 karta.png", "A 43541-2022")</f>
        <v/>
      </c>
      <c r="Y78">
        <f>HYPERLINK("https://klasma.github.io/Logging_2280/kartor_geotiff/A 43541-2022 georefererad karta.tif", "A 43541-2022")</f>
        <v/>
      </c>
      <c r="AA78">
        <f>HYPERLINK("https://klasma.github.io/Logging_2280/klagomål/A 43541-2022 FSC-klagomål.docx", "A 43541-2022")</f>
        <v/>
      </c>
      <c r="AB78">
        <f>HYPERLINK("https://klasma.github.io/Logging_2280/klagomålsmail/A 43541-2022 FSC-klagomål mail.docx", "A 43541-2022")</f>
        <v/>
      </c>
      <c r="AC78">
        <f>HYPERLINK("https://klasma.github.io/Logging_2280/tillsyn/A 43541-2022 tillsynsbegäran.docx", "A 43541-2022")</f>
        <v/>
      </c>
      <c r="AD78">
        <f>HYPERLINK("https://klasma.github.io/Logging_2280/tillsynsmail/A 43541-2022 tillsynsbegäran mail.docx", "A 43541-2022")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46301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1190-2026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46301</v>
      </c>
      <c r="F80" t="inlineStr">
        <is>
          <t>VÄSTERNORRLANDS LÄN</t>
        </is>
      </c>
      <c r="G80" t="inlineStr">
        <is>
          <t>HÄRNÖSAND</t>
        </is>
      </c>
      <c r="I80" t="n">
        <v>3.5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Tretåig hackspett</t>
        </is>
      </c>
      <c r="W80">
        <f>HYPERLINK("https://klasma.github.io/Logging_2280/artfynd/A 1190-2026 artfynd.xlsx", "A 1190-2026")</f>
        <v/>
      </c>
      <c r="X80">
        <f>HYPERLINK("https://klasma.github.io/Logging_2280/kartor/A 1190-2026 karta.png", "A 1190-2026")</f>
        <v/>
      </c>
      <c r="Y80">
        <f>HYPERLINK("https://klasma.github.io/Logging_2280/kartor_geotiff/A 1190-2026 georefererad karta.tif", "A 1190-2026")</f>
        <v/>
      </c>
      <c r="AA80">
        <f>HYPERLINK("https://klasma.github.io/Logging_2280/klagomål/A 1190-2026 FSC-klagomål.docx", "A 1190-2026")</f>
        <v/>
      </c>
      <c r="AB80">
        <f>HYPERLINK("https://klasma.github.io/Logging_2280/klagomålsmail/A 1190-2026 FSC-klagomål mail.docx", "A 1190-2026")</f>
        <v/>
      </c>
      <c r="AC80">
        <f>HYPERLINK("https://klasma.github.io/Logging_2280/tillsyn/A 1190-2026 tillsynsbegäran.docx", "A 1190-2026")</f>
        <v/>
      </c>
      <c r="AD80">
        <f>HYPERLINK("https://klasma.github.io/Logging_2280/tillsynsmail/A 1190-2026 tillsynsbegäran mail.docx", "A 1190-2026")</f>
        <v/>
      </c>
      <c r="AE80">
        <f>HYPERLINK("https://klasma.github.io/Logging_2280/fåglar/A 1190-2026 prioriterade fågelarter.docx", "A 1190-2026")</f>
        <v/>
      </c>
    </row>
    <row r="81" ht="15" customHeight="1">
      <c r="A81" t="inlineStr">
        <is>
          <t>A 74325-2021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46301</v>
      </c>
      <c r="F81" t="inlineStr">
        <is>
          <t>VÄSTERNORRLANDS LÄN</t>
        </is>
      </c>
      <c r="G81" t="inlineStr">
        <is>
          <t>HÄRNÖSAND</t>
        </is>
      </c>
      <c r="I81" t="n">
        <v>4.6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Skogshare</t>
        </is>
      </c>
      <c r="W81">
        <f>HYPERLINK("https://klasma.github.io/Logging_2280/artfynd/A 74325-2021 artfynd.xlsx", "A 74325-2021")</f>
        <v/>
      </c>
      <c r="X81">
        <f>HYPERLINK("https://klasma.github.io/Logging_2280/kartor/A 74325-2021 karta.png", "A 74325-2021")</f>
        <v/>
      </c>
      <c r="Y81">
        <f>HYPERLINK("https://klasma.github.io/Logging_2280/kartor_geotiff/A 74325-2021 georefererad karta.tif", "A 74325-2021")</f>
        <v/>
      </c>
      <c r="AA81">
        <f>HYPERLINK("https://klasma.github.io/Logging_2280/klagomål/A 74325-2021 FSC-klagomål.docx", "A 74325-2021")</f>
        <v/>
      </c>
      <c r="AB81">
        <f>HYPERLINK("https://klasma.github.io/Logging_2280/klagomålsmail/A 74325-2021 FSC-klagomål mail.docx", "A 74325-2021")</f>
        <v/>
      </c>
      <c r="AC81">
        <f>HYPERLINK("https://klasma.github.io/Logging_2280/tillsyn/A 74325-2021 tillsynsbegäran.docx", "A 74325-2021")</f>
        <v/>
      </c>
      <c r="AD81">
        <f>HYPERLINK("https://klasma.github.io/Logging_2280/tillsynsmail/A 74325-2021 tillsynsbegäran mail.docx", "A 74325-2021")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46301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46301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27457-2026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46301</v>
      </c>
      <c r="F84" t="inlineStr">
        <is>
          <t>VÄSTERNORRLANDS LÄN</t>
        </is>
      </c>
      <c r="G84" t="inlineStr">
        <is>
          <t>HÄRNÖSAND</t>
        </is>
      </c>
      <c r="I84" t="n">
        <v>3.8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Ullticka</t>
        </is>
      </c>
      <c r="W84">
        <f>HYPERLINK("https://klasma.github.io/Logging_2280/artfynd/A 27457-2026 artfynd.xlsx", "A 27457-2026")</f>
        <v/>
      </c>
      <c r="X84">
        <f>HYPERLINK("https://klasma.github.io/Logging_2280/kartor/A 27457-2026 karta.png", "A 27457-2026")</f>
        <v/>
      </c>
      <c r="Y84">
        <f>HYPERLINK("https://klasma.github.io/Logging_2280/kartor_geotiff/A 27457-2026 georefererad karta.tif", "A 27457-2026")</f>
        <v/>
      </c>
      <c r="AA84">
        <f>HYPERLINK("https://klasma.github.io/Logging_2280/klagomål/A 27457-2026 FSC-klagomål.docx", "A 27457-2026")</f>
        <v/>
      </c>
      <c r="AB84">
        <f>HYPERLINK("https://klasma.github.io/Logging_2280/klagomålsmail/A 27457-2026 FSC-klagomål mail.docx", "A 27457-2026")</f>
        <v/>
      </c>
      <c r="AC84">
        <f>HYPERLINK("https://klasma.github.io/Logging_2280/tillsyn/A 27457-2026 tillsynsbegäran.docx", "A 27457-2026")</f>
        <v/>
      </c>
      <c r="AD84">
        <f>HYPERLINK("https://klasma.github.io/Logging_2280/tillsynsmail/A 27457-2026 tillsynsbegäran mail.docx", "A 27457-2026")</f>
        <v/>
      </c>
    </row>
    <row r="85" ht="15" customHeight="1">
      <c r="A85" t="inlineStr">
        <is>
          <t>A 27923-2026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46301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9.300000000000001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Veckticka</t>
        </is>
      </c>
      <c r="W85">
        <f>HYPERLINK("https://klasma.github.io/Logging_2280/artfynd/A 27923-2026 artfynd.xlsx", "A 27923-2026")</f>
        <v/>
      </c>
      <c r="X85">
        <f>HYPERLINK("https://klasma.github.io/Logging_2280/kartor/A 27923-2026 karta.png", "A 27923-2026")</f>
        <v/>
      </c>
      <c r="Y85">
        <f>HYPERLINK("https://klasma.github.io/Logging_2280/kartor_geotiff/A 27923-2026 georefererad karta.tif", "A 27923-2026")</f>
        <v/>
      </c>
      <c r="AA85">
        <f>HYPERLINK("https://klasma.github.io/Logging_2280/klagomål/A 27923-2026 FSC-klagomål.docx", "A 27923-2026")</f>
        <v/>
      </c>
      <c r="AB85">
        <f>HYPERLINK("https://klasma.github.io/Logging_2280/klagomålsmail/A 27923-2026 FSC-klagomål mail.docx", "A 27923-2026")</f>
        <v/>
      </c>
      <c r="AC85">
        <f>HYPERLINK("https://klasma.github.io/Logging_2280/tillsyn/A 27923-2026 tillsynsbegäran.docx", "A 27923-2026")</f>
        <v/>
      </c>
      <c r="AD85">
        <f>HYPERLINK("https://klasma.github.io/Logging_2280/tillsynsmail/A 27923-2026 tillsynsbegäran mail.docx", "A 27923-2026")</f>
        <v/>
      </c>
    </row>
    <row r="86" ht="15" customHeight="1">
      <c r="A86" t="inlineStr">
        <is>
          <t>A 7853-2024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46301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4.1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HYPERLINK("https://klasma.github.io/Logging_2280/artfynd/A 7853-2024 artfynd.xlsx", "A 7853-2024")</f>
        <v/>
      </c>
      <c r="X86">
        <f>HYPERLINK("https://klasma.github.io/Logging_2280/kartor/A 7853-2024 karta.png", "A 7853-2024")</f>
        <v/>
      </c>
      <c r="Y86">
        <f>HYPERLINK("https://klasma.github.io/Logging_2280/kartor_geotiff/A 7853-2024 georefererad karta.tif", "A 7853-2024")</f>
        <v/>
      </c>
      <c r="AA86">
        <f>HYPERLINK("https://klasma.github.io/Logging_2280/klagomål/A 7853-2024 FSC-klagomål.docx", "A 7853-2024")</f>
        <v/>
      </c>
      <c r="AB86">
        <f>HYPERLINK("https://klasma.github.io/Logging_2280/klagomålsmail/A 7853-2024 FSC-klagomål mail.docx", "A 7853-2024")</f>
        <v/>
      </c>
      <c r="AC86">
        <f>HYPERLINK("https://klasma.github.io/Logging_2280/tillsyn/A 7853-2024 tillsynsbegäran.docx", "A 7853-2024")</f>
        <v/>
      </c>
      <c r="AD86">
        <f>HYPERLINK("https://klasma.github.io/Logging_2280/tillsynsmail/A 7853-2024 tillsynsbegäran mail.docx", "A 7853-2024")</f>
        <v/>
      </c>
    </row>
    <row r="87" ht="15" customHeight="1">
      <c r="A87" t="inlineStr">
        <is>
          <t>A 11546-2024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46301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HYPERLINK("https://klasma.github.io/Logging_2280/artfynd/A 11546-2024 artfynd.xlsx", "A 11546-2024")</f>
        <v/>
      </c>
      <c r="X87">
        <f>HYPERLINK("https://klasma.github.io/Logging_2280/kartor/A 11546-2024 karta.png", "A 11546-2024")</f>
        <v/>
      </c>
      <c r="Y87">
        <f>HYPERLINK("https://klasma.github.io/Logging_2280/kartor_geotiff/A 11546-2024 georefererad karta.tif", "A 11546-2024")</f>
        <v/>
      </c>
      <c r="AA87">
        <f>HYPERLINK("https://klasma.github.io/Logging_2280/klagomål/A 11546-2024 FSC-klagomål.docx", "A 11546-2024")</f>
        <v/>
      </c>
      <c r="AB87">
        <f>HYPERLINK("https://klasma.github.io/Logging_2280/klagomålsmail/A 11546-2024 FSC-klagomål mail.docx", "A 11546-2024")</f>
        <v/>
      </c>
      <c r="AC87">
        <f>HYPERLINK("https://klasma.github.io/Logging_2280/tillsyn/A 11546-2024 tillsynsbegäran.docx", "A 11546-2024")</f>
        <v/>
      </c>
      <c r="AD87">
        <f>HYPERLINK("https://klasma.github.io/Logging_2280/tillsynsmail/A 11546-2024 tillsynsbegäran mail.docx", "A 11546-2024")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46301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46301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24202-2024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45456</v>
      </c>
      <c r="E90" s="1" t="n">
        <v>46301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2</v>
      </c>
      <c r="V90" s="2" t="inlineStr">
        <is>
          <t>Garnlav</t>
        </is>
      </c>
      <c r="W90">
        <f>HYPERLINK("https://klasma.github.io/Logging_2280/artfynd/A 24202-2024 artfynd.xlsx", "A 24202-2024")</f>
        <v/>
      </c>
      <c r="X90">
        <f>HYPERLINK("https://klasma.github.io/Logging_2280/kartor/A 24202-2024 karta.png", "A 24202-2024")</f>
        <v/>
      </c>
      <c r="Y90">
        <f>HYPERLINK("https://klasma.github.io/Logging_2280/kartor_geotiff/A 24202-2024 georefererad karta.tif", "A 24202-2024")</f>
        <v/>
      </c>
      <c r="AA90">
        <f>HYPERLINK("https://klasma.github.io/Logging_2280/klagomål/A 24202-2024 FSC-klagomål.docx", "A 24202-2024")</f>
        <v/>
      </c>
      <c r="AB90">
        <f>HYPERLINK("https://klasma.github.io/Logging_2280/klagomålsmail/A 24202-2024 FSC-klagomål mail.docx", "A 24202-2024")</f>
        <v/>
      </c>
      <c r="AC90">
        <f>HYPERLINK("https://klasma.github.io/Logging_2280/tillsyn/A 24202-2024 tillsynsbegäran.docx", "A 24202-2024")</f>
        <v/>
      </c>
      <c r="AD90">
        <f>HYPERLINK("https://klasma.github.io/Logging_2280/tillsynsmail/A 24202-2024 tillsynsbegäran mail.docx", "A 24202-2024")</f>
        <v/>
      </c>
    </row>
    <row r="91" ht="15" customHeight="1">
      <c r="A91" t="inlineStr">
        <is>
          <t>A 40265-2024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46301</v>
      </c>
      <c r="F91" t="inlineStr">
        <is>
          <t>VÄSTERNORRLANDS LÄN</t>
        </is>
      </c>
      <c r="G91" t="inlineStr">
        <is>
          <t>HÄRNÖSAND</t>
        </is>
      </c>
      <c r="I91" t="n">
        <v>4.9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Stor aspticka</t>
        </is>
      </c>
      <c r="W91">
        <f>HYPERLINK("https://klasma.github.io/Logging_2280/artfynd/A 40265-2024 artfynd.xlsx", "A 40265-2024")</f>
        <v/>
      </c>
      <c r="X91">
        <f>HYPERLINK("https://klasma.github.io/Logging_2280/kartor/A 40265-2024 karta.png", "A 40265-2024")</f>
        <v/>
      </c>
      <c r="Y91">
        <f>HYPERLINK("https://klasma.github.io/Logging_2280/kartor_geotiff/A 40265-2024 georefererad karta.tif", "A 40265-2024")</f>
        <v/>
      </c>
      <c r="AA91">
        <f>HYPERLINK("https://klasma.github.io/Logging_2280/klagomål/A 40265-2024 FSC-klagomål.docx", "A 40265-2024")</f>
        <v/>
      </c>
      <c r="AB91">
        <f>HYPERLINK("https://klasma.github.io/Logging_2280/klagomålsmail/A 40265-2024 FSC-klagomål mail.docx", "A 40265-2024")</f>
        <v/>
      </c>
      <c r="AC91">
        <f>HYPERLINK("https://klasma.github.io/Logging_2280/tillsyn/A 40265-2024 tillsynsbegäran.docx", "A 40265-2024")</f>
        <v/>
      </c>
      <c r="AD91">
        <f>HYPERLINK("https://klasma.github.io/Logging_2280/tillsynsmail/A 40265-2024 tillsynsbegäran mail.docx", "A 40265-2024")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46301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8407-2024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46301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HYPERLINK("https://klasma.github.io/Logging_2280/artfynd/A 8407-2024 artfynd.xlsx", "A 8407-2024")</f>
        <v/>
      </c>
      <c r="X93">
        <f>HYPERLINK("https://klasma.github.io/Logging_2280/kartor/A 8407-2024 karta.png", "A 8407-2024")</f>
        <v/>
      </c>
      <c r="Y93">
        <f>HYPERLINK("https://klasma.github.io/Logging_2280/kartor_geotiff/A 8407-2024 georefererad karta.tif", "A 8407-2024")</f>
        <v/>
      </c>
      <c r="AA93">
        <f>HYPERLINK("https://klasma.github.io/Logging_2280/klagomål/A 8407-2024 FSC-klagomål.docx", "A 8407-2024")</f>
        <v/>
      </c>
      <c r="AB93">
        <f>HYPERLINK("https://klasma.github.io/Logging_2280/klagomålsmail/A 8407-2024 FSC-klagomål mail.docx", "A 8407-2024")</f>
        <v/>
      </c>
      <c r="AC93">
        <f>HYPERLINK("https://klasma.github.io/Logging_2280/tillsyn/A 8407-2024 tillsynsbegäran.docx", "A 8407-2024")</f>
        <v/>
      </c>
      <c r="AD93">
        <f>HYPERLINK("https://klasma.github.io/Logging_2280/tillsynsmail/A 8407-2024 tillsynsbegäran mail.docx", "A 8407-2024")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46301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46301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46301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46301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46301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46301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46301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46301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46301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46301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46301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46301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46301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46301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46301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46301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46301</v>
      </c>
      <c r="F110" t="inlineStr">
        <is>
          <t>VÄSTERNORRLANDS LÄN</t>
        </is>
      </c>
      <c r="G110" t="inlineStr">
        <is>
          <t>HÄRNÖSAND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55584-2021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46301</v>
      </c>
      <c r="F111" t="inlineStr">
        <is>
          <t>VÄSTERNORRLANDS LÄN</t>
        </is>
      </c>
      <c r="G111" t="inlineStr">
        <is>
          <t>HÄRNÖSAND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55790-2021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44476</v>
      </c>
      <c r="E112" s="1" t="n">
        <v>46301</v>
      </c>
      <c r="F112" t="inlineStr">
        <is>
          <t>VÄSTERNORRLANDS LÄN</t>
        </is>
      </c>
      <c r="G112" t="inlineStr">
        <is>
          <t>HÄRNÖSAND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15849-2022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44664</v>
      </c>
      <c r="E113" s="1" t="n">
        <v>46301</v>
      </c>
      <c r="F113" t="inlineStr">
        <is>
          <t>VÄSTERNORRLANDS LÄN</t>
        </is>
      </c>
      <c r="G113" t="inlineStr">
        <is>
          <t>HÄRNÖSAND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36649-2022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44804</v>
      </c>
      <c r="E114" s="1" t="n">
        <v>46301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44512</v>
      </c>
      <c r="E115" s="1" t="n">
        <v>46301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46301</v>
      </c>
      <c r="F116" t="inlineStr">
        <is>
          <t>VÄSTERNORRLANDS LÄN</t>
        </is>
      </c>
      <c r="G116" t="inlineStr">
        <is>
          <t>HÄRNÖSAND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46301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44581</v>
      </c>
      <c r="E118" s="1" t="n">
        <v>46301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44848</v>
      </c>
      <c r="E119" s="1" t="n">
        <v>46301</v>
      </c>
      <c r="F119" t="inlineStr">
        <is>
          <t>VÄSTERNORRLANDS LÄN</t>
        </is>
      </c>
      <c r="G119" t="inlineStr">
        <is>
          <t>HÄRNÖSAND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44515</v>
      </c>
      <c r="E120" s="1" t="n">
        <v>46301</v>
      </c>
      <c r="F120" t="inlineStr">
        <is>
          <t>VÄSTERNORRLANDS LÄN</t>
        </is>
      </c>
      <c r="G120" t="inlineStr">
        <is>
          <t>HÄRNÖSAND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16616-2022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44672</v>
      </c>
      <c r="E121" s="1" t="n">
        <v>46301</v>
      </c>
      <c r="F121" t="inlineStr">
        <is>
          <t>VÄSTERNORRLANDS LÄN</t>
        </is>
      </c>
      <c r="G121" t="inlineStr">
        <is>
          <t>HÄRNÖSAND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46301</v>
      </c>
      <c r="F122" t="inlineStr">
        <is>
          <t>VÄSTERNORRLANDS LÄN</t>
        </is>
      </c>
      <c r="G122" t="inlineStr">
        <is>
          <t>HÄRNÖSAND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46301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46301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46301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46301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46301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46301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46301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46301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46301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46301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29429-2024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46301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18885-2023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45044</v>
      </c>
      <c r="E134" s="1" t="n">
        <v>46301</v>
      </c>
      <c r="F134" t="inlineStr">
        <is>
          <t>VÄSTERNORRLANDS LÄN</t>
        </is>
      </c>
      <c r="G134" t="inlineStr">
        <is>
          <t>HÄRNÖSAND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46301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46301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35595-2024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45531</v>
      </c>
      <c r="E137" s="1" t="n">
        <v>46301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45409</v>
      </c>
      <c r="E138" s="1" t="n">
        <v>46301</v>
      </c>
      <c r="F138" t="inlineStr">
        <is>
          <t>VÄSTERNORRLANDS LÄN</t>
        </is>
      </c>
      <c r="G138" t="inlineStr">
        <is>
          <t>HÄRNÖSAND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46301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46301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46301</v>
      </c>
      <c r="F141" t="inlineStr">
        <is>
          <t>VÄSTERNORRLANDS LÄN</t>
        </is>
      </c>
      <c r="G141" t="inlineStr">
        <is>
          <t>HÄRNÖSAND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46301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46301</v>
      </c>
      <c r="F143" t="inlineStr">
        <is>
          <t>VÄSTERNORRLANDS LÄN</t>
        </is>
      </c>
      <c r="G143" t="inlineStr">
        <is>
          <t>HÄRNÖSAND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46301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46301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45462</v>
      </c>
      <c r="E146" s="1" t="n">
        <v>46301</v>
      </c>
      <c r="F146" t="inlineStr">
        <is>
          <t>VÄSTERNORRLANDS LÄN</t>
        </is>
      </c>
      <c r="G146" t="inlineStr">
        <is>
          <t>HÄRNÖSAND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46301</v>
      </c>
      <c r="F147" t="inlineStr">
        <is>
          <t>VÄSTERNORRLANDS LÄN</t>
        </is>
      </c>
      <c r="G147" t="inlineStr">
        <is>
          <t>HÄRNÖSAND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46301</v>
      </c>
      <c r="F148" t="inlineStr">
        <is>
          <t>VÄSTERNORRLANDS LÄN</t>
        </is>
      </c>
      <c r="G148" t="inlineStr">
        <is>
          <t>HÄRNÖSAND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45243</v>
      </c>
      <c r="E149" s="1" t="n">
        <v>46301</v>
      </c>
      <c r="F149" t="inlineStr">
        <is>
          <t>VÄSTERNORRLANDS LÄN</t>
        </is>
      </c>
      <c r="G149" t="inlineStr">
        <is>
          <t>HÄRNÖSAND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45511</v>
      </c>
      <c r="E150" s="1" t="n">
        <v>46301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46301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50338-2022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44865</v>
      </c>
      <c r="E152" s="1" t="n">
        <v>46301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46301</v>
      </c>
      <c r="F153" t="inlineStr">
        <is>
          <t>VÄSTERNORRLANDS LÄN</t>
        </is>
      </c>
      <c r="G153" t="inlineStr">
        <is>
          <t>HÄRNÖSAND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46301</v>
      </c>
      <c r="F154" t="inlineStr">
        <is>
          <t>VÄSTERNORRLANDS LÄN</t>
        </is>
      </c>
      <c r="G154" t="inlineStr">
        <is>
          <t>HÄRNÖSAND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45476</v>
      </c>
      <c r="E155" s="1" t="n">
        <v>46301</v>
      </c>
      <c r="F155" t="inlineStr">
        <is>
          <t>VÄSTERNORRLANDS LÄN</t>
        </is>
      </c>
      <c r="G155" t="inlineStr">
        <is>
          <t>HÄRNÖSAND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45562</v>
      </c>
      <c r="E156" s="1" t="n">
        <v>46301</v>
      </c>
      <c r="F156" t="inlineStr">
        <is>
          <t>VÄSTERNORRLANDS LÄN</t>
        </is>
      </c>
      <c r="G156" t="inlineStr">
        <is>
          <t>HÄRNÖSAND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45293</v>
      </c>
      <c r="E157" s="1" t="n">
        <v>46301</v>
      </c>
      <c r="F157" t="inlineStr">
        <is>
          <t>VÄSTERNORRLANDS LÄN</t>
        </is>
      </c>
      <c r="G157" t="inlineStr">
        <is>
          <t>HÄRNÖSAND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46301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46301</v>
      </c>
      <c r="F159" t="inlineStr">
        <is>
          <t>VÄSTERNORRLANDS LÄN</t>
        </is>
      </c>
      <c r="G159" t="inlineStr">
        <is>
          <t>HÄRNÖSAND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46301</v>
      </c>
      <c r="F160" t="inlineStr">
        <is>
          <t>VÄSTERNORRLANDS LÄN</t>
        </is>
      </c>
      <c r="G160" t="inlineStr">
        <is>
          <t>HÄRNÖSAND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46301</v>
      </c>
      <c r="F161" t="inlineStr">
        <is>
          <t>VÄSTERNORRLANDS LÄN</t>
        </is>
      </c>
      <c r="G161" t="inlineStr">
        <is>
          <t>HÄRNÖSAND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45805</v>
      </c>
      <c r="E162" s="1" t="n">
        <v>46301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46301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46301</v>
      </c>
      <c r="F164" t="inlineStr">
        <is>
          <t>VÄSTERNORRLANDS LÄN</t>
        </is>
      </c>
      <c r="G164" t="inlineStr">
        <is>
          <t>HÄRNÖSAND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57685-2024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46301</v>
      </c>
      <c r="F165" t="inlineStr">
        <is>
          <t>VÄSTERNORRLANDS LÄN</t>
        </is>
      </c>
      <c r="G165" t="inlineStr">
        <is>
          <t>HÄRNÖSAND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46301</v>
      </c>
      <c r="F166" t="inlineStr">
        <is>
          <t>VÄSTERNORRLANDS LÄN</t>
        </is>
      </c>
      <c r="G166" t="inlineStr">
        <is>
          <t>HÄRNÖSAND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46301</v>
      </c>
      <c r="F167" t="inlineStr">
        <is>
          <t>VÄSTERNORRLANDS LÄN</t>
        </is>
      </c>
      <c r="G167" t="inlineStr">
        <is>
          <t>HÄRNÖSAND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49039-2023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45209</v>
      </c>
      <c r="E168" s="1" t="n">
        <v>46301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46301</v>
      </c>
      <c r="F169" t="inlineStr">
        <is>
          <t>VÄSTERNORRLANDS LÄN</t>
        </is>
      </c>
      <c r="G169" t="inlineStr">
        <is>
          <t>HÄRNÖSAND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46301</v>
      </c>
      <c r="F170" t="inlineStr">
        <is>
          <t>VÄSTERNORRLANDS LÄN</t>
        </is>
      </c>
      <c r="G170" t="inlineStr">
        <is>
          <t>HÄRNÖSAND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46301</v>
      </c>
      <c r="F171" t="inlineStr">
        <is>
          <t>VÄSTERNORRLANDS LÄN</t>
        </is>
      </c>
      <c r="G171" t="inlineStr">
        <is>
          <t>HÄRNÖSAND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46301</v>
      </c>
      <c r="F172" t="inlineStr">
        <is>
          <t>VÄSTERNORRLANDS LÄN</t>
        </is>
      </c>
      <c r="G172" t="inlineStr">
        <is>
          <t>HÄRNÖSAND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46301</v>
      </c>
      <c r="F173" t="inlineStr">
        <is>
          <t>VÄSTERNORRLANDS LÄN</t>
        </is>
      </c>
      <c r="G173" t="inlineStr">
        <is>
          <t>HÄRNÖSAND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46301</v>
      </c>
      <c r="F174" t="inlineStr">
        <is>
          <t>VÄSTERNORRLANDS LÄN</t>
        </is>
      </c>
      <c r="G174" t="inlineStr">
        <is>
          <t>HÄRNÖSAND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46301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46301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46301</v>
      </c>
      <c r="F177" t="inlineStr">
        <is>
          <t>VÄSTERNORRLANDS LÄN</t>
        </is>
      </c>
      <c r="G177" t="inlineStr">
        <is>
          <t>HÄRNÖSAND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46301</v>
      </c>
      <c r="F178" t="inlineStr">
        <is>
          <t>VÄSTERNORRLANDS LÄN</t>
        </is>
      </c>
      <c r="G178" t="inlineStr">
        <is>
          <t>HÄRNÖSAND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46301</v>
      </c>
      <c r="F179" t="inlineStr">
        <is>
          <t>VÄSTERNORRLANDS LÄN</t>
        </is>
      </c>
      <c r="G179" t="inlineStr">
        <is>
          <t>HÄRNÖSAND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46301</v>
      </c>
      <c r="F180" t="inlineStr">
        <is>
          <t>VÄSTERNORRLANDS LÄN</t>
        </is>
      </c>
      <c r="G180" t="inlineStr">
        <is>
          <t>HÄRNÖSAND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29549-2025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46301</v>
      </c>
      <c r="F181" t="inlineStr">
        <is>
          <t>VÄSTERNORRLANDS LÄN</t>
        </is>
      </c>
      <c r="G181" t="inlineStr">
        <is>
          <t>HÄRNÖSAND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46301</v>
      </c>
      <c r="F182" t="inlineStr">
        <is>
          <t>VÄSTERNORRLANDS LÄN</t>
        </is>
      </c>
      <c r="G182" t="inlineStr">
        <is>
          <t>HÄRNÖSAND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46301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46301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Kyrkan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46301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54251-2022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44881</v>
      </c>
      <c r="E186" s="1" t="n">
        <v>46301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46301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46301</v>
      </c>
      <c r="F188" t="inlineStr">
        <is>
          <t>VÄSTERNORRLANDS LÄN</t>
        </is>
      </c>
      <c r="G188" t="inlineStr">
        <is>
          <t>HÄRNÖSAND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46301</v>
      </c>
      <c r="F189" t="inlineStr">
        <is>
          <t>VÄSTERNORRLANDS LÄN</t>
        </is>
      </c>
      <c r="G189" t="inlineStr">
        <is>
          <t>HÄRNÖSAND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46301</v>
      </c>
      <c r="F190" t="inlineStr">
        <is>
          <t>VÄSTERNORRLANDS LÄN</t>
        </is>
      </c>
      <c r="G190" t="inlineStr">
        <is>
          <t>HÄRNÖSAND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45891</v>
      </c>
      <c r="E191" s="1" t="n">
        <v>46301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46301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45833</v>
      </c>
      <c r="E193" s="1" t="n">
        <v>46301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13.5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45833</v>
      </c>
      <c r="E194" s="1" t="n">
        <v>46301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46301</v>
      </c>
      <c r="F195" t="inlineStr">
        <is>
          <t>VÄSTERNORRLANDS LÄN</t>
        </is>
      </c>
      <c r="G195" t="inlineStr">
        <is>
          <t>HÄRNÖSAND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46301</v>
      </c>
      <c r="F196" t="inlineStr">
        <is>
          <t>VÄSTERNORRLANDS LÄN</t>
        </is>
      </c>
      <c r="G196" t="inlineStr">
        <is>
          <t>HÄRNÖSAND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46301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46301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46301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45834</v>
      </c>
      <c r="E200" s="1" t="n">
        <v>46301</v>
      </c>
      <c r="F200" t="inlineStr">
        <is>
          <t>VÄSTERNORRLANDS LÄN</t>
        </is>
      </c>
      <c r="G200" t="inlineStr">
        <is>
          <t>HÄRNÖSAND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46301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Övriga statliga verk och myndigheter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45837</v>
      </c>
      <c r="E202" s="1" t="n">
        <v>46301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46301</v>
      </c>
      <c r="F203" t="inlineStr">
        <is>
          <t>VÄSTERNORRLANDS LÄN</t>
        </is>
      </c>
      <c r="G203" t="inlineStr">
        <is>
          <t>HÄRNÖSAND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45576</v>
      </c>
      <c r="E204" s="1" t="n">
        <v>46301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46301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46301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46301</v>
      </c>
      <c r="F207" t="inlineStr">
        <is>
          <t>VÄSTERNORRLANDS LÄN</t>
        </is>
      </c>
      <c r="G207" t="inlineStr">
        <is>
          <t>HÄRNÖSAND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46301</v>
      </c>
      <c r="F208" t="inlineStr">
        <is>
          <t>VÄSTERNORRLANDS LÄN</t>
        </is>
      </c>
      <c r="G208" t="inlineStr">
        <is>
          <t>HÄRNÖSAND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46301</v>
      </c>
      <c r="F209" t="inlineStr">
        <is>
          <t>VÄSTERNORRLANDS LÄN</t>
        </is>
      </c>
      <c r="G209" t="inlineStr">
        <is>
          <t>HÄRNÖSAND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46301</v>
      </c>
      <c r="F210" t="inlineStr">
        <is>
          <t>VÄSTERNORRLANDS LÄN</t>
        </is>
      </c>
      <c r="G210" t="inlineStr">
        <is>
          <t>HÄRNÖSAND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41562-2025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45901</v>
      </c>
      <c r="E211" s="1" t="n">
        <v>46301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46301</v>
      </c>
      <c r="F212" t="inlineStr">
        <is>
          <t>VÄSTERNORRLANDS LÄN</t>
        </is>
      </c>
      <c r="G212" t="inlineStr">
        <is>
          <t>HÄRNÖSAND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45848</v>
      </c>
      <c r="E213" s="1" t="n">
        <v>46301</v>
      </c>
      <c r="F213" t="inlineStr">
        <is>
          <t>VÄSTERNORRLANDS LÄN</t>
        </is>
      </c>
      <c r="G213" t="inlineStr">
        <is>
          <t>HÄRNÖSAND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25696-2025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45803</v>
      </c>
      <c r="E214" s="1" t="n">
        <v>46301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34751-2025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45848</v>
      </c>
      <c r="E215" s="1" t="n">
        <v>46301</v>
      </c>
      <c r="F215" t="inlineStr">
        <is>
          <t>VÄSTERNORRLANDS LÄN</t>
        </is>
      </c>
      <c r="G215" t="inlineStr">
        <is>
          <t>HÄRNÖSAND</t>
        </is>
      </c>
      <c r="I215" t="n">
        <v>8.699999999999999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46301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46301</v>
      </c>
      <c r="F217" t="inlineStr">
        <is>
          <t>VÄSTERNORRLANDS LÄN</t>
        </is>
      </c>
      <c r="G217" t="inlineStr">
        <is>
          <t>HÄRNÖSAND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45853</v>
      </c>
      <c r="E218" s="1" t="n">
        <v>46301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46301</v>
      </c>
      <c r="F219" t="inlineStr">
        <is>
          <t>VÄSTERNORRLANDS LÄN</t>
        </is>
      </c>
      <c r="G219" t="inlineStr">
        <is>
          <t>HÄRNÖSAND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46301</v>
      </c>
      <c r="F220" t="inlineStr">
        <is>
          <t>VÄSTERNORRLANDS LÄN</t>
        </is>
      </c>
      <c r="G220" t="inlineStr">
        <is>
          <t>HÄRNÖSAND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31546-2024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45505</v>
      </c>
      <c r="E221" s="1" t="n">
        <v>46301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46301</v>
      </c>
      <c r="F222" t="inlineStr">
        <is>
          <t>VÄSTERNORRLANDS LÄN</t>
        </is>
      </c>
      <c r="G222" t="inlineStr">
        <is>
          <t>HÄRNÖSAND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46301</v>
      </c>
      <c r="F223" t="inlineStr">
        <is>
          <t>VÄSTERNORRLANDS LÄN</t>
        </is>
      </c>
      <c r="G223" t="inlineStr">
        <is>
          <t>HÄRNÖSAND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46301</v>
      </c>
      <c r="F224" t="inlineStr">
        <is>
          <t>VÄSTERNORRLANDS LÄN</t>
        </is>
      </c>
      <c r="G224" t="inlineStr">
        <is>
          <t>HÄRNÖSAND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8023-2023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44973</v>
      </c>
      <c r="E225" s="1" t="n">
        <v>46301</v>
      </c>
      <c r="F225" t="inlineStr">
        <is>
          <t>VÄSTERNORRLANDS LÄN</t>
        </is>
      </c>
      <c r="G225" t="inlineStr">
        <is>
          <t>HÄRNÖSAND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29813-2022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46301</v>
      </c>
      <c r="F226" t="inlineStr">
        <is>
          <t>VÄSTERNORRLANDS LÄN</t>
        </is>
      </c>
      <c r="G226" t="inlineStr">
        <is>
          <t>HÄRNÖSAND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46301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44459-2024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45574</v>
      </c>
      <c r="E228" s="1" t="n">
        <v>46301</v>
      </c>
      <c r="F228" t="inlineStr">
        <is>
          <t>VÄSTERNORRLANDS LÄN</t>
        </is>
      </c>
      <c r="G228" t="inlineStr">
        <is>
          <t>HÄRNÖSAND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14495-2025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46301</v>
      </c>
      <c r="F229" t="inlineStr">
        <is>
          <t>VÄSTERNORRLANDS LÄN</t>
        </is>
      </c>
      <c r="G229" t="inlineStr">
        <is>
          <t>HÄRNÖSAND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46301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46301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46301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36960-2025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46301</v>
      </c>
      <c r="F233" t="inlineStr">
        <is>
          <t>VÄSTERNORRLANDS LÄN</t>
        </is>
      </c>
      <c r="G233" t="inlineStr">
        <is>
          <t>HÄRNÖSAND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46301</v>
      </c>
      <c r="F234" t="inlineStr">
        <is>
          <t>VÄSTERNORRLANDS LÄN</t>
        </is>
      </c>
      <c r="G234" t="inlineStr">
        <is>
          <t>HÄRNÖSAND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28325-2022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46301</v>
      </c>
      <c r="F235" t="inlineStr">
        <is>
          <t>VÄSTERNORRLANDS LÄN</t>
        </is>
      </c>
      <c r="G235" t="inlineStr">
        <is>
          <t>HÄRNÖSAND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46301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46301</v>
      </c>
      <c r="F237" t="inlineStr">
        <is>
          <t>VÄSTERNORRLANDS LÄN</t>
        </is>
      </c>
      <c r="G237" t="inlineStr">
        <is>
          <t>HÄRNÖSAND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46301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46301</v>
      </c>
      <c r="F239" t="inlineStr">
        <is>
          <t>VÄSTERNORRLANDS LÄN</t>
        </is>
      </c>
      <c r="G239" t="inlineStr">
        <is>
          <t>HÄRNÖSAND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46301</v>
      </c>
      <c r="F240" t="inlineStr">
        <is>
          <t>VÄSTERNORRLANDS LÄN</t>
        </is>
      </c>
      <c r="G240" t="inlineStr">
        <is>
          <t>HÄRNÖSAND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46301</v>
      </c>
      <c r="F241" t="inlineStr">
        <is>
          <t>VÄSTERNORRLANDS LÄN</t>
        </is>
      </c>
      <c r="G241" t="inlineStr">
        <is>
          <t>HÄRNÖSAND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46301</v>
      </c>
      <c r="F242" t="inlineStr">
        <is>
          <t>VÄSTERNORRLANDS LÄN</t>
        </is>
      </c>
      <c r="G242" t="inlineStr">
        <is>
          <t>HÄRNÖSAND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45622</v>
      </c>
      <c r="E243" s="1" t="n">
        <v>46301</v>
      </c>
      <c r="F243" t="inlineStr">
        <is>
          <t>VÄSTERNORRLANDS LÄN</t>
        </is>
      </c>
      <c r="G243" t="inlineStr">
        <is>
          <t>HÄRNÖSAND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46301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45981-2025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45924</v>
      </c>
      <c r="E245" s="1" t="n">
        <v>46301</v>
      </c>
      <c r="F245" t="inlineStr">
        <is>
          <t>VÄSTERNORRLANDS LÄN</t>
        </is>
      </c>
      <c r="G245" t="inlineStr">
        <is>
          <t>HÄRNÖSAND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46301</v>
      </c>
      <c r="F246" t="inlineStr">
        <is>
          <t>VÄSTERNORRLANDS LÄN</t>
        </is>
      </c>
      <c r="G246" t="inlineStr">
        <is>
          <t>HÄRNÖSAND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46301</v>
      </c>
      <c r="F247" t="inlineStr">
        <is>
          <t>VÄSTERNORRLANDS LÄN</t>
        </is>
      </c>
      <c r="G247" t="inlineStr">
        <is>
          <t>HÄRNÖSAND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25430-2022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44732</v>
      </c>
      <c r="E248" s="1" t="n">
        <v>46301</v>
      </c>
      <c r="F248" t="inlineStr">
        <is>
          <t>VÄSTERNORRLANDS LÄN</t>
        </is>
      </c>
      <c r="G248" t="inlineStr">
        <is>
          <t>HÄRNÖSAND</t>
        </is>
      </c>
      <c r="I248" t="n">
        <v>18.7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46301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44890</v>
      </c>
      <c r="E250" s="1" t="n">
        <v>46301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Kyrkan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46301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45314</v>
      </c>
      <c r="E252" s="1" t="n">
        <v>46301</v>
      </c>
      <c r="F252" t="inlineStr">
        <is>
          <t>VÄSTERNORRLANDS LÄN</t>
        </is>
      </c>
      <c r="G252" t="inlineStr">
        <is>
          <t>HÄRNÖSAND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46301</v>
      </c>
      <c r="F253" t="inlineStr">
        <is>
          <t>VÄSTERNORRLANDS LÄN</t>
        </is>
      </c>
      <c r="G253" t="inlineStr">
        <is>
          <t>HÄRNÖSAND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45919</v>
      </c>
      <c r="E254" s="1" t="n">
        <v>46301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46301</v>
      </c>
      <c r="F255" t="inlineStr">
        <is>
          <t>VÄSTERNORRLANDS LÄN</t>
        </is>
      </c>
      <c r="G255" t="inlineStr">
        <is>
          <t>HÄRNÖSAND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46301</v>
      </c>
      <c r="F256" t="inlineStr">
        <is>
          <t>VÄSTERNORRLANDS LÄN</t>
        </is>
      </c>
      <c r="G256" t="inlineStr">
        <is>
          <t>HÄRNÖSAND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46301</v>
      </c>
      <c r="F257" t="inlineStr">
        <is>
          <t>VÄSTERNORRLANDS LÄN</t>
        </is>
      </c>
      <c r="G257" t="inlineStr">
        <is>
          <t>HÄRNÖSAND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46301</v>
      </c>
      <c r="F258" t="inlineStr">
        <is>
          <t>VÄSTERNORRLANDS LÄN</t>
        </is>
      </c>
      <c r="G258" t="inlineStr">
        <is>
          <t>HÄRNÖSAND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46065</v>
      </c>
      <c r="E259" s="1" t="n">
        <v>46301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Kyrkan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46301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Kyrkan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46065</v>
      </c>
      <c r="E261" s="1" t="n">
        <v>46301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Kyrkan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46301</v>
      </c>
      <c r="F262" t="inlineStr">
        <is>
          <t>VÄSTERNORRLANDS LÄN</t>
        </is>
      </c>
      <c r="G262" t="inlineStr">
        <is>
          <t>HÄRNÖSAND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46301</v>
      </c>
      <c r="F263" t="inlineStr">
        <is>
          <t>VÄSTERNORRLANDS LÄN</t>
        </is>
      </c>
      <c r="G263" t="inlineStr">
        <is>
          <t>HÄRNÖSAND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9162-2026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46070</v>
      </c>
      <c r="E264" s="1" t="n">
        <v>46301</v>
      </c>
      <c r="F264" t="inlineStr">
        <is>
          <t>VÄSTERNORRLANDS LÄN</t>
        </is>
      </c>
      <c r="G264" t="inlineStr">
        <is>
          <t>HÄRNÖSAND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46301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9053-2026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46301</v>
      </c>
      <c r="F266" t="inlineStr">
        <is>
          <t>VÄSTERNORRLANDS LÄN</t>
        </is>
      </c>
      <c r="G266" t="inlineStr">
        <is>
          <t>HÄRNÖSAND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45939</v>
      </c>
      <c r="E267" s="1" t="n">
        <v>46301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46301</v>
      </c>
      <c r="F268" t="inlineStr">
        <is>
          <t>VÄSTERNORRLANDS LÄN</t>
        </is>
      </c>
      <c r="G268" t="inlineStr">
        <is>
          <t>HÄRNÖSAND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46071</v>
      </c>
      <c r="E269" s="1" t="n">
        <v>46301</v>
      </c>
      <c r="F269" t="inlineStr">
        <is>
          <t>VÄSTERNORRLANDS LÄN</t>
        </is>
      </c>
      <c r="G269" t="inlineStr">
        <is>
          <t>HÄRNÖSAND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46301</v>
      </c>
      <c r="F270" t="inlineStr">
        <is>
          <t>VÄSTERNORRLANDS LÄN</t>
        </is>
      </c>
      <c r="G270" t="inlineStr">
        <is>
          <t>HÄRNÖSAND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46301</v>
      </c>
      <c r="F271" t="inlineStr">
        <is>
          <t>VÄSTERNORRLANDS LÄN</t>
        </is>
      </c>
      <c r="G271" t="inlineStr">
        <is>
          <t>HÄRNÖSAND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7522-2023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44971</v>
      </c>
      <c r="E272" s="1" t="n">
        <v>46301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59408-2024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45638</v>
      </c>
      <c r="E273" s="1" t="n">
        <v>46301</v>
      </c>
      <c r="F273" t="inlineStr">
        <is>
          <t>VÄSTERNORRLANDS LÄN</t>
        </is>
      </c>
      <c r="G273" t="inlineStr">
        <is>
          <t>HÄRNÖSAND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46301</v>
      </c>
      <c r="F274" t="inlineStr">
        <is>
          <t>VÄSTERNORRLANDS LÄN</t>
        </is>
      </c>
      <c r="G274" t="inlineStr">
        <is>
          <t>HÄRNÖSAND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46077</v>
      </c>
      <c r="E275" s="1" t="n">
        <v>46301</v>
      </c>
      <c r="F275" t="inlineStr">
        <is>
          <t>VÄSTERNORRLANDS LÄN</t>
        </is>
      </c>
      <c r="G275" t="inlineStr">
        <is>
          <t>HÄRNÖSAND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44847</v>
      </c>
      <c r="E276" s="1" t="n">
        <v>46301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Kyrkan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46301</v>
      </c>
      <c r="F277" t="inlineStr">
        <is>
          <t>VÄSTERNORRLANDS LÄN</t>
        </is>
      </c>
      <c r="G277" t="inlineStr">
        <is>
          <t>HÄRNÖSAND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11202-2026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46080</v>
      </c>
      <c r="E278" s="1" t="n">
        <v>46301</v>
      </c>
      <c r="F278" t="inlineStr">
        <is>
          <t>VÄSTERNORRLANDS LÄN</t>
        </is>
      </c>
      <c r="G278" t="inlineStr">
        <is>
          <t>HÄRNÖSAND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46301</v>
      </c>
      <c r="F279" t="inlineStr">
        <is>
          <t>VÄSTERNORRLANDS LÄN</t>
        </is>
      </c>
      <c r="G279" t="inlineStr">
        <is>
          <t>HÄRNÖSAND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46085</v>
      </c>
      <c r="E280" s="1" t="n">
        <v>46301</v>
      </c>
      <c r="F280" t="inlineStr">
        <is>
          <t>VÄSTERNORRLANDS LÄN</t>
        </is>
      </c>
      <c r="G280" t="inlineStr">
        <is>
          <t>HÄRNÖSAND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46301</v>
      </c>
      <c r="F281" t="inlineStr">
        <is>
          <t>VÄSTERNORRLANDS LÄN</t>
        </is>
      </c>
      <c r="G281" t="inlineStr">
        <is>
          <t>HÄRNÖSAND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46087</v>
      </c>
      <c r="E282" s="1" t="n">
        <v>46301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Övriga statliga verk och myndigheter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12650-2026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46091</v>
      </c>
      <c r="E283" s="1" t="n">
        <v>46301</v>
      </c>
      <c r="F283" t="inlineStr">
        <is>
          <t>VÄSTERNORRLANDS LÄN</t>
        </is>
      </c>
      <c r="G283" t="inlineStr">
        <is>
          <t>HÄRNÖSAND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46301</v>
      </c>
      <c r="F284" t="inlineStr">
        <is>
          <t>VÄSTERNORRLANDS LÄN</t>
        </is>
      </c>
      <c r="G284" t="inlineStr">
        <is>
          <t>HÄRNÖSAND</t>
        </is>
      </c>
      <c r="I284" t="n">
        <v>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46301</v>
      </c>
      <c r="F285" t="inlineStr">
        <is>
          <t>VÄSTERNORRLANDS LÄN</t>
        </is>
      </c>
      <c r="G285" t="inlineStr">
        <is>
          <t>HÄRNÖSAND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46301</v>
      </c>
      <c r="F286" t="inlineStr">
        <is>
          <t>VÄSTERNORRLANDS LÄN</t>
        </is>
      </c>
      <c r="G286" t="inlineStr">
        <is>
          <t>HÄRNÖSAND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40452-2023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45168</v>
      </c>
      <c r="E287" s="1" t="n">
        <v>46301</v>
      </c>
      <c r="F287" t="inlineStr">
        <is>
          <t>VÄSTERNORRLANDS LÄN</t>
        </is>
      </c>
      <c r="G287" t="inlineStr">
        <is>
          <t>HÄRNÖSAND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46301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46091</v>
      </c>
      <c r="E289" s="1" t="n">
        <v>46301</v>
      </c>
      <c r="F289" t="inlineStr">
        <is>
          <t>VÄSTERNORRLANDS LÄN</t>
        </is>
      </c>
      <c r="G289" t="inlineStr">
        <is>
          <t>HÄRNÖSAND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46091</v>
      </c>
      <c r="E290" s="1" t="n">
        <v>46301</v>
      </c>
      <c r="F290" t="inlineStr">
        <is>
          <t>VÄSTERNORRLANDS LÄN</t>
        </is>
      </c>
      <c r="G290" t="inlineStr">
        <is>
          <t>HÄRNÖSAND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46301</v>
      </c>
      <c r="F291" t="inlineStr">
        <is>
          <t>VÄSTERNORRLANDS LÄN</t>
        </is>
      </c>
      <c r="G291" t="inlineStr">
        <is>
          <t>HÄRNÖSAND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34619-2023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45138</v>
      </c>
      <c r="E292" s="1" t="n">
        <v>46301</v>
      </c>
      <c r="F292" t="inlineStr">
        <is>
          <t>VÄSTERNORRLANDS LÄN</t>
        </is>
      </c>
      <c r="G292" t="inlineStr">
        <is>
          <t>HÄRNÖSAND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46301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46301</v>
      </c>
      <c r="F294" t="inlineStr">
        <is>
          <t>VÄSTERNORRLANDS LÄN</t>
        </is>
      </c>
      <c r="G294" t="inlineStr">
        <is>
          <t>HÄRNÖSAND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46301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46301</v>
      </c>
      <c r="F296" t="inlineStr">
        <is>
          <t>VÄSTERNORRLANDS LÄN</t>
        </is>
      </c>
      <c r="G296" t="inlineStr">
        <is>
          <t>HÄRNÖSAND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46301</v>
      </c>
      <c r="F297" t="inlineStr">
        <is>
          <t>VÄSTERNORRLANDS LÄN</t>
        </is>
      </c>
      <c r="G297" t="inlineStr">
        <is>
          <t>HÄRNÖSAND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46301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15.6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46301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46301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46101</v>
      </c>
      <c r="E301" s="1" t="n">
        <v>46301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46301</v>
      </c>
      <c r="F302" t="inlineStr">
        <is>
          <t>VÄSTERNORRLANDS LÄN</t>
        </is>
      </c>
      <c r="G302" t="inlineStr">
        <is>
          <t>HÄRNÖSAND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15160-2026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46301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46301</v>
      </c>
      <c r="F304" t="inlineStr">
        <is>
          <t>VÄSTERNORRLANDS LÄN</t>
        </is>
      </c>
      <c r="G304" t="inlineStr">
        <is>
          <t>HÄRNÖSAND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46301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45764</v>
      </c>
      <c r="E306" s="1" t="n">
        <v>46301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46301</v>
      </c>
      <c r="F307" t="inlineStr">
        <is>
          <t>VÄSTERNORRLANDS LÄN</t>
        </is>
      </c>
      <c r="G307" t="inlineStr">
        <is>
          <t>HÄRNÖSAND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46301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46301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46301</v>
      </c>
      <c r="F310" t="inlineStr">
        <is>
          <t>VÄSTERNORRLANDS LÄN</t>
        </is>
      </c>
      <c r="G310" t="inlineStr">
        <is>
          <t>HÄRNÖSAND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46301</v>
      </c>
      <c r="F311" t="inlineStr">
        <is>
          <t>VÄSTERNORRLANDS LÄN</t>
        </is>
      </c>
      <c r="G311" t="inlineStr">
        <is>
          <t>HÄRNÖSAND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46301</v>
      </c>
      <c r="F312" t="inlineStr">
        <is>
          <t>VÄSTERNORRLANDS LÄN</t>
        </is>
      </c>
      <c r="G312" t="inlineStr">
        <is>
          <t>HÄRNÖSAND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46301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46301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46301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46301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46301</v>
      </c>
      <c r="F317" t="inlineStr">
        <is>
          <t>VÄSTERNORRLANDS LÄN</t>
        </is>
      </c>
      <c r="G317" t="inlineStr">
        <is>
          <t>HÄRNÖSAND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46301</v>
      </c>
      <c r="F318" t="inlineStr">
        <is>
          <t>VÄSTERNORRLANDS LÄN</t>
        </is>
      </c>
      <c r="G318" t="inlineStr">
        <is>
          <t>HÄRNÖSAND</t>
        </is>
      </c>
      <c r="I318" t="n">
        <v>10.8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46301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46301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57132-2025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46301</v>
      </c>
      <c r="F321" t="inlineStr">
        <is>
          <t>VÄSTERNORRLANDS LÄN</t>
        </is>
      </c>
      <c r="G321" t="inlineStr">
        <is>
          <t>HÄRNÖSAND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46301</v>
      </c>
      <c r="F322" t="inlineStr">
        <is>
          <t>VÄSTERNORRLANDS LÄN</t>
        </is>
      </c>
      <c r="G322" t="inlineStr">
        <is>
          <t>HÄRNÖSAND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57041-2025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46301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46301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46301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46301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46301</v>
      </c>
      <c r="F327" t="inlineStr">
        <is>
          <t>VÄSTERNORRLANDS LÄN</t>
        </is>
      </c>
      <c r="G327" t="inlineStr">
        <is>
          <t>HÄRNÖSAND</t>
        </is>
      </c>
      <c r="H327" t="inlineStr">
        <is>
          <t>SCA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45769</v>
      </c>
      <c r="E328" s="1" t="n">
        <v>46301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46301</v>
      </c>
      <c r="F329" t="inlineStr">
        <is>
          <t>VÄSTERNORRLANDS LÄN</t>
        </is>
      </c>
      <c r="G329" t="inlineStr">
        <is>
          <t>HÄRNÖSAND</t>
        </is>
      </c>
      <c r="I329" t="n">
        <v>8.300000000000001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18575-2026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46301</v>
      </c>
      <c r="F330" t="inlineStr">
        <is>
          <t>VÄSTERNORRLANDS LÄN</t>
        </is>
      </c>
      <c r="G330" t="inlineStr">
        <is>
          <t>HÄRNÖSAND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46301</v>
      </c>
      <c r="F331" t="inlineStr">
        <is>
          <t>VÄSTERNORRLANDS LÄN</t>
        </is>
      </c>
      <c r="G331" t="inlineStr">
        <is>
          <t>HÄRNÖSAND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46301</v>
      </c>
      <c r="F332" t="inlineStr">
        <is>
          <t>VÄSTERNORRLANDS LÄN</t>
        </is>
      </c>
      <c r="G332" t="inlineStr">
        <is>
          <t>HÄRNÖSAND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46301</v>
      </c>
      <c r="F333" t="inlineStr">
        <is>
          <t>VÄSTERNORRLANDS LÄN</t>
        </is>
      </c>
      <c r="G333" t="inlineStr">
        <is>
          <t>HÄRNÖSAND</t>
        </is>
      </c>
      <c r="I333" t="n">
        <v>9.300000000000001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45987</v>
      </c>
      <c r="E334" s="1" t="n">
        <v>46301</v>
      </c>
      <c r="F334" t="inlineStr">
        <is>
          <t>VÄSTERNORRLANDS LÄN</t>
        </is>
      </c>
      <c r="G334" t="inlineStr">
        <is>
          <t>HÄRNÖSAND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44603</v>
      </c>
      <c r="E335" s="1" t="n">
        <v>46301</v>
      </c>
      <c r="F335" t="inlineStr">
        <is>
          <t>VÄSTERNORRLANDS LÄN</t>
        </is>
      </c>
      <c r="G335" t="inlineStr">
        <is>
          <t>HÄRNÖSAND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19245-2026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46301</v>
      </c>
      <c r="F336" t="inlineStr">
        <is>
          <t>VÄSTERNORRLANDS LÄN</t>
        </is>
      </c>
      <c r="G336" t="inlineStr">
        <is>
          <t>HÄRNÖSAND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18978-2023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45044</v>
      </c>
      <c r="E337" s="1" t="n">
        <v>46301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12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46301</v>
      </c>
      <c r="F338" t="inlineStr">
        <is>
          <t>VÄSTERNORRLANDS LÄN</t>
        </is>
      </c>
      <c r="G338" t="inlineStr">
        <is>
          <t>HÄRNÖSAND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47781-2023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45203</v>
      </c>
      <c r="E339" s="1" t="n">
        <v>46301</v>
      </c>
      <c r="F339" t="inlineStr">
        <is>
          <t>VÄSTERNORRLANDS LÄN</t>
        </is>
      </c>
      <c r="G339" t="inlineStr">
        <is>
          <t>HÄRNÖSAND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29613-2023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46301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46301</v>
      </c>
      <c r="F341" t="inlineStr">
        <is>
          <t>VÄSTERNORRLANDS LÄN</t>
        </is>
      </c>
      <c r="G341" t="inlineStr">
        <is>
          <t>HÄRNÖSAND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34224-2023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46301</v>
      </c>
      <c r="F342" t="inlineStr">
        <is>
          <t>VÄSTERNORRLANDS LÄN</t>
        </is>
      </c>
      <c r="G342" t="inlineStr">
        <is>
          <t>HÄRNÖSAND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46301</v>
      </c>
      <c r="F343" t="inlineStr">
        <is>
          <t>VÄSTERNORRLANDS LÄN</t>
        </is>
      </c>
      <c r="G343" t="inlineStr">
        <is>
          <t>HÄRNÖSAND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46301</v>
      </c>
      <c r="F344" t="inlineStr">
        <is>
          <t>VÄSTERNORRLANDS LÄN</t>
        </is>
      </c>
      <c r="G344" t="inlineStr">
        <is>
          <t>HÄRNÖSAND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46301</v>
      </c>
      <c r="F345" t="inlineStr">
        <is>
          <t>VÄSTERNORRLANDS LÄN</t>
        </is>
      </c>
      <c r="G345" t="inlineStr">
        <is>
          <t>HÄRNÖSAND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46301</v>
      </c>
      <c r="F346" t="inlineStr">
        <is>
          <t>VÄSTERNORRLANDS LÄN</t>
        </is>
      </c>
      <c r="G346" t="inlineStr">
        <is>
          <t>HÄRNÖSAND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46133</v>
      </c>
      <c r="E347" s="1" t="n">
        <v>46301</v>
      </c>
      <c r="F347" t="inlineStr">
        <is>
          <t>VÄSTERNORRLANDS LÄN</t>
        </is>
      </c>
      <c r="G347" t="inlineStr">
        <is>
          <t>HÄRNÖSAND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61189-2025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46000</v>
      </c>
      <c r="E348" s="1" t="n">
        <v>46301</v>
      </c>
      <c r="F348" t="inlineStr">
        <is>
          <t>VÄSTERNORRLANDS LÄN</t>
        </is>
      </c>
      <c r="G348" t="inlineStr">
        <is>
          <t>HÄRNÖSAND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44596</v>
      </c>
      <c r="E349" s="1" t="n">
        <v>46301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Övriga statliga verk och myndigheter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46301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64107-2025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46301</v>
      </c>
      <c r="F351" t="inlineStr">
        <is>
          <t>VÄSTERNORRLANDS LÄN</t>
        </is>
      </c>
      <c r="G351" t="inlineStr">
        <is>
          <t>HÄRNÖSAND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11042-2025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45723</v>
      </c>
      <c r="E352" s="1" t="n">
        <v>46301</v>
      </c>
      <c r="F352" t="inlineStr">
        <is>
          <t>VÄSTERNORRLANDS LÄN</t>
        </is>
      </c>
      <c r="G352" t="inlineStr">
        <is>
          <t>HÄRNÖSAND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42197-2024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45562</v>
      </c>
      <c r="E353" s="1" t="n">
        <v>46301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44991</v>
      </c>
      <c r="E354" s="1" t="n">
        <v>46301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46301</v>
      </c>
      <c r="F355" t="inlineStr">
        <is>
          <t>VÄSTERNORRLANDS LÄN</t>
        </is>
      </c>
      <c r="G355" t="inlineStr">
        <is>
          <t>HÄRNÖSAND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46301</v>
      </c>
      <c r="F356" t="inlineStr">
        <is>
          <t>VÄSTERNORRLANDS LÄN</t>
        </is>
      </c>
      <c r="G356" t="inlineStr">
        <is>
          <t>HÄRNÖSAND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46301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46301</v>
      </c>
      <c r="F358" t="inlineStr">
        <is>
          <t>VÄSTERNORRLANDS LÄN</t>
        </is>
      </c>
      <c r="G358" t="inlineStr">
        <is>
          <t>HÄRNÖSAND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46301</v>
      </c>
      <c r="F359" t="inlineStr">
        <is>
          <t>VÄSTERNORRLANDS LÄN</t>
        </is>
      </c>
      <c r="G359" t="inlineStr">
        <is>
          <t>HÄRNÖSAND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46023</v>
      </c>
      <c r="E360" s="1" t="n">
        <v>46301</v>
      </c>
      <c r="F360" t="inlineStr">
        <is>
          <t>VÄSTERNORRLANDS LÄN</t>
        </is>
      </c>
      <c r="G360" t="inlineStr">
        <is>
          <t>HÄRNÖSAND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46301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46026</v>
      </c>
      <c r="E362" s="1" t="n">
        <v>46301</v>
      </c>
      <c r="F362" t="inlineStr">
        <is>
          <t>VÄSTERNORRLANDS LÄN</t>
        </is>
      </c>
      <c r="G362" t="inlineStr">
        <is>
          <t>HÄRNÖSAND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46029</v>
      </c>
      <c r="E363" s="1" t="n">
        <v>46301</v>
      </c>
      <c r="F363" t="inlineStr">
        <is>
          <t>VÄSTERNORRLANDS LÄN</t>
        </is>
      </c>
      <c r="G363" t="inlineStr">
        <is>
          <t>HÄRNÖSAND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45293</v>
      </c>
      <c r="E364" s="1" t="n">
        <v>46301</v>
      </c>
      <c r="F364" t="inlineStr">
        <is>
          <t>VÄSTERNORRLANDS LÄN</t>
        </is>
      </c>
      <c r="G364" t="inlineStr">
        <is>
          <t>HÄRNÖSAND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46301</v>
      </c>
      <c r="F365" t="inlineStr">
        <is>
          <t>VÄSTERNORRLANDS LÄN</t>
        </is>
      </c>
      <c r="G365" t="inlineStr">
        <is>
          <t>HÄRNÖSAND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46301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61574-2021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44497</v>
      </c>
      <c r="E367" s="1" t="n">
        <v>46301</v>
      </c>
      <c r="F367" t="inlineStr">
        <is>
          <t>VÄSTERNORRLANDS LÄN</t>
        </is>
      </c>
      <c r="G367" t="inlineStr">
        <is>
          <t>HÄRNÖSAND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46030</v>
      </c>
      <c r="E368" s="1" t="n">
        <v>46301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4852-2024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45329</v>
      </c>
      <c r="E369" s="1" t="n">
        <v>46301</v>
      </c>
      <c r="F369" t="inlineStr">
        <is>
          <t>VÄSTERNORRLANDS LÄN</t>
        </is>
      </c>
      <c r="G369" t="inlineStr">
        <is>
          <t>HÄRNÖSAND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46301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46301</v>
      </c>
      <c r="F371" t="inlineStr">
        <is>
          <t>VÄSTERNORRLANDS LÄN</t>
        </is>
      </c>
      <c r="G371" t="inlineStr">
        <is>
          <t>HÄRNÖSAND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34612-2024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45526</v>
      </c>
      <c r="E372" s="1" t="n">
        <v>46301</v>
      </c>
      <c r="F372" t="inlineStr">
        <is>
          <t>VÄSTERNORRLANDS LÄN</t>
        </is>
      </c>
      <c r="G372" t="inlineStr">
        <is>
          <t>HÄRNÖSAND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46301</v>
      </c>
      <c r="F373" t="inlineStr">
        <is>
          <t>VÄSTERNORRLANDS LÄN</t>
        </is>
      </c>
      <c r="G373" t="inlineStr">
        <is>
          <t>HÄRNÖSAND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46319-2022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44847</v>
      </c>
      <c r="E374" s="1" t="n">
        <v>46301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Kyrkan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46301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Kyrkan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8408-2024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45352</v>
      </c>
      <c r="E376" s="1" t="n">
        <v>46301</v>
      </c>
      <c r="F376" t="inlineStr">
        <is>
          <t>VÄSTERNORRLANDS LÄN</t>
        </is>
      </c>
      <c r="G376" t="inlineStr">
        <is>
          <t>HÄRNÖSAND</t>
        </is>
      </c>
      <c r="H376" t="inlineStr">
        <is>
          <t>SCA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46301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46301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46301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46301</v>
      </c>
      <c r="F380" t="inlineStr">
        <is>
          <t>VÄSTERNORRLANDS LÄN</t>
        </is>
      </c>
      <c r="G380" t="inlineStr">
        <is>
          <t>HÄRNÖSAND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46301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39954-2022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46301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64023-2023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45278</v>
      </c>
      <c r="E383" s="1" t="n">
        <v>46301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45502</v>
      </c>
      <c r="E384" s="1" t="n">
        <v>46301</v>
      </c>
      <c r="F384" t="inlineStr">
        <is>
          <t>VÄSTERNORRLANDS LÄN</t>
        </is>
      </c>
      <c r="G384" t="inlineStr">
        <is>
          <t>HÄRNÖSAND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45771</v>
      </c>
      <c r="E385" s="1" t="n">
        <v>46301</v>
      </c>
      <c r="F385" t="inlineStr">
        <is>
          <t>VÄSTERNORRLANDS LÄN</t>
        </is>
      </c>
      <c r="G385" t="inlineStr">
        <is>
          <t>HÄRNÖSAND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29544-2025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46301</v>
      </c>
      <c r="F386" t="inlineStr">
        <is>
          <t>VÄSTERNORRLANDS LÄN</t>
        </is>
      </c>
      <c r="G386" t="inlineStr">
        <is>
          <t>HÄRNÖSAND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34011-2024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46301</v>
      </c>
      <c r="F387" t="inlineStr">
        <is>
          <t>VÄSTERNORRLANDS LÄN</t>
        </is>
      </c>
      <c r="G387" t="inlineStr">
        <is>
          <t>HÄRNÖSAND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34161-2022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44791</v>
      </c>
      <c r="E388" s="1" t="n">
        <v>46301</v>
      </c>
      <c r="F388" t="inlineStr">
        <is>
          <t>VÄSTERNORRLANDS LÄN</t>
        </is>
      </c>
      <c r="G388" t="inlineStr">
        <is>
          <t>HÄRNÖSAND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46301</v>
      </c>
      <c r="F389" t="inlineStr">
        <is>
          <t>VÄSTERNORRLANDS LÄN</t>
        </is>
      </c>
      <c r="G389" t="inlineStr">
        <is>
          <t>HÄRNÖSAND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33156-2025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46301</v>
      </c>
      <c r="F390" t="inlineStr">
        <is>
          <t>VÄSTERNORRLANDS LÄN</t>
        </is>
      </c>
      <c r="G390" t="inlineStr">
        <is>
          <t>HÄRNÖSAND</t>
        </is>
      </c>
      <c r="I390" t="n">
        <v>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62333-2021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46301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45126</v>
      </c>
      <c r="E392" s="1" t="n">
        <v>46301</v>
      </c>
      <c r="F392" t="inlineStr">
        <is>
          <t>VÄSTERNORRLANDS LÄN</t>
        </is>
      </c>
      <c r="G392" t="inlineStr">
        <is>
          <t>HÄRNÖSAND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45228</v>
      </c>
      <c r="E393" s="1" t="n">
        <v>46301</v>
      </c>
      <c r="F393" t="inlineStr">
        <is>
          <t>VÄSTERNORRLANDS LÄN</t>
        </is>
      </c>
      <c r="G393" t="inlineStr">
        <is>
          <t>HÄRNÖSAND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46301</v>
      </c>
      <c r="F394" t="inlineStr">
        <is>
          <t>VÄSTERNORRLANDS LÄN</t>
        </is>
      </c>
      <c r="G394" t="inlineStr">
        <is>
          <t>HÄRNÖSAND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38379-2023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46301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13605-2024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45390</v>
      </c>
      <c r="E396" s="1" t="n">
        <v>46301</v>
      </c>
      <c r="F396" t="inlineStr">
        <is>
          <t>VÄSTERNORRLANDS LÄN</t>
        </is>
      </c>
      <c r="G396" t="inlineStr">
        <is>
          <t>HÄRNÖSAND</t>
        </is>
      </c>
      <c r="I396" t="n">
        <v>14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46301</v>
      </c>
      <c r="F397" t="inlineStr">
        <is>
          <t>VÄSTERNORRLANDS LÄN</t>
        </is>
      </c>
      <c r="G397" t="inlineStr">
        <is>
          <t>HÄRNÖSAND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9658-2026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46072</v>
      </c>
      <c r="E398" s="1" t="n">
        <v>46301</v>
      </c>
      <c r="F398" t="inlineStr">
        <is>
          <t>VÄSTERNORRLANDS LÄN</t>
        </is>
      </c>
      <c r="G398" t="inlineStr">
        <is>
          <t>HÄRNÖSAND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46024</v>
      </c>
      <c r="E399" s="1" t="n">
        <v>46301</v>
      </c>
      <c r="F399" t="inlineStr">
        <is>
          <t>VÄSTERNORRLANDS LÄN</t>
        </is>
      </c>
      <c r="G399" t="inlineStr">
        <is>
          <t>HÄRNÖSAND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46301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46301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46301</v>
      </c>
      <c r="F402" t="inlineStr">
        <is>
          <t>VÄSTERNORRLANDS LÄN</t>
        </is>
      </c>
      <c r="G402" t="inlineStr">
        <is>
          <t>HÄRNÖSAND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45342</v>
      </c>
      <c r="E403" s="1" t="n">
        <v>46301</v>
      </c>
      <c r="F403" t="inlineStr">
        <is>
          <t>VÄSTERNORRLANDS LÄN</t>
        </is>
      </c>
      <c r="G403" t="inlineStr">
        <is>
          <t>HÄRNÖSAND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60970-2021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44496</v>
      </c>
      <c r="E404" s="1" t="n">
        <v>46301</v>
      </c>
      <c r="F404" t="inlineStr">
        <is>
          <t>VÄSTERNORRLANDS LÄN</t>
        </is>
      </c>
      <c r="G404" t="inlineStr">
        <is>
          <t>HÄRNÖSAND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45405</v>
      </c>
      <c r="E405" s="1" t="n">
        <v>46301</v>
      </c>
      <c r="F405" t="inlineStr">
        <is>
          <t>VÄSTERNORRLANDS LÄN</t>
        </is>
      </c>
      <c r="G405" t="inlineStr">
        <is>
          <t>HÄRNÖSAND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46301</v>
      </c>
      <c r="F406" t="inlineStr">
        <is>
          <t>VÄSTERNORRLANDS LÄN</t>
        </is>
      </c>
      <c r="G406" t="inlineStr">
        <is>
          <t>HÄRNÖSAND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15821-2026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46107</v>
      </c>
      <c r="E407" s="1" t="n">
        <v>46301</v>
      </c>
      <c r="F407" t="inlineStr">
        <is>
          <t>VÄSTERNORRLANDS LÄN</t>
        </is>
      </c>
      <c r="G407" t="inlineStr">
        <is>
          <t>HÄRNÖSAND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22200-2026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46301</v>
      </c>
      <c r="F408" t="inlineStr">
        <is>
          <t>VÄSTERNORRLANDS LÄN</t>
        </is>
      </c>
      <c r="G408" t="inlineStr">
        <is>
          <t>HÄRNÖSAND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46301</v>
      </c>
      <c r="F409" t="inlineStr">
        <is>
          <t>VÄSTERNORRLANDS LÄN</t>
        </is>
      </c>
      <c r="G409" t="inlineStr">
        <is>
          <t>HÄRNÖSAND</t>
        </is>
      </c>
      <c r="I409" t="n">
        <v>16.7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45409</v>
      </c>
      <c r="E410" s="1" t="n">
        <v>46301</v>
      </c>
      <c r="F410" t="inlineStr">
        <is>
          <t>VÄSTERNORRLANDS LÄN</t>
        </is>
      </c>
      <c r="G410" t="inlineStr">
        <is>
          <t>HÄRNÖSAND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45334</v>
      </c>
      <c r="E411" s="1" t="n">
        <v>46301</v>
      </c>
      <c r="F411" t="inlineStr">
        <is>
          <t>VÄSTERNORRLANDS LÄN</t>
        </is>
      </c>
      <c r="G411" t="inlineStr">
        <is>
          <t>HÄRNÖSAND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46301</v>
      </c>
      <c r="F412" t="inlineStr">
        <is>
          <t>VÄSTERNORRLANDS LÄN</t>
        </is>
      </c>
      <c r="G412" t="inlineStr">
        <is>
          <t>HÄRNÖSAND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47224-2025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45930</v>
      </c>
      <c r="E413" s="1" t="n">
        <v>46301</v>
      </c>
      <c r="F413" t="inlineStr">
        <is>
          <t>VÄSTERNORRLANDS LÄN</t>
        </is>
      </c>
      <c r="G413" t="inlineStr">
        <is>
          <t>HÄRNÖSAND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57236-2024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45628</v>
      </c>
      <c r="E414" s="1" t="n">
        <v>46301</v>
      </c>
      <c r="F414" t="inlineStr">
        <is>
          <t>VÄSTERNORRLANDS LÄN</t>
        </is>
      </c>
      <c r="G414" t="inlineStr">
        <is>
          <t>HÄRNÖSAND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22990-2026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46160</v>
      </c>
      <c r="E415" s="1" t="n">
        <v>46301</v>
      </c>
      <c r="F415" t="inlineStr">
        <is>
          <t>VÄSTERNORRLANDS LÄN</t>
        </is>
      </c>
      <c r="G415" t="inlineStr">
        <is>
          <t>HÄRNÖSAND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46301</v>
      </c>
      <c r="F416" t="inlineStr">
        <is>
          <t>VÄSTERNORRLANDS LÄN</t>
        </is>
      </c>
      <c r="G416" t="inlineStr">
        <is>
          <t>HÄRNÖSAND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45832</v>
      </c>
      <c r="E417" s="1" t="n">
        <v>46301</v>
      </c>
      <c r="F417" t="inlineStr">
        <is>
          <t>VÄSTERNORRLANDS LÄN</t>
        </is>
      </c>
      <c r="G417" t="inlineStr">
        <is>
          <t>HÄRNÖSAND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23130-2026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46301</v>
      </c>
      <c r="F418" t="inlineStr">
        <is>
          <t>VÄSTERNORRLANDS LÄN</t>
        </is>
      </c>
      <c r="G418" t="inlineStr">
        <is>
          <t>HÄRNÖSAND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46161</v>
      </c>
      <c r="E419" s="1" t="n">
        <v>46301</v>
      </c>
      <c r="F419" t="inlineStr">
        <is>
          <t>VÄSTERNORRLANDS LÄN</t>
        </is>
      </c>
      <c r="G419" t="inlineStr">
        <is>
          <t>HÄRNÖSAND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12750-2022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44641</v>
      </c>
      <c r="E420" s="1" t="n">
        <v>46301</v>
      </c>
      <c r="F420" t="inlineStr">
        <is>
          <t>VÄSTERNORRLANDS LÄN</t>
        </is>
      </c>
      <c r="G420" t="inlineStr">
        <is>
          <t>HÄRNÖSAND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46301</v>
      </c>
      <c r="F421" t="inlineStr">
        <is>
          <t>VÄSTERNORRLANDS LÄN</t>
        </is>
      </c>
      <c r="G421" t="inlineStr">
        <is>
          <t>HÄRNÖSAND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23185-2026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46301</v>
      </c>
      <c r="F422" t="inlineStr">
        <is>
          <t>VÄSTERNORRLANDS LÄN</t>
        </is>
      </c>
      <c r="G422" t="inlineStr">
        <is>
          <t>HÄRNÖSAND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23231-2026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46301</v>
      </c>
      <c r="F423" t="inlineStr">
        <is>
          <t>VÄSTERNORRLANDS LÄN</t>
        </is>
      </c>
      <c r="G423" t="inlineStr">
        <is>
          <t>HÄRNÖSAND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46301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46301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46301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46301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45786</v>
      </c>
      <c r="E428" s="1" t="n">
        <v>46301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31.8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45813</v>
      </c>
      <c r="E429" s="1" t="n">
        <v>46301</v>
      </c>
      <c r="F429" t="inlineStr">
        <is>
          <t>VÄSTERNORRLANDS LÄN</t>
        </is>
      </c>
      <c r="G429" t="inlineStr">
        <is>
          <t>HÄRNÖSAND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46162</v>
      </c>
      <c r="E430" s="1" t="n">
        <v>46301</v>
      </c>
      <c r="F430" t="inlineStr">
        <is>
          <t>VÄSTERNORRLANDS LÄN</t>
        </is>
      </c>
      <c r="G430" t="inlineStr">
        <is>
          <t>HÄRNÖSAND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45790</v>
      </c>
      <c r="E431" s="1" t="n">
        <v>46301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31.8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46161</v>
      </c>
      <c r="E432" s="1" t="n">
        <v>46301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46301</v>
      </c>
      <c r="F433" t="inlineStr">
        <is>
          <t>VÄSTERNORRLANDS LÄN</t>
        </is>
      </c>
      <c r="G433" t="inlineStr">
        <is>
          <t>HÄRNÖSAND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45147</v>
      </c>
      <c r="E434" s="1" t="n">
        <v>46301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49346-2024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45595</v>
      </c>
      <c r="E435" s="1" t="n">
        <v>46301</v>
      </c>
      <c r="F435" t="inlineStr">
        <is>
          <t>VÄSTERNORRLANDS LÄN</t>
        </is>
      </c>
      <c r="G435" t="inlineStr">
        <is>
          <t>HÄRNÖSAND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49364-2024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45595</v>
      </c>
      <c r="E436" s="1" t="n">
        <v>46301</v>
      </c>
      <c r="F436" t="inlineStr">
        <is>
          <t>VÄSTERNORRLANDS LÄN</t>
        </is>
      </c>
      <c r="G436" t="inlineStr">
        <is>
          <t>HÄRNÖSAND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54091-2024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45616</v>
      </c>
      <c r="E437" s="1" t="n">
        <v>46301</v>
      </c>
      <c r="F437" t="inlineStr">
        <is>
          <t>VÄSTERNORRLANDS LÄN</t>
        </is>
      </c>
      <c r="G437" t="inlineStr">
        <is>
          <t>HÄRNÖSAND</t>
        </is>
      </c>
      <c r="H437" t="inlineStr">
        <is>
          <t>SCA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24120-2026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46301</v>
      </c>
      <c r="F438" t="inlineStr">
        <is>
          <t>VÄSTERNORRLANDS LÄN</t>
        </is>
      </c>
      <c r="G438" t="inlineStr">
        <is>
          <t>HÄRNÖSAND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46301</v>
      </c>
      <c r="F439" t="inlineStr">
        <is>
          <t>VÄSTERNORRLANDS LÄN</t>
        </is>
      </c>
      <c r="G439" t="inlineStr">
        <is>
          <t>HÄRNÖSAND</t>
        </is>
      </c>
      <c r="I439" t="n">
        <v>12.3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46301</v>
      </c>
      <c r="F440" t="inlineStr">
        <is>
          <t>VÄSTERNORRLANDS LÄN</t>
        </is>
      </c>
      <c r="G440" t="inlineStr">
        <is>
          <t>HÄRNÖSAND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59591-2024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46301</v>
      </c>
      <c r="F441" t="inlineStr">
        <is>
          <t>VÄSTERNORRLANDS LÄN</t>
        </is>
      </c>
      <c r="G441" t="inlineStr">
        <is>
          <t>HÄRNÖSAND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16979-2022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44676</v>
      </c>
      <c r="E442" s="1" t="n">
        <v>46301</v>
      </c>
      <c r="F442" t="inlineStr">
        <is>
          <t>VÄSTERNORRLANDS LÄN</t>
        </is>
      </c>
      <c r="G442" t="inlineStr">
        <is>
          <t>HÄRNÖSAND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23884-2026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46301</v>
      </c>
      <c r="F443" t="inlineStr">
        <is>
          <t>VÄSTERNORRLANDS LÄN</t>
        </is>
      </c>
      <c r="G443" t="inlineStr">
        <is>
          <t>HÄRNÖSAND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46301</v>
      </c>
      <c r="F444" t="inlineStr">
        <is>
          <t>VÄSTERNORRLANDS LÄN</t>
        </is>
      </c>
      <c r="G444" t="inlineStr">
        <is>
          <t>HÄRNÖSAND</t>
        </is>
      </c>
      <c r="I444" t="n">
        <v>13.8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46165</v>
      </c>
      <c r="E445" s="1" t="n">
        <v>46301</v>
      </c>
      <c r="F445" t="inlineStr">
        <is>
          <t>VÄSTERNORRLANDS LÄN</t>
        </is>
      </c>
      <c r="G445" t="inlineStr">
        <is>
          <t>HÄRNÖSAND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46170</v>
      </c>
      <c r="E446" s="1" t="n">
        <v>46301</v>
      </c>
      <c r="F446" t="inlineStr">
        <is>
          <t>VÄSTERNORRLANDS LÄN</t>
        </is>
      </c>
      <c r="G446" t="inlineStr">
        <is>
          <t>HÄRNÖSAND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19827-2022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44694</v>
      </c>
      <c r="E447" s="1" t="n">
        <v>46301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SCA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45910</v>
      </c>
      <c r="E448" s="1" t="n">
        <v>46301</v>
      </c>
      <c r="F448" t="inlineStr">
        <is>
          <t>VÄSTERNORRLANDS LÄN</t>
        </is>
      </c>
      <c r="G448" t="inlineStr">
        <is>
          <t>HÄRNÖSAND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46170</v>
      </c>
      <c r="E449" s="1" t="n">
        <v>46301</v>
      </c>
      <c r="F449" t="inlineStr">
        <is>
          <t>VÄSTERNORRLANDS LÄN</t>
        </is>
      </c>
      <c r="G449" t="inlineStr">
        <is>
          <t>HÄRNÖSAND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46301</v>
      </c>
      <c r="F450" t="inlineStr">
        <is>
          <t>VÄSTERNORRLANDS LÄN</t>
        </is>
      </c>
      <c r="G450" t="inlineStr">
        <is>
          <t>HÄRNÖSAND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46301</v>
      </c>
      <c r="F451" t="inlineStr">
        <is>
          <t>VÄSTERNORRLANDS LÄN</t>
        </is>
      </c>
      <c r="G451" t="inlineStr">
        <is>
          <t>HÄRNÖSAND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46301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46301</v>
      </c>
      <c r="F453" t="inlineStr">
        <is>
          <t>VÄSTERNORRLANDS LÄN</t>
        </is>
      </c>
      <c r="G453" t="inlineStr">
        <is>
          <t>HÄRNÖSAND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18348-2025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45762</v>
      </c>
      <c r="E454" s="1" t="n">
        <v>46301</v>
      </c>
      <c r="F454" t="inlineStr">
        <is>
          <t>VÄSTERNORRLANDS LÄN</t>
        </is>
      </c>
      <c r="G454" t="inlineStr">
        <is>
          <t>HÄRNÖSAND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9727-2022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44617</v>
      </c>
      <c r="E455" s="1" t="n">
        <v>46301</v>
      </c>
      <c r="F455" t="inlineStr">
        <is>
          <t>VÄSTERNORRLANDS LÄN</t>
        </is>
      </c>
      <c r="G455" t="inlineStr">
        <is>
          <t>HÄRNÖSAND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46301</v>
      </c>
      <c r="F456" t="inlineStr">
        <is>
          <t>VÄSTERNORRLANDS LÄN</t>
        </is>
      </c>
      <c r="G456" t="inlineStr">
        <is>
          <t>HÄRNÖSAND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45428</v>
      </c>
      <c r="E457" s="1" t="n">
        <v>46301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39044-2023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45163</v>
      </c>
      <c r="E458" s="1" t="n">
        <v>46301</v>
      </c>
      <c r="F458" t="inlineStr">
        <is>
          <t>VÄSTERNORRLANDS LÄN</t>
        </is>
      </c>
      <c r="G458" t="inlineStr">
        <is>
          <t>HÄRNÖSAND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45152</v>
      </c>
      <c r="E459" s="1" t="n">
        <v>46301</v>
      </c>
      <c r="F459" t="inlineStr">
        <is>
          <t>VÄSTERNORRLANDS LÄN</t>
        </is>
      </c>
      <c r="G459" t="inlineStr">
        <is>
          <t>HÄRNÖSAND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46301</v>
      </c>
      <c r="F460" t="inlineStr">
        <is>
          <t>VÄSTERNORRLANDS LÄN</t>
        </is>
      </c>
      <c r="G460" t="inlineStr">
        <is>
          <t>HÄRNÖSAND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46177</v>
      </c>
      <c r="E461" s="1" t="n">
        <v>46301</v>
      </c>
      <c r="F461" t="inlineStr">
        <is>
          <t>VÄSTERNORRLANDS LÄN</t>
        </is>
      </c>
      <c r="G461" t="inlineStr">
        <is>
          <t>HÄRNÖSAND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44858</v>
      </c>
      <c r="E462" s="1" t="n">
        <v>46301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25451-2026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46177</v>
      </c>
      <c r="E463" s="1" t="n">
        <v>46301</v>
      </c>
      <c r="F463" t="inlineStr">
        <is>
          <t>VÄSTERNORRLANDS LÄN</t>
        </is>
      </c>
      <c r="G463" t="inlineStr">
        <is>
          <t>HÄRNÖSAND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46301</v>
      </c>
      <c r="F464" t="inlineStr">
        <is>
          <t>VÄSTERNORRLANDS LÄN</t>
        </is>
      </c>
      <c r="G464" t="inlineStr">
        <is>
          <t>HÄRNÖSAND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46301</v>
      </c>
      <c r="F465" t="inlineStr">
        <is>
          <t>VÄSTERNORRLANDS LÄN</t>
        </is>
      </c>
      <c r="G465" t="inlineStr">
        <is>
          <t>HÄRNÖSAND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46301</v>
      </c>
      <c r="F466" t="inlineStr">
        <is>
          <t>VÄSTERNORRLANDS LÄN</t>
        </is>
      </c>
      <c r="G466" t="inlineStr">
        <is>
          <t>HÄRNÖSAND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46301</v>
      </c>
      <c r="F467" t="inlineStr">
        <is>
          <t>VÄSTERNORRLANDS LÄN</t>
        </is>
      </c>
      <c r="G467" t="inlineStr">
        <is>
          <t>HÄRNÖSAND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39433-2023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46301</v>
      </c>
      <c r="F468" t="inlineStr">
        <is>
          <t>VÄSTERNORRLANDS LÄN</t>
        </is>
      </c>
      <c r="G468" t="inlineStr">
        <is>
          <t>HÄRNÖSAND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21471-2022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44706</v>
      </c>
      <c r="E469" s="1" t="n">
        <v>46301</v>
      </c>
      <c r="F469" t="inlineStr">
        <is>
          <t>VÄSTERNORRLANDS LÄN</t>
        </is>
      </c>
      <c r="G469" t="inlineStr">
        <is>
          <t>HÄRNÖSAND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24813-2022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44728</v>
      </c>
      <c r="E470" s="1" t="n">
        <v>46301</v>
      </c>
      <c r="F470" t="inlineStr">
        <is>
          <t>VÄSTERNORRLANDS LÄN</t>
        </is>
      </c>
      <c r="G470" t="inlineStr">
        <is>
          <t>HÄRNÖSAND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46301</v>
      </c>
      <c r="F471" t="inlineStr">
        <is>
          <t>VÄSTERNORRLANDS LÄN</t>
        </is>
      </c>
      <c r="G471" t="inlineStr">
        <is>
          <t>HÄRNÖSAND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46301</v>
      </c>
      <c r="F472" t="inlineStr">
        <is>
          <t>VÄSTERNORRLANDS LÄN</t>
        </is>
      </c>
      <c r="G472" t="inlineStr">
        <is>
          <t>HÄRNÖSAND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46301</v>
      </c>
      <c r="F473" t="inlineStr">
        <is>
          <t>VÄSTERNORRLANDS LÄN</t>
        </is>
      </c>
      <c r="G473" t="inlineStr">
        <is>
          <t>HÄRNÖSAND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46301</v>
      </c>
      <c r="F474" t="inlineStr">
        <is>
          <t>VÄSTERNORRLANDS LÄN</t>
        </is>
      </c>
      <c r="G474" t="inlineStr">
        <is>
          <t>HÄRNÖSAND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42646-2023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45181</v>
      </c>
      <c r="E475" s="1" t="n">
        <v>46301</v>
      </c>
      <c r="F475" t="inlineStr">
        <is>
          <t>VÄSTERNORRLANDS LÄN</t>
        </is>
      </c>
      <c r="G475" t="inlineStr">
        <is>
          <t>HÄRNÖSAND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25007-2022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46301</v>
      </c>
      <c r="F476" t="inlineStr">
        <is>
          <t>VÄSTERNORRLANDS LÄN</t>
        </is>
      </c>
      <c r="G476" t="inlineStr">
        <is>
          <t>HÄRNÖSAND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45735-2023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46301</v>
      </c>
      <c r="F477" t="inlineStr">
        <is>
          <t>VÄSTERNORRLANDS LÄN</t>
        </is>
      </c>
      <c r="G477" t="inlineStr">
        <is>
          <t>HÄRNÖSAND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45699</v>
      </c>
      <c r="E478" s="1" t="n">
        <v>46301</v>
      </c>
      <c r="F478" t="inlineStr">
        <is>
          <t>VÄSTERNORRLANDS LÄN</t>
        </is>
      </c>
      <c r="G478" t="inlineStr">
        <is>
          <t>HÄRNÖSAND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46301</v>
      </c>
      <c r="F479" t="inlineStr">
        <is>
          <t>VÄSTERNORRLANDS LÄN</t>
        </is>
      </c>
      <c r="G479" t="inlineStr">
        <is>
          <t>HÄRNÖSAND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40232-2023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46301</v>
      </c>
      <c r="F480" t="inlineStr">
        <is>
          <t>VÄSTERNORRLANDS LÄN</t>
        </is>
      </c>
      <c r="G480" t="inlineStr">
        <is>
          <t>HÄRNÖSAND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25745-2025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45800</v>
      </c>
      <c r="E481" s="1" t="n">
        <v>46301</v>
      </c>
      <c r="F481" t="inlineStr">
        <is>
          <t>VÄSTERNORRLANDS LÄN</t>
        </is>
      </c>
      <c r="G481" t="inlineStr">
        <is>
          <t>HÄRNÖSAND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46301</v>
      </c>
      <c r="F482" t="inlineStr">
        <is>
          <t>VÄSTERNORRLANDS LÄN</t>
        </is>
      </c>
      <c r="G482" t="inlineStr">
        <is>
          <t>HÄRNÖSAND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46301</v>
      </c>
      <c r="F483" t="inlineStr">
        <is>
          <t>VÄSTERNORRLANDS LÄN</t>
        </is>
      </c>
      <c r="G483" t="inlineStr">
        <is>
          <t>HÄRNÖSAND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46301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46301</v>
      </c>
      <c r="F485" t="inlineStr">
        <is>
          <t>VÄSTERNORRLANDS LÄN</t>
        </is>
      </c>
      <c r="G485" t="inlineStr">
        <is>
          <t>HÄRNÖSAND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46301</v>
      </c>
      <c r="F486" t="inlineStr">
        <is>
          <t>VÄSTERNORRLANDS LÄN</t>
        </is>
      </c>
      <c r="G486" t="inlineStr">
        <is>
          <t>HÄRNÖSAND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46301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44726</v>
      </c>
      <c r="E488" s="1" t="n">
        <v>46301</v>
      </c>
      <c r="F488" t="inlineStr">
        <is>
          <t>VÄSTERNORRLANDS LÄN</t>
        </is>
      </c>
      <c r="G488" t="inlineStr">
        <is>
          <t>HÄRNÖSAND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45723</v>
      </c>
      <c r="E489" s="1" t="n">
        <v>46301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46190</v>
      </c>
      <c r="E490" s="1" t="n">
        <v>46301</v>
      </c>
      <c r="F490" t="inlineStr">
        <is>
          <t>VÄSTERNORRLANDS LÄN</t>
        </is>
      </c>
      <c r="G490" t="inlineStr">
        <is>
          <t>HÄRNÖSAND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46301</v>
      </c>
      <c r="F491" t="inlineStr">
        <is>
          <t>VÄSTERNORRLANDS LÄN</t>
        </is>
      </c>
      <c r="G491" t="inlineStr">
        <is>
          <t>HÄRNÖSAND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46301</v>
      </c>
      <c r="F492" t="inlineStr">
        <is>
          <t>VÄSTERNORRLANDS LÄN</t>
        </is>
      </c>
      <c r="G492" t="inlineStr">
        <is>
          <t>HÄRNÖSAND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45166</v>
      </c>
      <c r="E493" s="1" t="n">
        <v>46301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46301</v>
      </c>
      <c r="F494" t="inlineStr">
        <is>
          <t>VÄSTERNORRLANDS LÄN</t>
        </is>
      </c>
      <c r="G494" t="inlineStr">
        <is>
          <t>HÄRNÖSAND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46301</v>
      </c>
      <c r="F495" t="inlineStr">
        <is>
          <t>VÄSTERNORRLANDS LÄN</t>
        </is>
      </c>
      <c r="G495" t="inlineStr">
        <is>
          <t>HÄRNÖSAND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28032-2026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46301</v>
      </c>
      <c r="F496" t="inlineStr">
        <is>
          <t>VÄSTERNORRLANDS LÄN</t>
        </is>
      </c>
      <c r="G496" t="inlineStr">
        <is>
          <t>HÄRNÖSAND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46301</v>
      </c>
      <c r="F497" t="inlineStr">
        <is>
          <t>VÄSTERNORRLANDS LÄN</t>
        </is>
      </c>
      <c r="G497" t="inlineStr">
        <is>
          <t>HÄRNÖSAND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59155-2023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46301</v>
      </c>
      <c r="F498" t="inlineStr">
        <is>
          <t>VÄSTERNORRLANDS LÄN</t>
        </is>
      </c>
      <c r="G498" t="inlineStr">
        <is>
          <t>HÄRNÖSAND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46301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45293</v>
      </c>
      <c r="E500" s="1" t="n">
        <v>46301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45320</v>
      </c>
      <c r="E501" s="1" t="n">
        <v>46301</v>
      </c>
      <c r="F501" t="inlineStr">
        <is>
          <t>VÄSTERNORRLANDS LÄN</t>
        </is>
      </c>
      <c r="G501" t="inlineStr">
        <is>
          <t>HÄRNÖSAND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55276-2023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45231</v>
      </c>
      <c r="E502" s="1" t="n">
        <v>46301</v>
      </c>
      <c r="F502" t="inlineStr">
        <is>
          <t>VÄSTERNORRLANDS LÄN</t>
        </is>
      </c>
      <c r="G502" t="inlineStr">
        <is>
          <t>HÄRNÖSAND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44747</v>
      </c>
      <c r="E503" s="1" t="n">
        <v>46301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45072</v>
      </c>
      <c r="E504" s="1" t="n">
        <v>46301</v>
      </c>
      <c r="F504" t="inlineStr">
        <is>
          <t>VÄSTERNORRLANDS LÄN</t>
        </is>
      </c>
      <c r="G504" t="inlineStr">
        <is>
          <t>HÄRNÖSAND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45313</v>
      </c>
      <c r="E505" s="1" t="n">
        <v>46301</v>
      </c>
      <c r="F505" t="inlineStr">
        <is>
          <t>VÄSTERNORRLANDS LÄN</t>
        </is>
      </c>
      <c r="G505" t="inlineStr">
        <is>
          <t>HÄRNÖSAND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46301</v>
      </c>
      <c r="F506" t="inlineStr">
        <is>
          <t>VÄSTERNORRLANDS LÄN</t>
        </is>
      </c>
      <c r="G506" t="inlineStr">
        <is>
          <t>HÄRNÖSAND</t>
        </is>
      </c>
      <c r="I506" t="n">
        <v>8.4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44853</v>
      </c>
      <c r="E507" s="1" t="n">
        <v>46301</v>
      </c>
      <c r="F507" t="inlineStr">
        <is>
          <t>VÄSTERNORRLANDS LÄN</t>
        </is>
      </c>
      <c r="G507" t="inlineStr">
        <is>
          <t>HÄRNÖSAND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29476-2026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46301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16246-2025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45749</v>
      </c>
      <c r="E509" s="1" t="n">
        <v>46301</v>
      </c>
      <c r="F509" t="inlineStr">
        <is>
          <t>VÄSTERNORRLANDS LÄN</t>
        </is>
      </c>
      <c r="G509" t="inlineStr">
        <is>
          <t>HÄRNÖSAND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17516-2025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45757</v>
      </c>
      <c r="E510" s="1" t="n">
        <v>46301</v>
      </c>
      <c r="F510" t="inlineStr">
        <is>
          <t>VÄSTERNORRLANDS LÄN</t>
        </is>
      </c>
      <c r="G510" t="inlineStr">
        <is>
          <t>HÄRNÖSAND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46301</v>
      </c>
      <c r="F511" t="inlineStr">
        <is>
          <t>VÄSTERNORRLANDS LÄN</t>
        </is>
      </c>
      <c r="G511" t="inlineStr">
        <is>
          <t>HÄRNÖSAND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46204</v>
      </c>
      <c r="E512" s="1" t="n">
        <v>46301</v>
      </c>
      <c r="F512" t="inlineStr">
        <is>
          <t>VÄSTERNORRLANDS LÄN</t>
        </is>
      </c>
      <c r="G512" t="inlineStr">
        <is>
          <t>HÄRNÖSAND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44792</v>
      </c>
      <c r="E513" s="1" t="n">
        <v>46301</v>
      </c>
      <c r="F513" t="inlineStr">
        <is>
          <t>VÄSTERNORRLANDS LÄN</t>
        </is>
      </c>
      <c r="G513" t="inlineStr">
        <is>
          <t>HÄRNÖSAND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12675-2025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45733</v>
      </c>
      <c r="E514" s="1" t="n">
        <v>46301</v>
      </c>
      <c r="F514" t="inlineStr">
        <is>
          <t>VÄSTERNORRLANDS LÄN</t>
        </is>
      </c>
      <c r="G514" t="inlineStr">
        <is>
          <t>HÄRNÖSAND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30710-2024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45496</v>
      </c>
      <c r="E515" s="1" t="n">
        <v>46301</v>
      </c>
      <c r="F515" t="inlineStr">
        <is>
          <t>VÄSTERNORRLANDS LÄN</t>
        </is>
      </c>
      <c r="G515" t="inlineStr">
        <is>
          <t>HÄRNÖSAND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45352</v>
      </c>
      <c r="E516" s="1" t="n">
        <v>46301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29877-2026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46301</v>
      </c>
      <c r="F517" t="inlineStr">
        <is>
          <t>VÄSTERNORRLANDS LÄN</t>
        </is>
      </c>
      <c r="G517" t="inlineStr">
        <is>
          <t>HÄRNÖSAND</t>
        </is>
      </c>
      <c r="I517" t="n">
        <v>14.6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46301</v>
      </c>
      <c r="F518" t="inlineStr">
        <is>
          <t>VÄSTERNORRLANDS LÄN</t>
        </is>
      </c>
      <c r="G518" t="inlineStr">
        <is>
          <t>HÄRNÖSAND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64377-2023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45280</v>
      </c>
      <c r="E519" s="1" t="n">
        <v>46301</v>
      </c>
      <c r="F519" t="inlineStr">
        <is>
          <t>VÄSTERNORRLANDS LÄN</t>
        </is>
      </c>
      <c r="G519" t="inlineStr">
        <is>
          <t>HÄRNÖSAND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46301</v>
      </c>
      <c r="F520" t="inlineStr">
        <is>
          <t>VÄSTERNORRLANDS LÄN</t>
        </is>
      </c>
      <c r="G520" t="inlineStr">
        <is>
          <t>HÄRNÖSAND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46301</v>
      </c>
      <c r="F521" t="inlineStr">
        <is>
          <t>VÄSTERNORRLANDS LÄN</t>
        </is>
      </c>
      <c r="G521" t="inlineStr">
        <is>
          <t>HÄRNÖSAND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46301</v>
      </c>
      <c r="F522" t="inlineStr">
        <is>
          <t>VÄSTERNORRLANDS LÄN</t>
        </is>
      </c>
      <c r="G522" t="inlineStr">
        <is>
          <t>HÄRNÖSAND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46301</v>
      </c>
      <c r="F523" t="inlineStr">
        <is>
          <t>VÄSTERNORRLANDS LÄN</t>
        </is>
      </c>
      <c r="G523" t="inlineStr">
        <is>
          <t>HÄRNÖSAND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45800</v>
      </c>
      <c r="E524" s="1" t="n">
        <v>46301</v>
      </c>
      <c r="F524" t="inlineStr">
        <is>
          <t>VÄSTERNORRLANDS LÄN</t>
        </is>
      </c>
      <c r="G524" t="inlineStr">
        <is>
          <t>HÄRNÖSAND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46301</v>
      </c>
      <c r="F525" t="inlineStr">
        <is>
          <t>VÄSTERNORRLANDS LÄN</t>
        </is>
      </c>
      <c r="G525" t="inlineStr">
        <is>
          <t>HÄRNÖSAND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30017-2026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46301</v>
      </c>
      <c r="F526" t="inlineStr">
        <is>
          <t>VÄSTERNORRLANDS LÄN</t>
        </is>
      </c>
      <c r="G526" t="inlineStr">
        <is>
          <t>HÄRNÖSAND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25116-2024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45462</v>
      </c>
      <c r="E527" s="1" t="n">
        <v>46301</v>
      </c>
      <c r="F527" t="inlineStr">
        <is>
          <t>VÄSTERNORRLANDS LÄN</t>
        </is>
      </c>
      <c r="G527" t="inlineStr">
        <is>
          <t>HÄRNÖSAND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30216-2026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46301</v>
      </c>
      <c r="F528" t="inlineStr">
        <is>
          <t>VÄSTERNORRLANDS LÄN</t>
        </is>
      </c>
      <c r="G528" t="inlineStr">
        <is>
          <t>HÄRNÖSAND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30171-2026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46301</v>
      </c>
      <c r="F529" t="inlineStr">
        <is>
          <t>VÄSTERNORRLANDS LÄN</t>
        </is>
      </c>
      <c r="G529" t="inlineStr">
        <is>
          <t>HÄRNÖSAND</t>
        </is>
      </c>
      <c r="I529" t="n">
        <v>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30413-2026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46209</v>
      </c>
      <c r="E530" s="1" t="n">
        <v>46301</v>
      </c>
      <c r="F530" t="inlineStr">
        <is>
          <t>VÄSTERNORRLANDS LÄN</t>
        </is>
      </c>
      <c r="G530" t="inlineStr">
        <is>
          <t>HÄRNÖSAND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46301</v>
      </c>
      <c r="F531" t="inlineStr">
        <is>
          <t>VÄSTERNORRLANDS LÄN</t>
        </is>
      </c>
      <c r="G531" t="inlineStr">
        <is>
          <t>HÄRNÖSAND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30710-2026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46211</v>
      </c>
      <c r="E532" s="1" t="n">
        <v>46301</v>
      </c>
      <c r="F532" t="inlineStr">
        <is>
          <t>VÄSTERNORRLANDS LÄN</t>
        </is>
      </c>
      <c r="G532" t="inlineStr">
        <is>
          <t>HÄRNÖSAND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52987-2022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44875</v>
      </c>
      <c r="E533" s="1" t="n">
        <v>46301</v>
      </c>
      <c r="F533" t="inlineStr">
        <is>
          <t>VÄSTERNORRLANDS LÄN</t>
        </is>
      </c>
      <c r="G533" t="inlineStr">
        <is>
          <t>HÄRNÖSAND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45482</v>
      </c>
      <c r="E534" s="1" t="n">
        <v>46301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46301</v>
      </c>
      <c r="F535" t="inlineStr">
        <is>
          <t>VÄSTERNORRLANDS LÄN</t>
        </is>
      </c>
      <c r="G535" t="inlineStr">
        <is>
          <t>HÄRNÖSAND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7793-2024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45348</v>
      </c>
      <c r="E536" s="1" t="n">
        <v>46301</v>
      </c>
      <c r="F536" t="inlineStr">
        <is>
          <t>VÄSTERNORRLANDS LÄN</t>
        </is>
      </c>
      <c r="G536" t="inlineStr">
        <is>
          <t>HÄRNÖSAND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46213</v>
      </c>
      <c r="E537" s="1" t="n">
        <v>46301</v>
      </c>
      <c r="F537" t="inlineStr">
        <is>
          <t>VÄSTERNORRLANDS LÄN</t>
        </is>
      </c>
      <c r="G537" t="inlineStr">
        <is>
          <t>HÄRNÖSAND</t>
        </is>
      </c>
      <c r="I537" t="n">
        <v>13.6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45496</v>
      </c>
      <c r="E538" s="1" t="n">
        <v>46301</v>
      </c>
      <c r="F538" t="inlineStr">
        <is>
          <t>VÄSTERNORRLANDS LÄN</t>
        </is>
      </c>
      <c r="G538" t="inlineStr">
        <is>
          <t>HÄRNÖSAND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31049-2026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46215</v>
      </c>
      <c r="E539" s="1" t="n">
        <v>46301</v>
      </c>
      <c r="F539" t="inlineStr">
        <is>
          <t>VÄSTERNORRLANDS LÄN</t>
        </is>
      </c>
      <c r="G539" t="inlineStr">
        <is>
          <t>HÄRNÖSAND</t>
        </is>
      </c>
      <c r="I539" t="n">
        <v>12.7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46215</v>
      </c>
      <c r="E540" s="1" t="n">
        <v>46301</v>
      </c>
      <c r="F540" t="inlineStr">
        <is>
          <t>VÄSTERNORRLANDS LÄN</t>
        </is>
      </c>
      <c r="G540" t="inlineStr">
        <is>
          <t>HÄRNÖSAND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44957</v>
      </c>
      <c r="E541" s="1" t="n">
        <v>46301</v>
      </c>
      <c r="F541" t="inlineStr">
        <is>
          <t>VÄSTERNORRLANDS LÄN</t>
        </is>
      </c>
      <c r="G541" t="inlineStr">
        <is>
          <t>HÄRNÖSAND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59034-2022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44903</v>
      </c>
      <c r="E542" s="1" t="n">
        <v>46301</v>
      </c>
      <c r="F542" t="inlineStr">
        <is>
          <t>VÄSTERNORRLANDS LÄN</t>
        </is>
      </c>
      <c r="G542" t="inlineStr">
        <is>
          <t>HÄRNÖSAND</t>
        </is>
      </c>
      <c r="H542" t="inlineStr">
        <is>
          <t>SCA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44945</v>
      </c>
      <c r="E543" s="1" t="n">
        <v>46301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46301</v>
      </c>
      <c r="F544" t="inlineStr">
        <is>
          <t>VÄSTERNORRLANDS LÄN</t>
        </is>
      </c>
      <c r="G544" t="inlineStr">
        <is>
          <t>HÄRNÖSAND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45376</v>
      </c>
      <c r="E545" s="1" t="n">
        <v>46301</v>
      </c>
      <c r="F545" t="inlineStr">
        <is>
          <t>VÄSTERNORRLANDS LÄN</t>
        </is>
      </c>
      <c r="G545" t="inlineStr">
        <is>
          <t>HÄRNÖSAND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35563-2026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46262</v>
      </c>
      <c r="E546" s="1" t="n">
        <v>46301</v>
      </c>
      <c r="F546" t="inlineStr">
        <is>
          <t>VÄSTERNORRLANDS LÄN</t>
        </is>
      </c>
      <c r="G546" t="inlineStr">
        <is>
          <t>HÄRNÖSAND</t>
        </is>
      </c>
      <c r="I546" t="n">
        <v>7.9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31503-2026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46301</v>
      </c>
      <c r="F547" t="inlineStr">
        <is>
          <t>VÄSTERNORRLANDS LÄN</t>
        </is>
      </c>
      <c r="G547" t="inlineStr">
        <is>
          <t>HÄRNÖSAND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31504-2026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46301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46219</v>
      </c>
      <c r="E549" s="1" t="n">
        <v>46301</v>
      </c>
      <c r="F549" t="inlineStr">
        <is>
          <t>VÄSTERNORRLANDS LÄN</t>
        </is>
      </c>
      <c r="G549" t="inlineStr">
        <is>
          <t>HÄRNÖSAND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56165-2022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44889</v>
      </c>
      <c r="E550" s="1" t="n">
        <v>46301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65224-2023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45289</v>
      </c>
      <c r="E551" s="1" t="n">
        <v>46301</v>
      </c>
      <c r="F551" t="inlineStr">
        <is>
          <t>VÄSTERNORRLANDS LÄN</t>
        </is>
      </c>
      <c r="G551" t="inlineStr">
        <is>
          <t>HÄRNÖSAND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45687-2022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44845</v>
      </c>
      <c r="E552" s="1" t="n">
        <v>46301</v>
      </c>
      <c r="F552" t="inlineStr">
        <is>
          <t>VÄSTERNORRLANDS LÄN</t>
        </is>
      </c>
      <c r="G552" t="inlineStr">
        <is>
          <t>HÄRNÖSAND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45072</v>
      </c>
      <c r="E553" s="1" t="n">
        <v>46301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Kyrkan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46265</v>
      </c>
      <c r="E554" s="1" t="n">
        <v>46301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22.1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46301</v>
      </c>
      <c r="F555" t="inlineStr">
        <is>
          <t>VÄSTERNORRLANDS LÄN</t>
        </is>
      </c>
      <c r="G555" t="inlineStr">
        <is>
          <t>HÄRNÖSAND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65222-2023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45289</v>
      </c>
      <c r="E556" s="1" t="n">
        <v>46301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46301</v>
      </c>
      <c r="F557" t="inlineStr">
        <is>
          <t>VÄSTERNORRLANDS LÄN</t>
        </is>
      </c>
      <c r="G557" t="inlineStr">
        <is>
          <t>HÄRNÖSAND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46301</v>
      </c>
      <c r="F558" t="inlineStr">
        <is>
          <t>VÄSTERNORRLANDS LÄN</t>
        </is>
      </c>
      <c r="G558" t="inlineStr">
        <is>
          <t>HÄRNÖSAND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46203</v>
      </c>
      <c r="E559" s="1" t="n">
        <v>46301</v>
      </c>
      <c r="F559" t="inlineStr">
        <is>
          <t>VÄSTERNORRLANDS LÄN</t>
        </is>
      </c>
      <c r="G559" t="inlineStr">
        <is>
          <t>HÄRNÖSAND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27976-2024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45476</v>
      </c>
      <c r="E560" s="1" t="n">
        <v>46301</v>
      </c>
      <c r="F560" t="inlineStr">
        <is>
          <t>VÄSTERNORRLANDS LÄN</t>
        </is>
      </c>
      <c r="G560" t="inlineStr">
        <is>
          <t>HÄRNÖSAND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30893-2026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46213</v>
      </c>
      <c r="E561" s="1" t="n">
        <v>46301</v>
      </c>
      <c r="F561" t="inlineStr">
        <is>
          <t>VÄSTERNORRLANDS LÄN</t>
        </is>
      </c>
      <c r="G561" t="inlineStr">
        <is>
          <t>HÄRNÖSAND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13611-2023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45006</v>
      </c>
      <c r="E562" s="1" t="n">
        <v>46301</v>
      </c>
      <c r="F562" t="inlineStr">
        <is>
          <t>VÄSTERNORRLANDS LÄN</t>
        </is>
      </c>
      <c r="G562" t="inlineStr">
        <is>
          <t>HÄRNÖSAND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45300</v>
      </c>
      <c r="E563" s="1" t="n">
        <v>46301</v>
      </c>
      <c r="F563" t="inlineStr">
        <is>
          <t>VÄSTERNORRLANDS LÄN</t>
        </is>
      </c>
      <c r="G563" t="inlineStr">
        <is>
          <t>HÄRNÖSAND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45035</v>
      </c>
      <c r="E564" s="1" t="n">
        <v>46301</v>
      </c>
      <c r="F564" t="inlineStr">
        <is>
          <t>VÄSTERNORRLANDS LÄN</t>
        </is>
      </c>
      <c r="G564" t="inlineStr">
        <is>
          <t>HÄRNÖSAND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10544-2023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44987</v>
      </c>
      <c r="E565" s="1" t="n">
        <v>46301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52237-2022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44869</v>
      </c>
      <c r="E566" s="1" t="n">
        <v>46301</v>
      </c>
      <c r="F566" t="inlineStr">
        <is>
          <t>VÄSTERNORRLANDS LÄN</t>
        </is>
      </c>
      <c r="G566" t="inlineStr">
        <is>
          <t>HÄRNÖSAND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46301</v>
      </c>
      <c r="F567" t="inlineStr">
        <is>
          <t>VÄSTERNORRLANDS LÄN</t>
        </is>
      </c>
      <c r="G567" t="inlineStr">
        <is>
          <t>HÄRNÖSAND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37246-2026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46301</v>
      </c>
      <c r="F568" t="inlineStr">
        <is>
          <t>VÄSTERNORRLANDS LÄN</t>
        </is>
      </c>
      <c r="G568" t="inlineStr">
        <is>
          <t>HÄRNÖSAND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45000</v>
      </c>
      <c r="E569" s="1" t="n">
        <v>46301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12543-2023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45000</v>
      </c>
      <c r="E570" s="1" t="n">
        <v>46301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58869-2023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45250</v>
      </c>
      <c r="E571" s="1" t="n">
        <v>46301</v>
      </c>
      <c r="F571" t="inlineStr">
        <is>
          <t>VÄSTERNORRLANDS LÄN</t>
        </is>
      </c>
      <c r="G571" t="inlineStr">
        <is>
          <t>HÄRNÖSAND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31956-2026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46232</v>
      </c>
      <c r="E572" s="1" t="n">
        <v>46301</v>
      </c>
      <c r="F572" t="inlineStr">
        <is>
          <t>VÄSTERNORRLANDS LÄN</t>
        </is>
      </c>
      <c r="G572" t="inlineStr">
        <is>
          <t>HÄRNÖSAND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37333-2026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46275</v>
      </c>
      <c r="E573" s="1" t="n">
        <v>46301</v>
      </c>
      <c r="F573" t="inlineStr">
        <is>
          <t>VÄSTERNORRLANDS LÄN</t>
        </is>
      </c>
      <c r="G573" t="inlineStr">
        <is>
          <t>HÄRNÖSAND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18979-2023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45044</v>
      </c>
      <c r="E574" s="1" t="n">
        <v>46301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34226-2023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46301</v>
      </c>
      <c r="F575" t="inlineStr">
        <is>
          <t>VÄSTERNORRLANDS LÄN</t>
        </is>
      </c>
      <c r="G575" t="inlineStr">
        <is>
          <t>HÄRNÖSAND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32293-2026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46237</v>
      </c>
      <c r="E576" s="1" t="n">
        <v>46301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46301</v>
      </c>
      <c r="F577" t="inlineStr">
        <is>
          <t>VÄSTERNORRLANDS LÄN</t>
        </is>
      </c>
      <c r="G577" t="inlineStr">
        <is>
          <t>HÄRNÖSAND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43248-2023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46301</v>
      </c>
      <c r="F578" t="inlineStr">
        <is>
          <t>VÄSTERNORRLANDS LÄN</t>
        </is>
      </c>
      <c r="G578" t="inlineStr">
        <is>
          <t>HÄRNÖSAND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45921-2024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45580</v>
      </c>
      <c r="E579" s="1" t="n">
        <v>46301</v>
      </c>
      <c r="F579" t="inlineStr">
        <is>
          <t>VÄSTERNORRLANDS LÄN</t>
        </is>
      </c>
      <c r="G579" t="inlineStr">
        <is>
          <t>HÄRNÖSAND</t>
        </is>
      </c>
      <c r="I579" t="n">
        <v>14.2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46282</v>
      </c>
      <c r="E580" s="1" t="n">
        <v>46301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35785-2023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45147</v>
      </c>
      <c r="E581" s="1" t="n">
        <v>46301</v>
      </c>
      <c r="F581" t="inlineStr">
        <is>
          <t>VÄSTERNORRLANDS LÄN</t>
        </is>
      </c>
      <c r="G581" t="inlineStr">
        <is>
          <t>HÄRNÖSAND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38229-2026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46281</v>
      </c>
      <c r="E582" s="1" t="n">
        <v>46301</v>
      </c>
      <c r="F582" t="inlineStr">
        <is>
          <t>VÄSTERNORRLANDS LÄN</t>
        </is>
      </c>
      <c r="G582" t="inlineStr">
        <is>
          <t>HÄRNÖSAND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32485-2026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46239</v>
      </c>
      <c r="E583" s="1" t="n">
        <v>46301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38215-2026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46301</v>
      </c>
      <c r="F584" t="inlineStr">
        <is>
          <t>VÄSTERNORRLANDS LÄN</t>
        </is>
      </c>
      <c r="G584" t="inlineStr">
        <is>
          <t>HÄRNÖSAND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59121-2023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45251</v>
      </c>
      <c r="E585" s="1" t="n">
        <v>46301</v>
      </c>
      <c r="F585" t="inlineStr">
        <is>
          <t>VÄSTERNORRLANDS LÄN</t>
        </is>
      </c>
      <c r="G585" t="inlineStr">
        <is>
          <t>HÄRNÖSAND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46301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19167-2025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45769</v>
      </c>
      <c r="E587" s="1" t="n">
        <v>46301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46301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61337-2024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46301</v>
      </c>
      <c r="F589" t="inlineStr">
        <is>
          <t>VÄSTERNORRLANDS LÄN</t>
        </is>
      </c>
      <c r="G589" t="inlineStr">
        <is>
          <t>HÄRNÖSAND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32140-2023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45107</v>
      </c>
      <c r="E590" s="1" t="n">
        <v>46301</v>
      </c>
      <c r="F590" t="inlineStr">
        <is>
          <t>VÄSTERNORRLANDS LÄN</t>
        </is>
      </c>
      <c r="G590" t="inlineStr">
        <is>
          <t>HÄRNÖSAND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46301</v>
      </c>
      <c r="F591" t="inlineStr">
        <is>
          <t>VÄSTERNORRLANDS LÄN</t>
        </is>
      </c>
      <c r="G591" t="inlineStr">
        <is>
          <t>HÄRNÖSAND</t>
        </is>
      </c>
      <c r="I591" t="n">
        <v>8.6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46301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46070</v>
      </c>
      <c r="E593" s="1" t="n">
        <v>46301</v>
      </c>
      <c r="F593" t="inlineStr">
        <is>
          <t>VÄSTERNORRLANDS LÄN</t>
        </is>
      </c>
      <c r="G593" t="inlineStr">
        <is>
          <t>HÄRNÖSAND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39384-2026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46288</v>
      </c>
      <c r="E594" s="1" t="n">
        <v>46301</v>
      </c>
      <c r="F594" t="inlineStr">
        <is>
          <t>VÄSTERNORRLANDS LÄN</t>
        </is>
      </c>
      <c r="G594" t="inlineStr">
        <is>
          <t>HÄRNÖSAND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46286</v>
      </c>
      <c r="E595" s="1" t="n">
        <v>46301</v>
      </c>
      <c r="F595" t="inlineStr">
        <is>
          <t>VÄSTERNORRLANDS LÄN</t>
        </is>
      </c>
      <c r="G595" t="inlineStr">
        <is>
          <t>HÄRNÖSAND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11045-2025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45723</v>
      </c>
      <c r="E596" s="1" t="n">
        <v>46301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46301</v>
      </c>
      <c r="F597" t="inlineStr">
        <is>
          <t>VÄSTERNORRLANDS LÄN</t>
        </is>
      </c>
      <c r="G597" t="inlineStr">
        <is>
          <t>HÄRNÖSAND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32847-2026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46244</v>
      </c>
      <c r="E598" s="1" t="n">
        <v>46301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Kyrkan</t>
        </is>
      </c>
      <c r="I598" t="n">
        <v>24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45097</v>
      </c>
      <c r="E599" s="1" t="n">
        <v>46301</v>
      </c>
      <c r="F599" t="inlineStr">
        <is>
          <t>VÄSTERNORRLANDS LÄN</t>
        </is>
      </c>
      <c r="G599" t="inlineStr">
        <is>
          <t>HÄRNÖSAND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38999-2026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46287</v>
      </c>
      <c r="E600" s="1" t="n">
        <v>46301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48047-2022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44855</v>
      </c>
      <c r="E601" s="1" t="n">
        <v>46301</v>
      </c>
      <c r="F601" t="inlineStr">
        <is>
          <t>VÄSTERNORRLANDS LÄN</t>
        </is>
      </c>
      <c r="G601" t="inlineStr">
        <is>
          <t>HÄRNÖSAND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46189</v>
      </c>
      <c r="E602" s="1" t="n">
        <v>46301</v>
      </c>
      <c r="F602" t="inlineStr">
        <is>
          <t>VÄSTERNORRLANDS LÄN</t>
        </is>
      </c>
      <c r="G602" t="inlineStr">
        <is>
          <t>HÄRNÖSAND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39395-2026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46288</v>
      </c>
      <c r="E603" s="1" t="n">
        <v>46301</v>
      </c>
      <c r="F603" t="inlineStr">
        <is>
          <t>VÄSTERNORRLANDS LÄN</t>
        </is>
      </c>
      <c r="G603" t="inlineStr">
        <is>
          <t>HÄRNÖSAND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57154-2024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45629</v>
      </c>
      <c r="E604" s="1" t="n">
        <v>46301</v>
      </c>
      <c r="F604" t="inlineStr">
        <is>
          <t>VÄSTERNORRLANDS LÄN</t>
        </is>
      </c>
      <c r="G604" t="inlineStr">
        <is>
          <t>HÄRNÖSAND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45323</v>
      </c>
      <c r="E605" s="1" t="n">
        <v>46301</v>
      </c>
      <c r="F605" t="inlineStr">
        <is>
          <t>VÄSTERNORRLANDS LÄN</t>
        </is>
      </c>
      <c r="G605" t="inlineStr">
        <is>
          <t>HÄRNÖSAND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45500-2024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45578</v>
      </c>
      <c r="E606" s="1" t="n">
        <v>46301</v>
      </c>
      <c r="F606" t="inlineStr">
        <is>
          <t>VÄSTERNORRLANDS LÄN</t>
        </is>
      </c>
      <c r="G606" t="inlineStr">
        <is>
          <t>HÄRNÖSAND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45504-2024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45578</v>
      </c>
      <c r="E607" s="1" t="n">
        <v>46301</v>
      </c>
      <c r="F607" t="inlineStr">
        <is>
          <t>VÄSTERNORRLANDS LÄN</t>
        </is>
      </c>
      <c r="G607" t="inlineStr">
        <is>
          <t>HÄRNÖSAND</t>
        </is>
      </c>
      <c r="I607" t="n">
        <v>10.3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44951</v>
      </c>
      <c r="E608" s="1" t="n">
        <v>46301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35387-2024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45531</v>
      </c>
      <c r="E609" s="1" t="n">
        <v>46301</v>
      </c>
      <c r="F609" t="inlineStr">
        <is>
          <t>VÄSTERNORRLANDS LÄN</t>
        </is>
      </c>
      <c r="G609" t="inlineStr">
        <is>
          <t>HÄRNÖSAND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46301</v>
      </c>
      <c r="F610" t="inlineStr">
        <is>
          <t>VÄSTERNORRLANDS LÄN</t>
        </is>
      </c>
      <c r="G610" t="inlineStr">
        <is>
          <t>HÄRNÖSAND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51001-2022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44867</v>
      </c>
      <c r="E611" s="1" t="n">
        <v>46301</v>
      </c>
      <c r="F611" t="inlineStr">
        <is>
          <t>VÄSTERNORRLANDS LÄN</t>
        </is>
      </c>
      <c r="G611" t="inlineStr">
        <is>
          <t>HÄRNÖSAND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12129-2025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45729</v>
      </c>
      <c r="E612" s="1" t="n">
        <v>46301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11903-2024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45376</v>
      </c>
      <c r="E613" s="1" t="n">
        <v>46301</v>
      </c>
      <c r="F613" t="inlineStr">
        <is>
          <t>VÄSTERNORRLANDS LÄN</t>
        </is>
      </c>
      <c r="G613" t="inlineStr">
        <is>
          <t>HÄRNÖSAND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12497-2025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45730</v>
      </c>
      <c r="E614" s="1" t="n">
        <v>46301</v>
      </c>
      <c r="F614" t="inlineStr">
        <is>
          <t>VÄSTERNORRLANDS LÄN</t>
        </is>
      </c>
      <c r="G614" t="inlineStr">
        <is>
          <t>HÄRNÖSAND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33659-2026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46248</v>
      </c>
      <c r="E615" s="1" t="n">
        <v>46301</v>
      </c>
      <c r="F615" t="inlineStr">
        <is>
          <t>VÄSTERNORRLANDS LÄN</t>
        </is>
      </c>
      <c r="G615" t="inlineStr">
        <is>
          <t>HÄRNÖSAND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45685</v>
      </c>
      <c r="E616" s="1" t="n">
        <v>46301</v>
      </c>
      <c r="F616" t="inlineStr">
        <is>
          <t>VÄSTERNORRLANDS LÄN</t>
        </is>
      </c>
      <c r="G616" t="inlineStr">
        <is>
          <t>HÄRNÖSAND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40797-2026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46296</v>
      </c>
      <c r="E617" s="1" t="n">
        <v>46301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20822-2025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45776</v>
      </c>
      <c r="E618" s="1" t="n">
        <v>46301</v>
      </c>
      <c r="F618" t="inlineStr">
        <is>
          <t>VÄSTERNORRLANDS LÄN</t>
        </is>
      </c>
      <c r="G618" t="inlineStr">
        <is>
          <t>HÄRNÖSAND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20821-2025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45776</v>
      </c>
      <c r="E619" s="1" t="n">
        <v>46301</v>
      </c>
      <c r="F619" t="inlineStr">
        <is>
          <t>VÄSTERNORRLANDS LÄN</t>
        </is>
      </c>
      <c r="G619" t="inlineStr">
        <is>
          <t>HÄRNÖSAND</t>
        </is>
      </c>
      <c r="I619" t="n">
        <v>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21484-2025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45782</v>
      </c>
      <c r="E620" s="1" t="n">
        <v>46301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32.1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21480-2025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45782</v>
      </c>
      <c r="E621" s="1" t="n">
        <v>46301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12.3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34028-2026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46252</v>
      </c>
      <c r="E622" s="1" t="n">
        <v>46301</v>
      </c>
      <c r="F622" t="inlineStr">
        <is>
          <t>VÄSTERNORRLANDS LÄN</t>
        </is>
      </c>
      <c r="G622" t="inlineStr">
        <is>
          <t>HÄRNÖSAND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46296</v>
      </c>
      <c r="E623" s="1" t="n">
        <v>46301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11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40833-2026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46296</v>
      </c>
      <c r="E624" s="1" t="n">
        <v>46301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46296</v>
      </c>
      <c r="E625" s="1" t="n">
        <v>46301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45562</v>
      </c>
      <c r="E626" s="1" t="n">
        <v>46301</v>
      </c>
      <c r="F626" t="inlineStr">
        <is>
          <t>VÄSTERNORRLANDS LÄN</t>
        </is>
      </c>
      <c r="G626" t="inlineStr">
        <is>
          <t>HÄRNÖSAND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45502-2024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45578</v>
      </c>
      <c r="E627" s="1" t="n">
        <v>46301</v>
      </c>
      <c r="F627" t="inlineStr">
        <is>
          <t>VÄSTERNORRLANDS LÄN</t>
        </is>
      </c>
      <c r="G627" t="inlineStr">
        <is>
          <t>HÄRNÖSAND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40868-2026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46297</v>
      </c>
      <c r="E628" s="1" t="n">
        <v>46301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Kyrkan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23290-2025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45791</v>
      </c>
      <c r="E629" s="1" t="n">
        <v>46301</v>
      </c>
      <c r="F629" t="inlineStr">
        <is>
          <t>VÄSTERNORRLANDS LÄN</t>
        </is>
      </c>
      <c r="G629" t="inlineStr">
        <is>
          <t>HÄRNÖSAND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6831-2024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45342</v>
      </c>
      <c r="E630" s="1" t="n">
        <v>46301</v>
      </c>
      <c r="F630" t="inlineStr">
        <is>
          <t>VÄSTERNORRLANDS LÄN</t>
        </is>
      </c>
      <c r="G630" t="inlineStr">
        <is>
          <t>HÄRNÖSAND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44590-2024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45574</v>
      </c>
      <c r="E631" s="1" t="n">
        <v>46301</v>
      </c>
      <c r="F631" t="inlineStr">
        <is>
          <t>VÄSTERNORRLANDS LÄN</t>
        </is>
      </c>
      <c r="G631" t="inlineStr">
        <is>
          <t>HÄRNÖSAND</t>
        </is>
      </c>
      <c r="I631" t="n">
        <v>11.9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45433</v>
      </c>
      <c r="E632" s="1" t="n">
        <v>46301</v>
      </c>
      <c r="F632" t="inlineStr">
        <is>
          <t>VÄSTERNORRLANDS LÄN</t>
        </is>
      </c>
      <c r="G632" t="inlineStr">
        <is>
          <t>HÄRNÖSAND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8475-2024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45351</v>
      </c>
      <c r="E633" s="1" t="n">
        <v>46301</v>
      </c>
      <c r="F633" t="inlineStr">
        <is>
          <t>VÄSTERNORRLANDS LÄN</t>
        </is>
      </c>
      <c r="G633" t="inlineStr">
        <is>
          <t>HÄRNÖSAND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46251</v>
      </c>
      <c r="E634" s="1" t="n">
        <v>46301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1088-2022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44571</v>
      </c>
      <c r="E635" s="1" t="n">
        <v>46301</v>
      </c>
      <c r="F635" t="inlineStr">
        <is>
          <t>VÄSTERNORRLANDS LÄN</t>
        </is>
      </c>
      <c r="G635" t="inlineStr">
        <is>
          <t>HÄRNÖSAND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45585-2024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46301</v>
      </c>
      <c r="F636" t="inlineStr">
        <is>
          <t>VÄSTERNORRLANDS LÄN</t>
        </is>
      </c>
      <c r="G636" t="inlineStr">
        <is>
          <t>HÄRNÖSAND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46301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45266</v>
      </c>
      <c r="E638" s="1" t="n">
        <v>46301</v>
      </c>
      <c r="F638" t="inlineStr">
        <is>
          <t>VÄSTERNORRLANDS LÄN</t>
        </is>
      </c>
      <c r="G638" t="inlineStr">
        <is>
          <t>HÄRNÖSAND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45516</v>
      </c>
      <c r="E639" s="1" t="n">
        <v>46301</v>
      </c>
      <c r="F639" t="inlineStr">
        <is>
          <t>VÄSTERNORRLANDS LÄN</t>
        </is>
      </c>
      <c r="G639" t="inlineStr">
        <is>
          <t>HÄRNÖSAND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45139</v>
      </c>
      <c r="E640" s="1" t="n">
        <v>46301</v>
      </c>
      <c r="F640" t="inlineStr">
        <is>
          <t>VÄSTERNORRLANDS LÄN</t>
        </is>
      </c>
      <c r="G640" t="inlineStr">
        <is>
          <t>HÄRNÖSAND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41010-2026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46297</v>
      </c>
      <c r="E641" s="1" t="n">
        <v>46301</v>
      </c>
      <c r="F641" t="inlineStr">
        <is>
          <t>VÄSTERNORRLANDS LÄN</t>
        </is>
      </c>
      <c r="G641" t="inlineStr">
        <is>
          <t>HÄRNÖSAND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46288</v>
      </c>
      <c r="E642" s="1" t="n">
        <v>46301</v>
      </c>
      <c r="F642" t="inlineStr">
        <is>
          <t>VÄSTERNORRLANDS LÄN</t>
        </is>
      </c>
      <c r="G642" t="inlineStr">
        <is>
          <t>HÄRNÖSAND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55583-2021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44475</v>
      </c>
      <c r="E643" s="1" t="n">
        <v>46301</v>
      </c>
      <c r="F643" t="inlineStr">
        <is>
          <t>VÄSTERNORRLANDS LÄN</t>
        </is>
      </c>
      <c r="G643" t="inlineStr">
        <is>
          <t>HÄRNÖSAND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46258</v>
      </c>
      <c r="E644" s="1" t="n">
        <v>46301</v>
      </c>
      <c r="F644" t="inlineStr">
        <is>
          <t>VÄSTERNORRLANDS LÄN</t>
        </is>
      </c>
      <c r="G644" t="inlineStr">
        <is>
          <t>HÄRNÖSAND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46301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45800</v>
      </c>
      <c r="E646" s="1" t="n">
        <v>46301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25541-2025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45803</v>
      </c>
      <c r="E647" s="1" t="n">
        <v>46301</v>
      </c>
      <c r="F647" t="inlineStr">
        <is>
          <t>VÄSTERNORRLANDS LÄN</t>
        </is>
      </c>
      <c r="G647" t="inlineStr">
        <is>
          <t>HÄRNÖSAND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46301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46301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46301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46301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46301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46301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46301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46301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46301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2294-2026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46267</v>
      </c>
      <c r="E657" s="1" t="n">
        <v>46301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2026-10-06T01:52:00Z</dcterms:created>
  <dcterms:modified xmlns:dcterms="http://purl.org/dc/terms/" xmlns:xsi="http://www.w3.org/2001/XMLSchema-instance" xsi:type="dcterms:W3CDTF">2026-10-06T01:52:00Z</dcterms:modified>
</cp:coreProperties>
</file>