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46255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46255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46255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46255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46255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46255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46255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46255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46255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46255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46255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46255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46255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46255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t="n">
        <v>0</v>
      </c>
      <c r="V29" s="2" t="inlineStr">
        <is>
          <t>Garnlav
Raggbock
Apelsinticka
Violettgrå tagellav
Nästlav</t>
        </is>
      </c>
      <c r="W29">
        <f>HYPERLINK("https://klasma.github.io/Logging_2280/artfynd/A 52865-2025 artfynd.xlsx", "A 52865-2025")</f>
        <v/>
      </c>
      <c r="X29">
        <f>HYPERLINK("https://klasma.github.io/Logging_2280/kartor/A 52865-2025 karta.png", "A 52865-2025")</f>
        <v/>
      </c>
      <c r="Y29">
        <f>HYPERLINK("https://klasma.github.io/Logging_2280/kartor_geotiff/A 52865-2025 georefererad karta.tif", "A 52865-2025")</f>
        <v/>
      </c>
      <c r="AA29">
        <f>HYPERLINK("https://klasma.github.io/Logging_2280/klagomål/A 52865-2025 FSC-klagomål.docx", "A 52865-2025")</f>
        <v/>
      </c>
      <c r="AB29">
        <f>HYPERLINK("https://klasma.github.io/Logging_2280/klagomålsmail/A 52865-2025 FSC-klagomål mail.docx", "A 52865-2025")</f>
        <v/>
      </c>
      <c r="AC29">
        <f>HYPERLINK("https://klasma.github.io/Logging_2280/tillsyn/A 52865-2025 tillsynsbegäran.docx", "A 52865-2025")</f>
        <v/>
      </c>
      <c r="AD29">
        <f>HYPERLINK("https://klasma.github.io/Logging_2280/tillsynsmail/A 52865-2025 tillsynsbegäran mail.docx", "A 52865-2025")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46255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46255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46255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46255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46255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46255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46255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46255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46255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46255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46255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46255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46255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46255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46255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46255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46255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46255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46255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46255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46255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46255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46255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54894-2024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46255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Lunglav</t>
        </is>
      </c>
      <c r="W60">
        <f>HYPERLINK("https://klasma.github.io/Logging_2280/artfynd/A 54894-2024 artfynd.xlsx", "A 54894-2024")</f>
        <v/>
      </c>
      <c r="X60">
        <f>HYPERLINK("https://klasma.github.io/Logging_2280/kartor/A 54894-2024 karta.png", "A 54894-2024")</f>
        <v/>
      </c>
      <c r="Y60">
        <f>HYPERLINK("https://klasma.github.io/Logging_2280/kartor_geotiff/A 54894-2024 georefererad karta.tif", "A 54894-2024")</f>
        <v/>
      </c>
      <c r="AA60">
        <f>HYPERLINK("https://klasma.github.io/Logging_2280/klagomål/A 54894-2024 FSC-klagomål.docx", "A 54894-2024")</f>
        <v/>
      </c>
      <c r="AB60">
        <f>HYPERLINK("https://klasma.github.io/Logging_2280/klagomålsmail/A 54894-2024 FSC-klagomål mail.docx", "A 54894-2024")</f>
        <v/>
      </c>
      <c r="AC60">
        <f>HYPERLINK("https://klasma.github.io/Logging_2280/tillsyn/A 54894-2024 tillsynsbegäran.docx", "A 54894-2024")</f>
        <v/>
      </c>
      <c r="AD60">
        <f>HYPERLINK("https://klasma.github.io/Logging_2280/tillsynsmail/A 54894-2024 tillsynsbegäran mail.docx", "A 54894-2024")</f>
        <v/>
      </c>
    </row>
    <row r="61" ht="15" customHeight="1">
      <c r="A61" t="inlineStr">
        <is>
          <t>A 47487-2025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46255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Lunglav
Tjäder</t>
        </is>
      </c>
      <c r="W61">
        <f>HYPERLINK("https://klasma.github.io/Logging_2280/artfynd/A 47487-2025 artfynd.xlsx", "A 47487-2025")</f>
        <v/>
      </c>
      <c r="X61">
        <f>HYPERLINK("https://klasma.github.io/Logging_2280/kartor/A 47487-2025 karta.png", "A 47487-2025")</f>
        <v/>
      </c>
      <c r="Y61">
        <f>HYPERLINK("https://klasma.github.io/Logging_2280/kartor_geotiff/A 47487-2025 georefererad karta.tif", "A 47487-2025")</f>
        <v/>
      </c>
      <c r="AA61">
        <f>HYPERLINK("https://klasma.github.io/Logging_2280/klagomål/A 47487-2025 FSC-klagomål.docx", "A 47487-2025")</f>
        <v/>
      </c>
      <c r="AB61">
        <f>HYPERLINK("https://klasma.github.io/Logging_2280/klagomålsmail/A 47487-2025 FSC-klagomål mail.docx", "A 47487-2025")</f>
        <v/>
      </c>
      <c r="AC61">
        <f>HYPERLINK("https://klasma.github.io/Logging_2280/tillsyn/A 47487-2025 tillsynsbegäran.docx", "A 47487-2025")</f>
        <v/>
      </c>
      <c r="AD61">
        <f>HYPERLINK("https://klasma.github.io/Logging_2280/tillsynsmail/A 47487-2025 tillsynsbegäran mail.docx", "A 47487-2025")</f>
        <v/>
      </c>
      <c r="AE61">
        <f>HYPERLINK("https://klasma.github.io/Logging_2280/fåglar/A 47487-2025 prioriterade fågelarter.docx", "A 47487-2025")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46255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46255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46255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46255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46255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46255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46255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46255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46255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46255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46255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46255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46255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46255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46255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46255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46255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46255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Apelsinticka</t>
        </is>
      </c>
      <c r="W79">
        <f>HYPERLINK("https://klasma.github.io/Logging_2280/artfynd/A 8921-2024 artfynd.xlsx", "A 8921-2024")</f>
        <v/>
      </c>
      <c r="X79">
        <f>HYPERLINK("https://klasma.github.io/Logging_2280/kartor/A 8921-2024 karta.png", "A 8921-2024")</f>
        <v/>
      </c>
      <c r="Y79">
        <f>HYPERLINK("https://klasma.github.io/Logging_2280/kartor_geotiff/A 8921-2024 georefererad karta.tif", "A 8921-2024")</f>
        <v/>
      </c>
      <c r="AA79">
        <f>HYPERLINK("https://klasma.github.io/Logging_2280/klagomål/A 8921-2024 FSC-klagomål.docx", "A 8921-2024")</f>
        <v/>
      </c>
      <c r="AB79">
        <f>HYPERLINK("https://klasma.github.io/Logging_2280/klagomålsmail/A 8921-2024 FSC-klagomål mail.docx", "A 8921-2024")</f>
        <v/>
      </c>
      <c r="AC79">
        <f>HYPERLINK("https://klasma.github.io/Logging_2280/tillsyn/A 8921-2024 tillsynsbegäran.docx", "A 8921-2024")</f>
        <v/>
      </c>
      <c r="AD79">
        <f>HYPERLINK("https://klasma.github.io/Logging_2280/tillsynsmail/A 8921-2024 tillsynsbegäran mail.docx", "A 8921-2024")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46255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46255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24202-2024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45456</v>
      </c>
      <c r="E82" s="1" t="n">
        <v>46255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Garnlav</t>
        </is>
      </c>
      <c r="W82">
        <f>HYPERLINK("https://klasma.github.io/Logging_2280/artfynd/A 24202-2024 artfynd.xlsx", "A 24202-2024")</f>
        <v/>
      </c>
      <c r="X82">
        <f>HYPERLINK("https://klasma.github.io/Logging_2280/kartor/A 24202-2024 karta.png", "A 24202-2024")</f>
        <v/>
      </c>
      <c r="Y82">
        <f>HYPERLINK("https://klasma.github.io/Logging_2280/kartor_geotiff/A 24202-2024 georefererad karta.tif", "A 24202-2024")</f>
        <v/>
      </c>
      <c r="AA82">
        <f>HYPERLINK("https://klasma.github.io/Logging_2280/klagomål/A 24202-2024 FSC-klagomål.docx", "A 24202-2024")</f>
        <v/>
      </c>
      <c r="AB82">
        <f>HYPERLINK("https://klasma.github.io/Logging_2280/klagomålsmail/A 24202-2024 FSC-klagomål mail.docx", "A 24202-2024")</f>
        <v/>
      </c>
      <c r="AC82">
        <f>HYPERLINK("https://klasma.github.io/Logging_2280/tillsyn/A 24202-2024 tillsynsbegäran.docx", "A 24202-2024")</f>
        <v/>
      </c>
      <c r="AD82">
        <f>HYPERLINK("https://klasma.github.io/Logging_2280/tillsynsmail/A 24202-2024 tillsynsbegäran mail.docx", "A 24202-2024")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46255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46255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46255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Stor aspticka</t>
        </is>
      </c>
      <c r="W85">
        <f>HYPERLINK("https://klasma.github.io/Logging_2280/artfynd/A 40265-2024 artfynd.xlsx", "A 40265-2024")</f>
        <v/>
      </c>
      <c r="X85">
        <f>HYPERLINK("https://klasma.github.io/Logging_2280/kartor/A 40265-2024 karta.png", "A 40265-2024")</f>
        <v/>
      </c>
      <c r="Y85">
        <f>HYPERLINK("https://klasma.github.io/Logging_2280/kartor_geotiff/A 40265-2024 georefererad karta.tif", "A 40265-2024")</f>
        <v/>
      </c>
      <c r="AA85">
        <f>HYPERLINK("https://klasma.github.io/Logging_2280/klagomål/A 40265-2024 FSC-klagomål.docx", "A 40265-2024")</f>
        <v/>
      </c>
      <c r="AB85">
        <f>HYPERLINK("https://klasma.github.io/Logging_2280/klagomålsmail/A 40265-2024 FSC-klagomål mail.docx", "A 40265-2024")</f>
        <v/>
      </c>
      <c r="AC85">
        <f>HYPERLINK("https://klasma.github.io/Logging_2280/tillsyn/A 40265-2024 tillsynsbegäran.docx", "A 40265-2024")</f>
        <v/>
      </c>
      <c r="AD85">
        <f>HYPERLINK("https://klasma.github.io/Logging_2280/tillsynsmail/A 40265-2024 tillsynsbegäran mail.docx", "A 40265-2024")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46255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46255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46255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46255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46255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A 26174-2025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46255</v>
      </c>
      <c r="F91" t="inlineStr">
        <is>
          <t>VÄSTERNORRLANDS LÄN</t>
        </is>
      </c>
      <c r="G91" t="inlineStr">
        <is>
          <t>HÄRNÖSAND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Lunglav</t>
        </is>
      </c>
      <c r="W91">
        <f>HYPERLINK("https://klasma.github.io/Logging_2280/artfynd/A 26174-2025 artfynd.xlsx", "A 26174-2025")</f>
        <v/>
      </c>
      <c r="X91">
        <f>HYPERLINK("https://klasma.github.io/Logging_2280/kartor/A 26174-2025 karta.png", "A 26174-2025")</f>
        <v/>
      </c>
      <c r="Y91">
        <f>HYPERLINK("https://klasma.github.io/Logging_2280/kartor_geotiff/A 26174-2025 georefererad karta.tif", "A 26174-2025")</f>
        <v/>
      </c>
      <c r="AA91">
        <f>HYPERLINK("https://klasma.github.io/Logging_2280/klagomål/A 26174-2025 FSC-klagomål.docx", "A 26174-2025")</f>
        <v/>
      </c>
      <c r="AB91">
        <f>HYPERLINK("https://klasma.github.io/Logging_2280/klagomålsmail/A 26174-2025 FSC-klagomål mail.docx", "A 26174-2025")</f>
        <v/>
      </c>
      <c r="AC91">
        <f>HYPERLINK("https://klasma.github.io/Logging_2280/tillsyn/A 26174-2025 tillsynsbegäran.docx", "A 26174-2025")</f>
        <v/>
      </c>
      <c r="AD91">
        <f>HYPERLINK("https://klasma.github.io/Logging_2280/tillsynsmail/A 26174-2025 tillsynsbegäran mail.docx", "A 26174-2025")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46255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46255</v>
      </c>
      <c r="F93" t="inlineStr">
        <is>
          <t>VÄSTERNORRLANDS LÄN</t>
        </is>
      </c>
      <c r="G93" t="inlineStr">
        <is>
          <t>HÄRNÖSAND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Barkticka</t>
        </is>
      </c>
      <c r="W93">
        <f>HYPERLINK("https://klasma.github.io/Logging_2280/artfynd/A 26922-2025 artfynd.xlsx", "A 26922-2025")</f>
        <v/>
      </c>
      <c r="X93">
        <f>HYPERLINK("https://klasma.github.io/Logging_2280/kartor/A 26922-2025 karta.png", "A 26922-2025")</f>
        <v/>
      </c>
      <c r="Y93">
        <f>HYPERLINK("https://klasma.github.io/Logging_2280/kartor_geotiff/A 26922-2025 georefererad karta.tif", "A 26922-2025")</f>
        <v/>
      </c>
      <c r="AA93">
        <f>HYPERLINK("https://klasma.github.io/Logging_2280/klagomål/A 26922-2025 FSC-klagomål.docx", "A 26922-2025")</f>
        <v/>
      </c>
      <c r="AB93">
        <f>HYPERLINK("https://klasma.github.io/Logging_2280/klagomålsmail/A 26922-2025 FSC-klagomål mail.docx", "A 26922-2025")</f>
        <v/>
      </c>
      <c r="AC93">
        <f>HYPERLINK("https://klasma.github.io/Logging_2280/tillsyn/A 26922-2025 tillsynsbegäran.docx", "A 26922-2025")</f>
        <v/>
      </c>
      <c r="AD93">
        <f>HYPERLINK("https://klasma.github.io/Logging_2280/tillsynsmail/A 26922-2025 tillsynsbegäran mail.docx", "A 26922-2025")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46255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46255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46255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46255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46255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46255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46255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46255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46255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46255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46255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46255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46255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46255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46255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46255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46255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46255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46255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46255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46255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46255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46255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46255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46255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46255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46255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46255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46255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46255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46255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46255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46255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46255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46255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46255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46255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46255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46255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46255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46255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46255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46255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46255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46255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46255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46255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46255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18885-2023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45044</v>
      </c>
      <c r="E142" s="1" t="n">
        <v>46255</v>
      </c>
      <c r="F142" t="inlineStr">
        <is>
          <t>VÄSTERNORRLANDS LÄN</t>
        </is>
      </c>
      <c r="G142" t="inlineStr">
        <is>
          <t>HÄRNÖSAND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46255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45409</v>
      </c>
      <c r="E144" s="1" t="n">
        <v>46255</v>
      </c>
      <c r="F144" t="inlineStr">
        <is>
          <t>VÄSTERNORRLANDS LÄN</t>
        </is>
      </c>
      <c r="G144" t="inlineStr">
        <is>
          <t>HÄRNÖSAND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46255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46255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44809</v>
      </c>
      <c r="E147" s="1" t="n">
        <v>46255</v>
      </c>
      <c r="F147" t="inlineStr">
        <is>
          <t>VÄSTERNORRLANDS LÄN</t>
        </is>
      </c>
      <c r="G147" t="inlineStr">
        <is>
          <t>HÄRNÖSAND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46255</v>
      </c>
      <c r="F148" t="inlineStr">
        <is>
          <t>VÄSTERNORRLANDS LÄN</t>
        </is>
      </c>
      <c r="G148" t="inlineStr">
        <is>
          <t>HÄRNÖSAND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46255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46255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46255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46255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46255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46255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46255</v>
      </c>
      <c r="F155" t="inlineStr">
        <is>
          <t>VÄSTERNORRLANDS LÄN</t>
        </is>
      </c>
      <c r="G155" t="inlineStr">
        <is>
          <t>HÄRNÖSAND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46255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45511</v>
      </c>
      <c r="E157" s="1" t="n">
        <v>46255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50338-2022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44865</v>
      </c>
      <c r="E158" s="1" t="n">
        <v>46255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46255</v>
      </c>
      <c r="F159" t="inlineStr">
        <is>
          <t>VÄSTERNORRLANDS LÄN</t>
        </is>
      </c>
      <c r="G159" t="inlineStr">
        <is>
          <t>HÄRNÖSAND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46255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46255</v>
      </c>
      <c r="F161" t="inlineStr">
        <is>
          <t>VÄSTERNORRLANDS LÄN</t>
        </is>
      </c>
      <c r="G161" t="inlineStr">
        <is>
          <t>HÄRNÖSAND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46255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46255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45293</v>
      </c>
      <c r="E164" s="1" t="n">
        <v>46255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46255</v>
      </c>
      <c r="F165" t="inlineStr">
        <is>
          <t>VÄSTERNORRLANDS LÄN</t>
        </is>
      </c>
      <c r="G165" t="inlineStr">
        <is>
          <t>HÄRNÖSAND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46255</v>
      </c>
      <c r="F166" t="inlineStr">
        <is>
          <t>VÄSTERNORRLANDS LÄN</t>
        </is>
      </c>
      <c r="G166" t="inlineStr">
        <is>
          <t>HÄRNÖSAND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69269-2021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46255</v>
      </c>
      <c r="F167" t="inlineStr">
        <is>
          <t>VÄSTERNORRLANDS LÄN</t>
        </is>
      </c>
      <c r="G167" t="inlineStr">
        <is>
          <t>HÄRNÖSAND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46255</v>
      </c>
      <c r="F168" t="inlineStr">
        <is>
          <t>VÄSTERNORRLANDS LÄN</t>
        </is>
      </c>
      <c r="G168" t="inlineStr">
        <is>
          <t>HÄRNÖSAND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46255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46255</v>
      </c>
      <c r="F170" t="inlineStr">
        <is>
          <t>VÄSTERNORRLANDS LÄN</t>
        </is>
      </c>
      <c r="G170" t="inlineStr">
        <is>
          <t>HÄRNÖSAND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54251-2022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44881</v>
      </c>
      <c r="E171" s="1" t="n">
        <v>46255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46255</v>
      </c>
      <c r="F172" t="inlineStr">
        <is>
          <t>VÄSTERNORRLANDS LÄN</t>
        </is>
      </c>
      <c r="G172" t="inlineStr">
        <is>
          <t>HÄRNÖSAND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46255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44894</v>
      </c>
      <c r="E174" s="1" t="n">
        <v>46255</v>
      </c>
      <c r="F174" t="inlineStr">
        <is>
          <t>VÄSTERNORRLANDS LÄN</t>
        </is>
      </c>
      <c r="G174" t="inlineStr">
        <is>
          <t>HÄRNÖSAND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46255</v>
      </c>
      <c r="F175" t="inlineStr">
        <is>
          <t>VÄSTERNORRLANDS LÄN</t>
        </is>
      </c>
      <c r="G175" t="inlineStr">
        <is>
          <t>HÄRNÖSAND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46255</v>
      </c>
      <c r="F176" t="inlineStr">
        <is>
          <t>VÄSTERNORRLANDS LÄN</t>
        </is>
      </c>
      <c r="G176" t="inlineStr">
        <is>
          <t>HÄRNÖSAND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46255</v>
      </c>
      <c r="F177" t="inlineStr">
        <is>
          <t>VÄSTERNORRLANDS LÄN</t>
        </is>
      </c>
      <c r="G177" t="inlineStr">
        <is>
          <t>HÄRNÖSAND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46255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46255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46255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Kyrkan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46255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46255</v>
      </c>
      <c r="F182" t="inlineStr">
        <is>
          <t>VÄSTERNORRLANDS LÄN</t>
        </is>
      </c>
      <c r="G182" t="inlineStr">
        <is>
          <t>HÄRNÖSAND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46255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46255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46255</v>
      </c>
      <c r="F185" t="inlineStr">
        <is>
          <t>VÄSTERNORRLANDS LÄN</t>
        </is>
      </c>
      <c r="G185" t="inlineStr">
        <is>
          <t>HÄRNÖSAND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46255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46255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46255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46255</v>
      </c>
      <c r="F189" t="inlineStr">
        <is>
          <t>VÄSTERNORRLANDS LÄN</t>
        </is>
      </c>
      <c r="G189" t="inlineStr">
        <is>
          <t>HÄRNÖSAND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46255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46255</v>
      </c>
      <c r="F191" t="inlineStr">
        <is>
          <t>VÄSTERNORRLANDS LÄN</t>
        </is>
      </c>
      <c r="G191" t="inlineStr">
        <is>
          <t>HÄRNÖSAND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46255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46255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46255</v>
      </c>
      <c r="F194" t="inlineStr">
        <is>
          <t>VÄSTERNORRLANDS LÄN</t>
        </is>
      </c>
      <c r="G194" t="inlineStr">
        <is>
          <t>HÄRNÖSAND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46255</v>
      </c>
      <c r="F195" t="inlineStr">
        <is>
          <t>VÄSTERNORRLANDS LÄN</t>
        </is>
      </c>
      <c r="G195" t="inlineStr">
        <is>
          <t>HÄRNÖSAND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46255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46255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46255</v>
      </c>
      <c r="F198" t="inlineStr">
        <is>
          <t>VÄSTERNORRLANDS LÄN</t>
        </is>
      </c>
      <c r="G198" t="inlineStr">
        <is>
          <t>HÄRNÖSAND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46255</v>
      </c>
      <c r="F199" t="inlineStr">
        <is>
          <t>VÄSTERNORRLANDS LÄN</t>
        </is>
      </c>
      <c r="G199" t="inlineStr">
        <is>
          <t>HÄRNÖSAND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46255</v>
      </c>
      <c r="F200" t="inlineStr">
        <is>
          <t>VÄSTERNORRLANDS LÄN</t>
        </is>
      </c>
      <c r="G200" t="inlineStr">
        <is>
          <t>HÄRNÖSAND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46255</v>
      </c>
      <c r="F201" t="inlineStr">
        <is>
          <t>VÄSTERNORRLANDS LÄN</t>
        </is>
      </c>
      <c r="G201" t="inlineStr">
        <is>
          <t>HÄRNÖSAND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46255</v>
      </c>
      <c r="F202" t="inlineStr">
        <is>
          <t>VÄSTERNORRLANDS LÄN</t>
        </is>
      </c>
      <c r="G202" t="inlineStr">
        <is>
          <t>HÄRNÖSAND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46065</v>
      </c>
      <c r="E203" s="1" t="n">
        <v>46255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Kyrkan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46255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Kyrkan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46255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46255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46255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45848</v>
      </c>
      <c r="E208" s="1" t="n">
        <v>46255</v>
      </c>
      <c r="F208" t="inlineStr">
        <is>
          <t>VÄSTERNORRLANDS LÄN</t>
        </is>
      </c>
      <c r="G208" t="inlineStr">
        <is>
          <t>HÄRNÖSAND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34751-2025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45848</v>
      </c>
      <c r="E209" s="1" t="n">
        <v>46255</v>
      </c>
      <c r="F209" t="inlineStr">
        <is>
          <t>VÄSTERNORRLANDS LÄN</t>
        </is>
      </c>
      <c r="G209" t="inlineStr">
        <is>
          <t>HÄRNÖSAND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46255</v>
      </c>
      <c r="F210" t="inlineStr">
        <is>
          <t>VÄSTERNORRLANDS LÄN</t>
        </is>
      </c>
      <c r="G210" t="inlineStr">
        <is>
          <t>HÄRNÖSAND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46255</v>
      </c>
      <c r="F211" t="inlineStr">
        <is>
          <t>VÄSTERNORRLANDS LÄN</t>
        </is>
      </c>
      <c r="G211" t="inlineStr">
        <is>
          <t>HÄRNÖSAND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8415-2026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46065</v>
      </c>
      <c r="E212" s="1" t="n">
        <v>46255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46255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46255</v>
      </c>
      <c r="F214" t="inlineStr">
        <is>
          <t>VÄSTERNORRLANDS LÄN</t>
        </is>
      </c>
      <c r="G214" t="inlineStr">
        <is>
          <t>HÄRNÖSAND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45853</v>
      </c>
      <c r="E215" s="1" t="n">
        <v>46255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46255</v>
      </c>
      <c r="F216" t="inlineStr">
        <is>
          <t>VÄSTERNORRLANDS LÄN</t>
        </is>
      </c>
      <c r="G216" t="inlineStr">
        <is>
          <t>HÄRNÖSAND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46255</v>
      </c>
      <c r="F217" t="inlineStr">
        <is>
          <t>VÄSTERNORRLANDS LÄN</t>
        </is>
      </c>
      <c r="G217" t="inlineStr">
        <is>
          <t>HÄRNÖSAND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46255</v>
      </c>
      <c r="F218" t="inlineStr">
        <is>
          <t>VÄSTERNORRLANDS LÄN</t>
        </is>
      </c>
      <c r="G218" t="inlineStr">
        <is>
          <t>HÄRNÖSAND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46255</v>
      </c>
      <c r="F219" t="inlineStr">
        <is>
          <t>VÄSTERNORRLANDS LÄN</t>
        </is>
      </c>
      <c r="G219" t="inlineStr">
        <is>
          <t>HÄRNÖSAND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44747</v>
      </c>
      <c r="E220" s="1" t="n">
        <v>46255</v>
      </c>
      <c r="F220" t="inlineStr">
        <is>
          <t>VÄSTERNORRLANDS LÄN</t>
        </is>
      </c>
      <c r="G220" t="inlineStr">
        <is>
          <t>HÄRNÖSAND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45793</v>
      </c>
      <c r="E221" s="1" t="n">
        <v>46255</v>
      </c>
      <c r="F221" t="inlineStr">
        <is>
          <t>VÄSTERNORRLANDS LÄN</t>
        </is>
      </c>
      <c r="G221" t="inlineStr">
        <is>
          <t>HÄRNÖSAND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46255</v>
      </c>
      <c r="F222" t="inlineStr">
        <is>
          <t>VÄSTERNORRLANDS LÄN</t>
        </is>
      </c>
      <c r="G222" t="inlineStr">
        <is>
          <t>HÄRNÖSAND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46070</v>
      </c>
      <c r="E223" s="1" t="n">
        <v>46255</v>
      </c>
      <c r="F223" t="inlineStr">
        <is>
          <t>VÄSTERNORRLANDS LÄN</t>
        </is>
      </c>
      <c r="G223" t="inlineStr">
        <is>
          <t>HÄRNÖSAND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46255</v>
      </c>
      <c r="F224" t="inlineStr">
        <is>
          <t>VÄSTERNORRLANDS LÄN</t>
        </is>
      </c>
      <c r="G224" t="inlineStr">
        <is>
          <t>HÄRNÖSAND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45741</v>
      </c>
      <c r="E225" s="1" t="n">
        <v>46255</v>
      </c>
      <c r="F225" t="inlineStr">
        <is>
          <t>VÄSTERNORRLANDS LÄN</t>
        </is>
      </c>
      <c r="G225" t="inlineStr">
        <is>
          <t>HÄRNÖSAND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46255</v>
      </c>
      <c r="F226" t="inlineStr">
        <is>
          <t>VÄSTERNORRLANDS LÄN</t>
        </is>
      </c>
      <c r="G226" t="inlineStr">
        <is>
          <t>HÄRNÖSAND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46255</v>
      </c>
      <c r="F227" t="inlineStr">
        <is>
          <t>VÄSTERNORRLANDS LÄN</t>
        </is>
      </c>
      <c r="G227" t="inlineStr">
        <is>
          <t>HÄRNÖSAND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46255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46255</v>
      </c>
      <c r="F229" t="inlineStr">
        <is>
          <t>VÄSTERNORRLANDS LÄN</t>
        </is>
      </c>
      <c r="G229" t="inlineStr">
        <is>
          <t>HÄRNÖSAND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46255</v>
      </c>
      <c r="F230" t="inlineStr">
        <is>
          <t>VÄSTERNORRLANDS LÄN</t>
        </is>
      </c>
      <c r="G230" t="inlineStr">
        <is>
          <t>HÄRNÖSAND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46255</v>
      </c>
      <c r="F231" t="inlineStr">
        <is>
          <t>VÄSTERNORRLANDS LÄN</t>
        </is>
      </c>
      <c r="G231" t="inlineStr">
        <is>
          <t>HÄRNÖSAND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46255</v>
      </c>
      <c r="F232" t="inlineStr">
        <is>
          <t>VÄSTERNORRLANDS LÄN</t>
        </is>
      </c>
      <c r="G232" t="inlineStr">
        <is>
          <t>HÄRNÖSAND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46255</v>
      </c>
      <c r="F233" t="inlineStr">
        <is>
          <t>VÄSTERNORRLANDS LÄN</t>
        </is>
      </c>
      <c r="G233" t="inlineStr">
        <is>
          <t>HÄRNÖSAND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46255</v>
      </c>
      <c r="F234" t="inlineStr">
        <is>
          <t>VÄSTERNORRLANDS LÄN</t>
        </is>
      </c>
      <c r="G234" t="inlineStr">
        <is>
          <t>HÄRNÖSAND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41562-2025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45901</v>
      </c>
      <c r="E235" s="1" t="n">
        <v>46255</v>
      </c>
      <c r="F235" t="inlineStr">
        <is>
          <t>VÄSTERNORRLANDS LÄN</t>
        </is>
      </c>
      <c r="G235" t="inlineStr">
        <is>
          <t>HÄRNÖSAND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25430-2022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44732</v>
      </c>
      <c r="E236" s="1" t="n">
        <v>46255</v>
      </c>
      <c r="F236" t="inlineStr">
        <is>
          <t>VÄSTERNORRLANDS LÄN</t>
        </is>
      </c>
      <c r="G236" t="inlineStr">
        <is>
          <t>HÄRNÖSAND</t>
        </is>
      </c>
      <c r="I236" t="n">
        <v>18.7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46255</v>
      </c>
      <c r="F237" t="inlineStr">
        <is>
          <t>VÄSTERNORRLANDS LÄN</t>
        </is>
      </c>
      <c r="G237" t="inlineStr">
        <is>
          <t>HÄRNÖSAND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46255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46255</v>
      </c>
      <c r="F239" t="inlineStr">
        <is>
          <t>VÄSTERNORRLANDS LÄN</t>
        </is>
      </c>
      <c r="G239" t="inlineStr">
        <is>
          <t>HÄRNÖSAND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44890</v>
      </c>
      <c r="E240" s="1" t="n">
        <v>46255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Kyrkan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46255</v>
      </c>
      <c r="F241" t="inlineStr">
        <is>
          <t>VÄSTERNORRLANDS LÄN</t>
        </is>
      </c>
      <c r="G241" t="inlineStr">
        <is>
          <t>HÄRNÖSAND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46255</v>
      </c>
      <c r="F242" t="inlineStr">
        <is>
          <t>VÄSTERNORRLANDS LÄN</t>
        </is>
      </c>
      <c r="G242" t="inlineStr">
        <is>
          <t>HÄRNÖSAND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45874</v>
      </c>
      <c r="E243" s="1" t="n">
        <v>46255</v>
      </c>
      <c r="F243" t="inlineStr">
        <is>
          <t>VÄSTERNORRLANDS LÄN</t>
        </is>
      </c>
      <c r="G243" t="inlineStr">
        <is>
          <t>HÄRNÖSAND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46255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45314</v>
      </c>
      <c r="E245" s="1" t="n">
        <v>46255</v>
      </c>
      <c r="F245" t="inlineStr">
        <is>
          <t>VÄSTERNORRLANDS LÄN</t>
        </is>
      </c>
      <c r="G245" t="inlineStr">
        <is>
          <t>HÄRNÖSAND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46255</v>
      </c>
      <c r="F246" t="inlineStr">
        <is>
          <t>VÄSTERNORRLANDS LÄN</t>
        </is>
      </c>
      <c r="G246" t="inlineStr">
        <is>
          <t>HÄRNÖSAND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46255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46255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46255</v>
      </c>
      <c r="F249" t="inlineStr">
        <is>
          <t>VÄSTERNORRLANDS LÄN</t>
        </is>
      </c>
      <c r="G249" t="inlineStr">
        <is>
          <t>HÄRNÖSAND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46255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46255</v>
      </c>
      <c r="F251" t="inlineStr">
        <is>
          <t>VÄSTERNORRLANDS LÄN</t>
        </is>
      </c>
      <c r="G251" t="inlineStr">
        <is>
          <t>HÄRNÖSAND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46255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46077</v>
      </c>
      <c r="E253" s="1" t="n">
        <v>46255</v>
      </c>
      <c r="F253" t="inlineStr">
        <is>
          <t>VÄSTERNORRLANDS LÄN</t>
        </is>
      </c>
      <c r="G253" t="inlineStr">
        <is>
          <t>HÄRNÖSAND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46255</v>
      </c>
      <c r="F254" t="inlineStr">
        <is>
          <t>VÄSTERNORRLANDS LÄN</t>
        </is>
      </c>
      <c r="G254" t="inlineStr">
        <is>
          <t>HÄRNÖSAND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46255</v>
      </c>
      <c r="F255" t="inlineStr">
        <is>
          <t>VÄSTERNORRLANDS LÄN</t>
        </is>
      </c>
      <c r="G255" t="inlineStr">
        <is>
          <t>HÄRNÖSAND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46255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59408-2024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45638</v>
      </c>
      <c r="E257" s="1" t="n">
        <v>46255</v>
      </c>
      <c r="F257" t="inlineStr">
        <is>
          <t>VÄSTERNORRLANDS LÄN</t>
        </is>
      </c>
      <c r="G257" t="inlineStr">
        <is>
          <t>HÄRNÖSAND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46255</v>
      </c>
      <c r="F258" t="inlineStr">
        <is>
          <t>VÄSTERNORRLANDS LÄN</t>
        </is>
      </c>
      <c r="G258" t="inlineStr">
        <is>
          <t>HÄRNÖSAND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46255</v>
      </c>
      <c r="F259" t="inlineStr">
        <is>
          <t>VÄSTERNORRLANDS LÄN</t>
        </is>
      </c>
      <c r="G259" t="inlineStr">
        <is>
          <t>HÄRNÖSAND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46255</v>
      </c>
      <c r="F260" t="inlineStr">
        <is>
          <t>VÄSTERNORRLANDS LÄN</t>
        </is>
      </c>
      <c r="G260" t="inlineStr">
        <is>
          <t>HÄRNÖSAND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45981-2025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45924</v>
      </c>
      <c r="E261" s="1" t="n">
        <v>46255</v>
      </c>
      <c r="F261" t="inlineStr">
        <is>
          <t>VÄSTERNORRLANDS LÄN</t>
        </is>
      </c>
      <c r="G261" t="inlineStr">
        <is>
          <t>HÄRNÖSAND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46255</v>
      </c>
      <c r="F262" t="inlineStr">
        <is>
          <t>VÄSTERNORRLANDS LÄN</t>
        </is>
      </c>
      <c r="G262" t="inlineStr">
        <is>
          <t>HÄRNÖSAND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11202-2026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46080</v>
      </c>
      <c r="E263" s="1" t="n">
        <v>46255</v>
      </c>
      <c r="F263" t="inlineStr">
        <is>
          <t>VÄSTERNORRLANDS LÄN</t>
        </is>
      </c>
      <c r="G263" t="inlineStr">
        <is>
          <t>HÄRNÖSAND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44743</v>
      </c>
      <c r="E264" s="1" t="n">
        <v>46255</v>
      </c>
      <c r="F264" t="inlineStr">
        <is>
          <t>VÄSTERNORRLANDS LÄN</t>
        </is>
      </c>
      <c r="G264" t="inlineStr">
        <is>
          <t>HÄRNÖSAND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46255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Kyrkan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46255</v>
      </c>
      <c r="F266" t="inlineStr">
        <is>
          <t>VÄSTERNORRLANDS LÄN</t>
        </is>
      </c>
      <c r="G266" t="inlineStr">
        <is>
          <t>HÄRNÖSAND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46255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46255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46255</v>
      </c>
      <c r="F269" t="inlineStr">
        <is>
          <t>VÄSTERNORRLANDS LÄN</t>
        </is>
      </c>
      <c r="G269" t="inlineStr">
        <is>
          <t>HÄRNÖSAND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46255</v>
      </c>
      <c r="F270" t="inlineStr">
        <is>
          <t>VÄSTERNORRLANDS LÄN</t>
        </is>
      </c>
      <c r="G270" t="inlineStr">
        <is>
          <t>HÄRNÖSAND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46255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46255</v>
      </c>
      <c r="F272" t="inlineStr">
        <is>
          <t>VÄSTERNORRLANDS LÄN</t>
        </is>
      </c>
      <c r="G272" t="inlineStr">
        <is>
          <t>HÄRNÖSAND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46255</v>
      </c>
      <c r="F273" t="inlineStr">
        <is>
          <t>VÄSTERNORRLANDS LÄN</t>
        </is>
      </c>
      <c r="G273" t="inlineStr">
        <is>
          <t>HÄRNÖSAND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46255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40452-2023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45168</v>
      </c>
      <c r="E275" s="1" t="n">
        <v>46255</v>
      </c>
      <c r="F275" t="inlineStr">
        <is>
          <t>VÄSTERNORRLANDS LÄN</t>
        </is>
      </c>
      <c r="G275" t="inlineStr">
        <is>
          <t>HÄRNÖSAND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44853</v>
      </c>
      <c r="E276" s="1" t="n">
        <v>46255</v>
      </c>
      <c r="F276" t="inlineStr">
        <is>
          <t>VÄSTERNORRLANDS LÄN</t>
        </is>
      </c>
      <c r="G276" t="inlineStr">
        <is>
          <t>HÄRNÖSAND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46255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45138</v>
      </c>
      <c r="E278" s="1" t="n">
        <v>46255</v>
      </c>
      <c r="F278" t="inlineStr">
        <is>
          <t>VÄSTERNORRLANDS LÄN</t>
        </is>
      </c>
      <c r="G278" t="inlineStr">
        <is>
          <t>HÄRNÖSAND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46255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Övriga statliga verk och myndigheter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12650-2026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46091</v>
      </c>
      <c r="E280" s="1" t="n">
        <v>46255</v>
      </c>
      <c r="F280" t="inlineStr">
        <is>
          <t>VÄSTERNORRLANDS LÄN</t>
        </is>
      </c>
      <c r="G280" t="inlineStr">
        <is>
          <t>HÄRNÖSAND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46255</v>
      </c>
      <c r="F281" t="inlineStr">
        <is>
          <t>VÄSTERNORRLANDS LÄN</t>
        </is>
      </c>
      <c r="G281" t="inlineStr">
        <is>
          <t>HÄRNÖSAND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46255</v>
      </c>
      <c r="F282" t="inlineStr">
        <is>
          <t>VÄSTERNORRLANDS LÄN</t>
        </is>
      </c>
      <c r="G282" t="inlineStr">
        <is>
          <t>HÄRNÖSAND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44980</v>
      </c>
      <c r="E283" s="1" t="n">
        <v>46255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46255</v>
      </c>
      <c r="F284" t="inlineStr">
        <is>
          <t>VÄSTERNORRLANDS LÄN</t>
        </is>
      </c>
      <c r="G284" t="inlineStr">
        <is>
          <t>HÄRNÖSAND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46255</v>
      </c>
      <c r="F285" t="inlineStr">
        <is>
          <t>VÄSTERNORRLANDS LÄN</t>
        </is>
      </c>
      <c r="G285" t="inlineStr">
        <is>
          <t>HÄRNÖSAND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46255</v>
      </c>
      <c r="F286" t="inlineStr">
        <is>
          <t>VÄSTERNORRLANDS LÄN</t>
        </is>
      </c>
      <c r="G286" t="inlineStr">
        <is>
          <t>HÄRNÖSAND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46255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46255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46255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44936</v>
      </c>
      <c r="E290" s="1" t="n">
        <v>46255</v>
      </c>
      <c r="F290" t="inlineStr">
        <is>
          <t>VÄSTERNORRLANDS LÄN</t>
        </is>
      </c>
      <c r="G290" t="inlineStr">
        <is>
          <t>HÄRNÖSAND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46255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46255</v>
      </c>
      <c r="F292" t="inlineStr">
        <is>
          <t>VÄSTERNORRLANDS LÄN</t>
        </is>
      </c>
      <c r="G292" t="inlineStr">
        <is>
          <t>HÄRNÖSAND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46255</v>
      </c>
      <c r="F293" t="inlineStr">
        <is>
          <t>VÄSTERNORRLANDS LÄN</t>
        </is>
      </c>
      <c r="G293" t="inlineStr">
        <is>
          <t>HÄRNÖSAND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45685</v>
      </c>
      <c r="E294" s="1" t="n">
        <v>46255</v>
      </c>
      <c r="F294" t="inlineStr">
        <is>
          <t>VÄSTERNORRLANDS LÄN</t>
        </is>
      </c>
      <c r="G294" t="inlineStr">
        <is>
          <t>HÄRNÖSAND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46255</v>
      </c>
      <c r="F295" t="inlineStr">
        <is>
          <t>VÄSTERNORRLANDS LÄN</t>
        </is>
      </c>
      <c r="G295" t="inlineStr">
        <is>
          <t>HÄRNÖSAND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45749</v>
      </c>
      <c r="E296" s="1" t="n">
        <v>46255</v>
      </c>
      <c r="F296" t="inlineStr">
        <is>
          <t>VÄSTERNORRLANDS LÄN</t>
        </is>
      </c>
      <c r="G296" t="inlineStr">
        <is>
          <t>HÄRNÖSAND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44603</v>
      </c>
      <c r="E297" s="1" t="n">
        <v>46255</v>
      </c>
      <c r="F297" t="inlineStr">
        <is>
          <t>VÄSTERNORRLANDS LÄN</t>
        </is>
      </c>
      <c r="G297" t="inlineStr">
        <is>
          <t>HÄRNÖSAND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47702-2021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44448</v>
      </c>
      <c r="E298" s="1" t="n">
        <v>46255</v>
      </c>
      <c r="F298" t="inlineStr">
        <is>
          <t>VÄSTERNORRLANDS LÄN</t>
        </is>
      </c>
      <c r="G298" t="inlineStr">
        <is>
          <t>HÄRNÖSAND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45044</v>
      </c>
      <c r="E299" s="1" t="n">
        <v>46255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45793</v>
      </c>
      <c r="E300" s="1" t="n">
        <v>46255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46255</v>
      </c>
      <c r="F301" t="inlineStr">
        <is>
          <t>VÄSTERNORRLANDS LÄN</t>
        </is>
      </c>
      <c r="G301" t="inlineStr">
        <is>
          <t>HÄRNÖSAND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46255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46255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46255</v>
      </c>
      <c r="F304" t="inlineStr">
        <is>
          <t>VÄSTERNORRLANDS LÄN</t>
        </is>
      </c>
      <c r="G304" t="inlineStr">
        <is>
          <t>HÄRNÖSAND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46255</v>
      </c>
      <c r="F305" t="inlineStr">
        <is>
          <t>VÄSTERNORRLANDS LÄN</t>
        </is>
      </c>
      <c r="G305" t="inlineStr">
        <is>
          <t>HÄRNÖSAND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46255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46255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46255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46255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46273-2021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44442</v>
      </c>
      <c r="E310" s="1" t="n">
        <v>46255</v>
      </c>
      <c r="F310" t="inlineStr">
        <is>
          <t>VÄSTERNORRLANDS LÄN</t>
        </is>
      </c>
      <c r="G310" t="inlineStr">
        <is>
          <t>HÄRNÖSAND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46255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46255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46255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46255</v>
      </c>
      <c r="F314" t="inlineStr">
        <is>
          <t>VÄSTERNORRLANDS LÄN</t>
        </is>
      </c>
      <c r="G314" t="inlineStr">
        <is>
          <t>HÄRNÖSAND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44596</v>
      </c>
      <c r="E315" s="1" t="n">
        <v>46255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Övriga statliga verk och myndigheter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46255</v>
      </c>
      <c r="F316" t="inlineStr">
        <is>
          <t>VÄSTERNORRLANDS LÄN</t>
        </is>
      </c>
      <c r="G316" t="inlineStr">
        <is>
          <t>HÄRNÖSAND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46255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46255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46255</v>
      </c>
      <c r="F319" t="inlineStr">
        <is>
          <t>VÄSTERNORRLANDS LÄN</t>
        </is>
      </c>
      <c r="G319" t="inlineStr">
        <is>
          <t>HÄRNÖSAND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46255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46255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46255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16.2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46255</v>
      </c>
      <c r="F323" t="inlineStr">
        <is>
          <t>VÄSTERNORRLANDS LÄN</t>
        </is>
      </c>
      <c r="G323" t="inlineStr">
        <is>
          <t>HÄRNÖSAND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46255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46255</v>
      </c>
      <c r="F325" t="inlineStr">
        <is>
          <t>VÄSTERNORRLANDS LÄN</t>
        </is>
      </c>
      <c r="G325" t="inlineStr">
        <is>
          <t>HÄRNÖSAND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46255</v>
      </c>
      <c r="F326" t="inlineStr">
        <is>
          <t>VÄSTERNORRLANDS LÄN</t>
        </is>
      </c>
      <c r="G326" t="inlineStr">
        <is>
          <t>HÄRNÖSAND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46255</v>
      </c>
      <c r="F327" t="inlineStr">
        <is>
          <t>VÄSTERNORRLANDS LÄN</t>
        </is>
      </c>
      <c r="G327" t="inlineStr">
        <is>
          <t>HÄRNÖSAND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46255</v>
      </c>
      <c r="F328" t="inlineStr">
        <is>
          <t>VÄSTERNORRLANDS LÄN</t>
        </is>
      </c>
      <c r="G328" t="inlineStr">
        <is>
          <t>HÄRNÖSAND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46255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46255</v>
      </c>
      <c r="F330" t="inlineStr">
        <is>
          <t>VÄSTERNORRLANDS LÄN</t>
        </is>
      </c>
      <c r="G330" t="inlineStr">
        <is>
          <t>HÄRNÖSAND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46255</v>
      </c>
      <c r="F331" t="inlineStr">
        <is>
          <t>VÄSTERNORRLANDS LÄN</t>
        </is>
      </c>
      <c r="G331" t="inlineStr">
        <is>
          <t>HÄRNÖSAND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45723</v>
      </c>
      <c r="E332" s="1" t="n">
        <v>46255</v>
      </c>
      <c r="F332" t="inlineStr">
        <is>
          <t>VÄSTERNORRLANDS LÄN</t>
        </is>
      </c>
      <c r="G332" t="inlineStr">
        <is>
          <t>HÄRNÖSAND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46107</v>
      </c>
      <c r="E333" s="1" t="n">
        <v>46255</v>
      </c>
      <c r="F333" t="inlineStr">
        <is>
          <t>VÄSTERNORRLANDS LÄN</t>
        </is>
      </c>
      <c r="G333" t="inlineStr">
        <is>
          <t>HÄRNÖSAND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46255</v>
      </c>
      <c r="F334" t="inlineStr">
        <is>
          <t>VÄSTERNORRLANDS LÄN</t>
        </is>
      </c>
      <c r="G334" t="inlineStr">
        <is>
          <t>HÄRNÖSAND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46255</v>
      </c>
      <c r="F335" t="inlineStr">
        <is>
          <t>VÄSTERNORRLANDS LÄN</t>
        </is>
      </c>
      <c r="G335" t="inlineStr">
        <is>
          <t>HÄRNÖSAND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45562</v>
      </c>
      <c r="E336" s="1" t="n">
        <v>46255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46255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44991</v>
      </c>
      <c r="E338" s="1" t="n">
        <v>46255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46255</v>
      </c>
      <c r="F339" t="inlineStr">
        <is>
          <t>VÄSTERNORRLANDS LÄN</t>
        </is>
      </c>
      <c r="G339" t="inlineStr">
        <is>
          <t>HÄRNÖSAND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46255</v>
      </c>
      <c r="F340" t="inlineStr">
        <is>
          <t>VÄSTERNORRLANDS LÄN</t>
        </is>
      </c>
      <c r="G340" t="inlineStr">
        <is>
          <t>HÄRNÖSAND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46255</v>
      </c>
      <c r="F341" t="inlineStr">
        <is>
          <t>VÄSTERNORRLANDS LÄN</t>
        </is>
      </c>
      <c r="G341" t="inlineStr">
        <is>
          <t>HÄRNÖSAND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46255</v>
      </c>
      <c r="F342" t="inlineStr">
        <is>
          <t>VÄSTERNORRLANDS LÄN</t>
        </is>
      </c>
      <c r="G342" t="inlineStr">
        <is>
          <t>HÄRNÖSAND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46255</v>
      </c>
      <c r="F343" t="inlineStr">
        <is>
          <t>VÄSTERNORRLANDS LÄN</t>
        </is>
      </c>
      <c r="G343" t="inlineStr">
        <is>
          <t>HÄRNÖSAND</t>
        </is>
      </c>
      <c r="I343" t="n">
        <v>12.5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45293</v>
      </c>
      <c r="E344" s="1" t="n">
        <v>46255</v>
      </c>
      <c r="F344" t="inlineStr">
        <is>
          <t>VÄSTERNORRLANDS LÄN</t>
        </is>
      </c>
      <c r="G344" t="inlineStr">
        <is>
          <t>HÄRNÖSAND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61574-2021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44497</v>
      </c>
      <c r="E345" s="1" t="n">
        <v>46255</v>
      </c>
      <c r="F345" t="inlineStr">
        <is>
          <t>VÄSTERNORRLANDS LÄN</t>
        </is>
      </c>
      <c r="G345" t="inlineStr">
        <is>
          <t>HÄRNÖSAND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45329</v>
      </c>
      <c r="E346" s="1" t="n">
        <v>46255</v>
      </c>
      <c r="F346" t="inlineStr">
        <is>
          <t>VÄSTERNORRLANDS LÄN</t>
        </is>
      </c>
      <c r="G346" t="inlineStr">
        <is>
          <t>HÄRNÖSAND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46255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46319-2022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44847</v>
      </c>
      <c r="E348" s="1" t="n">
        <v>46255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Kyrkan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45352</v>
      </c>
      <c r="E349" s="1" t="n">
        <v>46255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46255</v>
      </c>
      <c r="F350" t="inlineStr">
        <is>
          <t>VÄSTERNORRLANDS LÄN</t>
        </is>
      </c>
      <c r="G350" t="inlineStr">
        <is>
          <t>HÄRNÖSAND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46255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46255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46013</v>
      </c>
      <c r="E353" s="1" t="n">
        <v>46255</v>
      </c>
      <c r="F353" t="inlineStr">
        <is>
          <t>VÄSTERNORRLANDS LÄN</t>
        </is>
      </c>
      <c r="G353" t="inlineStr">
        <is>
          <t>HÄRNÖSAND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46255</v>
      </c>
      <c r="F354" t="inlineStr">
        <is>
          <t>VÄSTERNORRLANDS LÄN</t>
        </is>
      </c>
      <c r="G354" t="inlineStr">
        <is>
          <t>HÄRNÖSAND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46255</v>
      </c>
      <c r="F355" t="inlineStr">
        <is>
          <t>VÄSTERNORRLANDS LÄN</t>
        </is>
      </c>
      <c r="G355" t="inlineStr">
        <is>
          <t>HÄRNÖSAND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46023</v>
      </c>
      <c r="E356" s="1" t="n">
        <v>46255</v>
      </c>
      <c r="F356" t="inlineStr">
        <is>
          <t>VÄSTERNORRLANDS LÄN</t>
        </is>
      </c>
      <c r="G356" t="inlineStr">
        <is>
          <t>HÄRNÖSAND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46255</v>
      </c>
      <c r="F357" t="inlineStr">
        <is>
          <t>VÄSTERNORRLANDS LÄN</t>
        </is>
      </c>
      <c r="G357" t="inlineStr">
        <is>
          <t>HÄRNÖSAND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46255</v>
      </c>
      <c r="F358" t="inlineStr">
        <is>
          <t>VÄSTERNORRLANDS LÄN</t>
        </is>
      </c>
      <c r="G358" t="inlineStr">
        <is>
          <t>HÄRNÖSAND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46255</v>
      </c>
      <c r="F359" t="inlineStr">
        <is>
          <t>VÄSTERNORRLANDS LÄN</t>
        </is>
      </c>
      <c r="G359" t="inlineStr">
        <is>
          <t>HÄRNÖSAND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46023</v>
      </c>
      <c r="E360" s="1" t="n">
        <v>46255</v>
      </c>
      <c r="F360" t="inlineStr">
        <is>
          <t>VÄSTERNORRLANDS LÄN</t>
        </is>
      </c>
      <c r="G360" t="inlineStr">
        <is>
          <t>HÄRNÖSAND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46255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45409</v>
      </c>
      <c r="E362" s="1" t="n">
        <v>46255</v>
      </c>
      <c r="F362" t="inlineStr">
        <is>
          <t>VÄSTERNORRLANDS LÄN</t>
        </is>
      </c>
      <c r="G362" t="inlineStr">
        <is>
          <t>HÄRNÖSAND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46026</v>
      </c>
      <c r="E363" s="1" t="n">
        <v>46255</v>
      </c>
      <c r="F363" t="inlineStr">
        <is>
          <t>VÄSTERNORRLANDS LÄN</t>
        </is>
      </c>
      <c r="G363" t="inlineStr">
        <is>
          <t>HÄRNÖSAND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46029</v>
      </c>
      <c r="E364" s="1" t="n">
        <v>46255</v>
      </c>
      <c r="F364" t="inlineStr">
        <is>
          <t>VÄSTERNORRLANDS LÄN</t>
        </is>
      </c>
      <c r="G364" t="inlineStr">
        <is>
          <t>HÄRNÖSAND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46255</v>
      </c>
      <c r="F365" t="inlineStr">
        <is>
          <t>VÄSTERNORRLANDS LÄN</t>
        </is>
      </c>
      <c r="G365" t="inlineStr">
        <is>
          <t>HÄRNÖSAND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46255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44819</v>
      </c>
      <c r="E367" s="1" t="n">
        <v>46255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64023-2023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45278</v>
      </c>
      <c r="E368" s="1" t="n">
        <v>46255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46255</v>
      </c>
      <c r="F369" t="inlineStr">
        <is>
          <t>VÄSTERNORRLANDS LÄN</t>
        </is>
      </c>
      <c r="G369" t="inlineStr">
        <is>
          <t>HÄRNÖSAND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46255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46255</v>
      </c>
      <c r="F371" t="inlineStr">
        <is>
          <t>VÄSTERNORRLANDS LÄN</t>
        </is>
      </c>
      <c r="G371" t="inlineStr">
        <is>
          <t>HÄRNÖSAND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46255</v>
      </c>
      <c r="F372" t="inlineStr">
        <is>
          <t>VÄSTERNORRLANDS LÄN</t>
        </is>
      </c>
      <c r="G372" t="inlineStr">
        <is>
          <t>HÄRNÖSAND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46255</v>
      </c>
      <c r="F373" t="inlineStr">
        <is>
          <t>VÄSTERNORRLANDS LÄN</t>
        </is>
      </c>
      <c r="G373" t="inlineStr">
        <is>
          <t>HÄRNÖSAND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46255</v>
      </c>
      <c r="F374" t="inlineStr">
        <is>
          <t>VÄSTERNORRLANDS LÄN</t>
        </is>
      </c>
      <c r="G374" t="inlineStr">
        <is>
          <t>HÄRNÖSAND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46255</v>
      </c>
      <c r="F375" t="inlineStr">
        <is>
          <t>VÄSTERNORRLANDS LÄN</t>
        </is>
      </c>
      <c r="G375" t="inlineStr">
        <is>
          <t>HÄRNÖSAND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46126</v>
      </c>
      <c r="E376" s="1" t="n">
        <v>46255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31.9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46255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46255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34161-2022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44791</v>
      </c>
      <c r="E379" s="1" t="n">
        <v>46255</v>
      </c>
      <c r="F379" t="inlineStr">
        <is>
          <t>VÄSTERNORRLANDS LÄN</t>
        </is>
      </c>
      <c r="G379" t="inlineStr">
        <is>
          <t>HÄRNÖSAND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46255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45418</v>
      </c>
      <c r="E381" s="1" t="n">
        <v>46255</v>
      </c>
      <c r="F381" t="inlineStr">
        <is>
          <t>VÄSTERNORRLANDS LÄN</t>
        </is>
      </c>
      <c r="G381" t="inlineStr">
        <is>
          <t>HÄRNÖSAND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46038</v>
      </c>
      <c r="E382" s="1" t="n">
        <v>46255</v>
      </c>
      <c r="F382" t="inlineStr">
        <is>
          <t>VÄSTERNORRLANDS LÄN</t>
        </is>
      </c>
      <c r="G382" t="inlineStr">
        <is>
          <t>HÄRNÖSAND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46255</v>
      </c>
      <c r="F383" t="inlineStr">
        <is>
          <t>VÄSTERNORRLANDS LÄN</t>
        </is>
      </c>
      <c r="G383" t="inlineStr">
        <is>
          <t>HÄRNÖSAND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62333-2021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44502</v>
      </c>
      <c r="E384" s="1" t="n">
        <v>46255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45126</v>
      </c>
      <c r="E385" s="1" t="n">
        <v>46255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45228</v>
      </c>
      <c r="E386" s="1" t="n">
        <v>46255</v>
      </c>
      <c r="F386" t="inlineStr">
        <is>
          <t>VÄSTERNORRLANDS LÄN</t>
        </is>
      </c>
      <c r="G386" t="inlineStr">
        <is>
          <t>HÄRNÖSAND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45161</v>
      </c>
      <c r="E387" s="1" t="n">
        <v>46255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13605-2024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45390</v>
      </c>
      <c r="E388" s="1" t="n">
        <v>46255</v>
      </c>
      <c r="F388" t="inlineStr">
        <is>
          <t>VÄSTERNORRLANDS LÄN</t>
        </is>
      </c>
      <c r="G388" t="inlineStr">
        <is>
          <t>HÄRNÖSAND</t>
        </is>
      </c>
      <c r="I388" t="n">
        <v>14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46255</v>
      </c>
      <c r="F389" t="inlineStr">
        <is>
          <t>VÄSTERNORRLANDS LÄN</t>
        </is>
      </c>
      <c r="G389" t="inlineStr">
        <is>
          <t>HÄRNÖSAND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46255</v>
      </c>
      <c r="F390" t="inlineStr">
        <is>
          <t>VÄSTERNORRLANDS LÄN</t>
        </is>
      </c>
      <c r="G390" t="inlineStr">
        <is>
          <t>HÄRNÖSAND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45173</v>
      </c>
      <c r="E391" s="1" t="n">
        <v>46255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6833-2024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45342</v>
      </c>
      <c r="E392" s="1" t="n">
        <v>46255</v>
      </c>
      <c r="F392" t="inlineStr">
        <is>
          <t>VÄSTERNORRLANDS LÄN</t>
        </is>
      </c>
      <c r="G392" t="inlineStr">
        <is>
          <t>HÄRNÖSAND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60970-2021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44496</v>
      </c>
      <c r="E393" s="1" t="n">
        <v>46255</v>
      </c>
      <c r="F393" t="inlineStr">
        <is>
          <t>VÄSTERNORRLANDS LÄN</t>
        </is>
      </c>
      <c r="G393" t="inlineStr">
        <is>
          <t>HÄRNÖSAND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46255</v>
      </c>
      <c r="F394" t="inlineStr">
        <is>
          <t>VÄSTERNORRLANDS LÄN</t>
        </is>
      </c>
      <c r="G394" t="inlineStr">
        <is>
          <t>HÄRNÖSAND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46255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45405</v>
      </c>
      <c r="E396" s="1" t="n">
        <v>46255</v>
      </c>
      <c r="F396" t="inlineStr">
        <is>
          <t>VÄSTERNORRLANDS LÄN</t>
        </is>
      </c>
      <c r="G396" t="inlineStr">
        <is>
          <t>HÄRNÖSAND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46255</v>
      </c>
      <c r="F397" t="inlineStr">
        <is>
          <t>VÄSTERNORRLANDS LÄN</t>
        </is>
      </c>
      <c r="G397" t="inlineStr">
        <is>
          <t>HÄRNÖSAND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46255</v>
      </c>
      <c r="F398" t="inlineStr">
        <is>
          <t>VÄSTERNORRLANDS LÄN</t>
        </is>
      </c>
      <c r="G398" t="inlineStr">
        <is>
          <t>HÄRNÖSAND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46255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46255</v>
      </c>
      <c r="F400" t="inlineStr">
        <is>
          <t>VÄSTERNORRLANDS LÄN</t>
        </is>
      </c>
      <c r="G400" t="inlineStr">
        <is>
          <t>HÄRNÖSAND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46255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46054</v>
      </c>
      <c r="E402" s="1" t="n">
        <v>46255</v>
      </c>
      <c r="F402" t="inlineStr">
        <is>
          <t>VÄSTERNORRLANDS LÄN</t>
        </is>
      </c>
      <c r="G402" t="inlineStr">
        <is>
          <t>HÄRNÖSAND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46255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46255</v>
      </c>
      <c r="F404" t="inlineStr">
        <is>
          <t>VÄSTERNORRLANDS LÄN</t>
        </is>
      </c>
      <c r="G404" t="inlineStr">
        <is>
          <t>HÄRNÖSAND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45409</v>
      </c>
      <c r="E405" s="1" t="n">
        <v>46255</v>
      </c>
      <c r="F405" t="inlineStr">
        <is>
          <t>VÄSTERNORRLANDS LÄN</t>
        </is>
      </c>
      <c r="G405" t="inlineStr">
        <is>
          <t>HÄRNÖSAND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46255</v>
      </c>
      <c r="F406" t="inlineStr">
        <is>
          <t>VÄSTERNORRLANDS LÄN</t>
        </is>
      </c>
      <c r="G406" t="inlineStr">
        <is>
          <t>HÄRNÖSAND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45628</v>
      </c>
      <c r="E407" s="1" t="n">
        <v>46255</v>
      </c>
      <c r="F407" t="inlineStr">
        <is>
          <t>VÄSTERNORRLANDS LÄN</t>
        </is>
      </c>
      <c r="G407" t="inlineStr">
        <is>
          <t>HÄRNÖSAND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12750-2022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44641</v>
      </c>
      <c r="E408" s="1" t="n">
        <v>46255</v>
      </c>
      <c r="F408" t="inlineStr">
        <is>
          <t>VÄSTERNORRLANDS LÄN</t>
        </is>
      </c>
      <c r="G408" t="inlineStr">
        <is>
          <t>HÄRNÖSAND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46255</v>
      </c>
      <c r="F409" t="inlineStr">
        <is>
          <t>VÄSTERNORRLANDS LÄN</t>
        </is>
      </c>
      <c r="G409" t="inlineStr">
        <is>
          <t>HÄRNÖSAND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46255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46255</v>
      </c>
      <c r="F411" t="inlineStr">
        <is>
          <t>VÄSTERNORRLANDS LÄN</t>
        </is>
      </c>
      <c r="G411" t="inlineStr">
        <is>
          <t>HÄRNÖSAND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45904</v>
      </c>
      <c r="E412" s="1" t="n">
        <v>46255</v>
      </c>
      <c r="F412" t="inlineStr">
        <is>
          <t>VÄSTERNORRLANDS LÄN</t>
        </is>
      </c>
      <c r="G412" t="inlineStr">
        <is>
          <t>HÄRNÖSAND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45147</v>
      </c>
      <c r="E413" s="1" t="n">
        <v>46255</v>
      </c>
      <c r="F413" t="inlineStr">
        <is>
          <t>VÄSTERNORRLANDS LÄN</t>
        </is>
      </c>
      <c r="G413" t="inlineStr">
        <is>
          <t>HÄRNÖSAND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49346-2024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46255</v>
      </c>
      <c r="F414" t="inlineStr">
        <is>
          <t>VÄSTERNORRLANDS LÄN</t>
        </is>
      </c>
      <c r="G414" t="inlineStr">
        <is>
          <t>HÄRNÖSAND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46255</v>
      </c>
      <c r="F415" t="inlineStr">
        <is>
          <t>VÄSTERNORRLANDS LÄN</t>
        </is>
      </c>
      <c r="G415" t="inlineStr">
        <is>
          <t>HÄRNÖSAND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54091-2024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45616</v>
      </c>
      <c r="E416" s="1" t="n">
        <v>46255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45526</v>
      </c>
      <c r="E417" s="1" t="n">
        <v>46255</v>
      </c>
      <c r="F417" t="inlineStr">
        <is>
          <t>VÄSTERNORRLANDS LÄN</t>
        </is>
      </c>
      <c r="G417" t="inlineStr">
        <is>
          <t>HÄRNÖSAND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46255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16979-2022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44676</v>
      </c>
      <c r="E419" s="1" t="n">
        <v>46255</v>
      </c>
      <c r="F419" t="inlineStr">
        <is>
          <t>VÄSTERNORRLANDS LÄN</t>
        </is>
      </c>
      <c r="G419" t="inlineStr">
        <is>
          <t>HÄRNÖSAND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44694</v>
      </c>
      <c r="E420" s="1" t="n">
        <v>46255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54560-2024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46255</v>
      </c>
      <c r="F421" t="inlineStr">
        <is>
          <t>VÄSTERNORRLANDS LÄN</t>
        </is>
      </c>
      <c r="G421" t="inlineStr">
        <is>
          <t>HÄRNÖSAND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46255</v>
      </c>
      <c r="F422" t="inlineStr">
        <is>
          <t>VÄSTERNORRLANDS LÄN</t>
        </is>
      </c>
      <c r="G422" t="inlineStr">
        <is>
          <t>HÄRNÖSAND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44617</v>
      </c>
      <c r="E423" s="1" t="n">
        <v>46255</v>
      </c>
      <c r="F423" t="inlineStr">
        <is>
          <t>VÄSTERNORRLANDS LÄN</t>
        </is>
      </c>
      <c r="G423" t="inlineStr">
        <is>
          <t>HÄRNÖSAND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45428</v>
      </c>
      <c r="E424" s="1" t="n">
        <v>46255</v>
      </c>
      <c r="F424" t="inlineStr">
        <is>
          <t>VÄSTERNORRLANDS LÄN</t>
        </is>
      </c>
      <c r="G424" t="inlineStr">
        <is>
          <t>HÄRNÖSAND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46255</v>
      </c>
      <c r="F425" t="inlineStr">
        <is>
          <t>VÄSTERNORRLANDS LÄN</t>
        </is>
      </c>
      <c r="G425" t="inlineStr">
        <is>
          <t>HÄRNÖSAND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36496-2023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45152</v>
      </c>
      <c r="E426" s="1" t="n">
        <v>46255</v>
      </c>
      <c r="F426" t="inlineStr">
        <is>
          <t>VÄSTERNORRLANDS LÄN</t>
        </is>
      </c>
      <c r="G426" t="inlineStr">
        <is>
          <t>HÄRNÖSAND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44858</v>
      </c>
      <c r="E427" s="1" t="n">
        <v>46255</v>
      </c>
      <c r="F427" t="inlineStr">
        <is>
          <t>VÄSTERNORRLANDS LÄN</t>
        </is>
      </c>
      <c r="G427" t="inlineStr">
        <is>
          <t>HÄRNÖSAND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46255</v>
      </c>
      <c r="F428" t="inlineStr">
        <is>
          <t>VÄSTERNORRLANDS LÄN</t>
        </is>
      </c>
      <c r="G428" t="inlineStr">
        <is>
          <t>HÄRNÖSAND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46255</v>
      </c>
      <c r="F429" t="inlineStr">
        <is>
          <t>VÄSTERNORRLANDS LÄN</t>
        </is>
      </c>
      <c r="G429" t="inlineStr">
        <is>
          <t>HÄRNÖSAND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44706</v>
      </c>
      <c r="E430" s="1" t="n">
        <v>46255</v>
      </c>
      <c r="F430" t="inlineStr">
        <is>
          <t>VÄSTERNORRLANDS LÄN</t>
        </is>
      </c>
      <c r="G430" t="inlineStr">
        <is>
          <t>HÄRNÖSAND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44728</v>
      </c>
      <c r="E431" s="1" t="n">
        <v>46255</v>
      </c>
      <c r="F431" t="inlineStr">
        <is>
          <t>VÄSTERNORRLANDS LÄN</t>
        </is>
      </c>
      <c r="G431" t="inlineStr">
        <is>
          <t>HÄRNÖSAND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46255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46255</v>
      </c>
      <c r="F433" t="inlineStr">
        <is>
          <t>VÄSTERNORRLANDS LÄN</t>
        </is>
      </c>
      <c r="G433" t="inlineStr">
        <is>
          <t>HÄRNÖSAND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46255</v>
      </c>
      <c r="F434" t="inlineStr">
        <is>
          <t>VÄSTERNORRLANDS LÄN</t>
        </is>
      </c>
      <c r="G434" t="inlineStr">
        <is>
          <t>HÄRNÖSAND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38920-2025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45887</v>
      </c>
      <c r="E435" s="1" t="n">
        <v>46255</v>
      </c>
      <c r="F435" t="inlineStr">
        <is>
          <t>VÄSTERNORRLANDS LÄN</t>
        </is>
      </c>
      <c r="G435" t="inlineStr">
        <is>
          <t>HÄRNÖSAND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45181</v>
      </c>
      <c r="E436" s="1" t="n">
        <v>46255</v>
      </c>
      <c r="F436" t="inlineStr">
        <is>
          <t>VÄSTERNORRLANDS LÄN</t>
        </is>
      </c>
      <c r="G436" t="inlineStr">
        <is>
          <t>HÄRNÖSAND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44728</v>
      </c>
      <c r="E437" s="1" t="n">
        <v>46255</v>
      </c>
      <c r="F437" t="inlineStr">
        <is>
          <t>VÄSTERNORRLANDS LÄN</t>
        </is>
      </c>
      <c r="G437" t="inlineStr">
        <is>
          <t>HÄRNÖSAND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46255</v>
      </c>
      <c r="F438" t="inlineStr">
        <is>
          <t>VÄSTERNORRLANDS LÄN</t>
        </is>
      </c>
      <c r="G438" t="inlineStr">
        <is>
          <t>HÄRNÖSAND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45189</v>
      </c>
      <c r="E439" s="1" t="n">
        <v>46255</v>
      </c>
      <c r="F439" t="inlineStr">
        <is>
          <t>VÄSTERNORRLANDS LÄN</t>
        </is>
      </c>
      <c r="G439" t="inlineStr">
        <is>
          <t>HÄRNÖSAND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46024</v>
      </c>
      <c r="E440" s="1" t="n">
        <v>46255</v>
      </c>
      <c r="F440" t="inlineStr">
        <is>
          <t>VÄSTERNORRLANDS LÄN</t>
        </is>
      </c>
      <c r="G440" t="inlineStr">
        <is>
          <t>HÄRNÖSAND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46255</v>
      </c>
      <c r="F441" t="inlineStr">
        <is>
          <t>VÄSTERNORRLANDS LÄN</t>
        </is>
      </c>
      <c r="G441" t="inlineStr">
        <is>
          <t>HÄRNÖSAND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46255</v>
      </c>
      <c r="F442" t="inlineStr">
        <is>
          <t>VÄSTERNORRLANDS LÄN</t>
        </is>
      </c>
      <c r="G442" t="inlineStr">
        <is>
          <t>HÄRNÖSAND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46255</v>
      </c>
      <c r="F443" t="inlineStr">
        <is>
          <t>VÄSTERNORRLANDS LÄN</t>
        </is>
      </c>
      <c r="G443" t="inlineStr">
        <is>
          <t>HÄRNÖSAND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46255</v>
      </c>
      <c r="F444" t="inlineStr">
        <is>
          <t>VÄSTERNORRLANDS LÄN</t>
        </is>
      </c>
      <c r="G444" t="inlineStr">
        <is>
          <t>HÄRNÖSAND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44726</v>
      </c>
      <c r="E445" s="1" t="n">
        <v>46255</v>
      </c>
      <c r="F445" t="inlineStr">
        <is>
          <t>VÄSTERNORRLANDS LÄN</t>
        </is>
      </c>
      <c r="G445" t="inlineStr">
        <is>
          <t>HÄRNÖSAND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45723</v>
      </c>
      <c r="E446" s="1" t="n">
        <v>46255</v>
      </c>
      <c r="F446" t="inlineStr">
        <is>
          <t>VÄSTERNORRLANDS LÄN</t>
        </is>
      </c>
      <c r="G446" t="inlineStr">
        <is>
          <t>HÄRNÖSAND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46150</v>
      </c>
      <c r="E447" s="1" t="n">
        <v>46255</v>
      </c>
      <c r="F447" t="inlineStr">
        <is>
          <t>VÄSTERNORRLANDS LÄN</t>
        </is>
      </c>
      <c r="G447" t="inlineStr">
        <is>
          <t>HÄRNÖSAND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46255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46255</v>
      </c>
      <c r="F449" t="inlineStr">
        <is>
          <t>VÄSTERNORRLANDS LÄN</t>
        </is>
      </c>
      <c r="G449" t="inlineStr">
        <is>
          <t>HÄRNÖSAND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46255</v>
      </c>
      <c r="F450" t="inlineStr">
        <is>
          <t>VÄSTERNORRLANDS LÄN</t>
        </is>
      </c>
      <c r="G450" t="inlineStr">
        <is>
          <t>HÄRNÖSAND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45350</v>
      </c>
      <c r="E451" s="1" t="n">
        <v>46255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46255</v>
      </c>
      <c r="F452" t="inlineStr">
        <is>
          <t>VÄSTERNORRLANDS LÄN</t>
        </is>
      </c>
      <c r="G452" t="inlineStr">
        <is>
          <t>HÄRNÖSAND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45293</v>
      </c>
      <c r="E453" s="1" t="n">
        <v>46255</v>
      </c>
      <c r="F453" t="inlineStr">
        <is>
          <t>VÄSTERNORRLANDS LÄN</t>
        </is>
      </c>
      <c r="G453" t="inlineStr">
        <is>
          <t>HÄRNÖSAND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45320</v>
      </c>
      <c r="E454" s="1" t="n">
        <v>46255</v>
      </c>
      <c r="F454" t="inlineStr">
        <is>
          <t>VÄSTERNORRLANDS LÄN</t>
        </is>
      </c>
      <c r="G454" t="inlineStr">
        <is>
          <t>HÄRNÖSAND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46255</v>
      </c>
      <c r="F455" t="inlineStr">
        <is>
          <t>VÄSTERNORRLANDS LÄN</t>
        </is>
      </c>
      <c r="G455" t="inlineStr">
        <is>
          <t>HÄRNÖSAND</t>
        </is>
      </c>
      <c r="I455" t="n">
        <v>16.7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55276-2023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46255</v>
      </c>
      <c r="F456" t="inlineStr">
        <is>
          <t>VÄSTERNORRLANDS LÄN</t>
        </is>
      </c>
      <c r="G456" t="inlineStr">
        <is>
          <t>HÄRNÖSAND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44747</v>
      </c>
      <c r="E457" s="1" t="n">
        <v>46255</v>
      </c>
      <c r="F457" t="inlineStr">
        <is>
          <t>VÄSTERNORRLANDS LÄN</t>
        </is>
      </c>
      <c r="G457" t="inlineStr">
        <is>
          <t>HÄRNÖSAND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45348</v>
      </c>
      <c r="E458" s="1" t="n">
        <v>46255</v>
      </c>
      <c r="F458" t="inlineStr">
        <is>
          <t>VÄSTERNORRLANDS LÄN</t>
        </is>
      </c>
      <c r="G458" t="inlineStr">
        <is>
          <t>HÄRNÖSAND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45072</v>
      </c>
      <c r="E459" s="1" t="n">
        <v>46255</v>
      </c>
      <c r="F459" t="inlineStr">
        <is>
          <t>VÄSTERNORRLANDS LÄN</t>
        </is>
      </c>
      <c r="G459" t="inlineStr">
        <is>
          <t>HÄRNÖSAND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45313</v>
      </c>
      <c r="E460" s="1" t="n">
        <v>46255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45366</v>
      </c>
      <c r="E461" s="1" t="n">
        <v>46255</v>
      </c>
      <c r="F461" t="inlineStr">
        <is>
          <t>VÄSTERNORRLANDS LÄN</t>
        </is>
      </c>
      <c r="G461" t="inlineStr">
        <is>
          <t>HÄRNÖSAND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46255</v>
      </c>
      <c r="F462" t="inlineStr">
        <is>
          <t>VÄSTERNORRLANDS LÄN</t>
        </is>
      </c>
      <c r="G462" t="inlineStr">
        <is>
          <t>HÄRNÖSAND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47944-2022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44853</v>
      </c>
      <c r="E463" s="1" t="n">
        <v>46255</v>
      </c>
      <c r="F463" t="inlineStr">
        <is>
          <t>VÄSTERNORRLANDS LÄN</t>
        </is>
      </c>
      <c r="G463" t="inlineStr">
        <is>
          <t>HÄRNÖSAND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47224-2025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46255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46255</v>
      </c>
      <c r="F465" t="inlineStr">
        <is>
          <t>VÄSTERNORRLANDS LÄN</t>
        </is>
      </c>
      <c r="G465" t="inlineStr">
        <is>
          <t>HÄRNÖSAND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45749</v>
      </c>
      <c r="E466" s="1" t="n">
        <v>46255</v>
      </c>
      <c r="F466" t="inlineStr">
        <is>
          <t>VÄSTERNORRLANDS LÄN</t>
        </is>
      </c>
      <c r="G466" t="inlineStr">
        <is>
          <t>HÄRNÖSAND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45757</v>
      </c>
      <c r="E467" s="1" t="n">
        <v>46255</v>
      </c>
      <c r="F467" t="inlineStr">
        <is>
          <t>VÄSTERNORRLANDS LÄN</t>
        </is>
      </c>
      <c r="G467" t="inlineStr">
        <is>
          <t>HÄRNÖSAND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46255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46255</v>
      </c>
      <c r="F469" t="inlineStr">
        <is>
          <t>VÄSTERNORRLANDS LÄN</t>
        </is>
      </c>
      <c r="G469" t="inlineStr">
        <is>
          <t>HÄRNÖSAND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45832</v>
      </c>
      <c r="E470" s="1" t="n">
        <v>46255</v>
      </c>
      <c r="F470" t="inlineStr">
        <is>
          <t>VÄSTERNORRLANDS LÄN</t>
        </is>
      </c>
      <c r="G470" t="inlineStr">
        <is>
          <t>HÄRNÖSAND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46255</v>
      </c>
      <c r="F471" t="inlineStr">
        <is>
          <t>VÄSTERNORRLANDS LÄN</t>
        </is>
      </c>
      <c r="G471" t="inlineStr">
        <is>
          <t>HÄRNÖSAND</t>
        </is>
      </c>
      <c r="I471" t="n">
        <v>9.199999999999999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46255</v>
      </c>
      <c r="F472" t="inlineStr">
        <is>
          <t>VÄSTERNORRLANDS LÄN</t>
        </is>
      </c>
      <c r="G472" t="inlineStr">
        <is>
          <t>HÄRNÖSAND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34513-2022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44792</v>
      </c>
      <c r="E473" s="1" t="n">
        <v>46255</v>
      </c>
      <c r="F473" t="inlineStr">
        <is>
          <t>VÄSTERNORRLANDS LÄN</t>
        </is>
      </c>
      <c r="G473" t="inlineStr">
        <is>
          <t>HÄRNÖSAND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46255</v>
      </c>
      <c r="F474" t="inlineStr">
        <is>
          <t>VÄSTERNORRLANDS LÄN</t>
        </is>
      </c>
      <c r="G474" t="inlineStr">
        <is>
          <t>HÄRNÖSAND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45496</v>
      </c>
      <c r="E475" s="1" t="n">
        <v>46255</v>
      </c>
      <c r="F475" t="inlineStr">
        <is>
          <t>VÄSTERNORRLANDS LÄN</t>
        </is>
      </c>
      <c r="G475" t="inlineStr">
        <is>
          <t>HÄRNÖSAND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46255</v>
      </c>
      <c r="F476" t="inlineStr">
        <is>
          <t>VÄSTERNORRLANDS LÄN</t>
        </is>
      </c>
      <c r="G476" t="inlineStr">
        <is>
          <t>HÄRNÖSAND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46255</v>
      </c>
      <c r="F477" t="inlineStr">
        <is>
          <t>VÄSTERNORRLANDS LÄN</t>
        </is>
      </c>
      <c r="G477" t="inlineStr">
        <is>
          <t>HÄRNÖSAND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46255</v>
      </c>
      <c r="F478" t="inlineStr">
        <is>
          <t>VÄSTERNORRLANDS LÄN</t>
        </is>
      </c>
      <c r="G478" t="inlineStr">
        <is>
          <t>HÄRNÖSAND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45352</v>
      </c>
      <c r="E479" s="1" t="n">
        <v>46255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26976-2023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46255</v>
      </c>
      <c r="F480" t="inlineStr">
        <is>
          <t>VÄSTERNORRLANDS LÄN</t>
        </is>
      </c>
      <c r="G480" t="inlineStr">
        <is>
          <t>HÄRNÖSAND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46255</v>
      </c>
      <c r="F481" t="inlineStr">
        <is>
          <t>VÄSTERNORRLANDS LÄN</t>
        </is>
      </c>
      <c r="G481" t="inlineStr">
        <is>
          <t>HÄRNÖSAND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45786</v>
      </c>
      <c r="E482" s="1" t="n">
        <v>46255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31.8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64377-2023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45280</v>
      </c>
      <c r="E483" s="1" t="n">
        <v>46255</v>
      </c>
      <c r="F483" t="inlineStr">
        <is>
          <t>VÄSTERNORRLANDS LÄN</t>
        </is>
      </c>
      <c r="G483" t="inlineStr">
        <is>
          <t>HÄRNÖSAND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46255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46255</v>
      </c>
      <c r="F485" t="inlineStr">
        <is>
          <t>VÄSTERNORRLANDS LÄN</t>
        </is>
      </c>
      <c r="G485" t="inlineStr">
        <is>
          <t>HÄRNÖSAND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22852-2025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45790</v>
      </c>
      <c r="E486" s="1" t="n">
        <v>46255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31.8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46161</v>
      </c>
      <c r="E487" s="1" t="n">
        <v>46255</v>
      </c>
      <c r="F487" t="inlineStr">
        <is>
          <t>VÄSTERNORRLANDS LÄN</t>
        </is>
      </c>
      <c r="G487" t="inlineStr">
        <is>
          <t>HÄRNÖSAND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46255</v>
      </c>
      <c r="F488" t="inlineStr">
        <is>
          <t>VÄSTERNORRLANDS LÄN</t>
        </is>
      </c>
      <c r="G488" t="inlineStr">
        <is>
          <t>HÄRNÖSAND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46255</v>
      </c>
      <c r="F489" t="inlineStr">
        <is>
          <t>VÄSTERNORRLANDS LÄN</t>
        </is>
      </c>
      <c r="G489" t="inlineStr">
        <is>
          <t>HÄRNÖSAND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46255</v>
      </c>
      <c r="F490" t="inlineStr">
        <is>
          <t>VÄSTERNORRLANDS LÄN</t>
        </is>
      </c>
      <c r="G490" t="inlineStr">
        <is>
          <t>HÄRNÖSAND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52987-2022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44875</v>
      </c>
      <c r="E491" s="1" t="n">
        <v>46255</v>
      </c>
      <c r="F491" t="inlineStr">
        <is>
          <t>VÄSTERNORRLANDS LÄN</t>
        </is>
      </c>
      <c r="G491" t="inlineStr">
        <is>
          <t>HÄRNÖSAND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45482</v>
      </c>
      <c r="E492" s="1" t="n">
        <v>46255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46255</v>
      </c>
      <c r="F493" t="inlineStr">
        <is>
          <t>VÄSTERNORRLANDS LÄN</t>
        </is>
      </c>
      <c r="G493" t="inlineStr">
        <is>
          <t>HÄRNÖSAND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46255</v>
      </c>
      <c r="F494" t="inlineStr">
        <is>
          <t>VÄSTERNORRLANDS LÄN</t>
        </is>
      </c>
      <c r="G494" t="inlineStr">
        <is>
          <t>HÄRNÖSAND</t>
        </is>
      </c>
      <c r="I494" t="n">
        <v>12.3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46255</v>
      </c>
      <c r="F495" t="inlineStr">
        <is>
          <t>VÄSTERNORRLANDS LÄN</t>
        </is>
      </c>
      <c r="G495" t="inlineStr">
        <is>
          <t>HÄRNÖSAND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46255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46255</v>
      </c>
      <c r="F497" t="inlineStr">
        <is>
          <t>VÄSTERNORRLANDS LÄN</t>
        </is>
      </c>
      <c r="G497" t="inlineStr">
        <is>
          <t>HÄRNÖSAND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30762-2024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45496</v>
      </c>
      <c r="E498" s="1" t="n">
        <v>46255</v>
      </c>
      <c r="F498" t="inlineStr">
        <is>
          <t>VÄSTERNORRLANDS LÄN</t>
        </is>
      </c>
      <c r="G498" t="inlineStr">
        <is>
          <t>HÄRNÖSAND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46255</v>
      </c>
      <c r="F499" t="inlineStr">
        <is>
          <t>VÄSTERNORRLANDS LÄN</t>
        </is>
      </c>
      <c r="G499" t="inlineStr">
        <is>
          <t>HÄRNÖSAND</t>
        </is>
      </c>
      <c r="I499" t="n">
        <v>13.8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6258-2023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46255</v>
      </c>
      <c r="F500" t="inlineStr">
        <is>
          <t>VÄSTERNORRLANDS LÄN</t>
        </is>
      </c>
      <c r="G500" t="inlineStr">
        <is>
          <t>HÄRNÖSAND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59034-2022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44903</v>
      </c>
      <c r="E501" s="1" t="n">
        <v>46255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44945</v>
      </c>
      <c r="E502" s="1" t="n">
        <v>46255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46255</v>
      </c>
      <c r="F503" t="inlineStr">
        <is>
          <t>VÄSTERNORRLANDS LÄN</t>
        </is>
      </c>
      <c r="G503" t="inlineStr">
        <is>
          <t>HÄRNÖSAND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46255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46255</v>
      </c>
      <c r="F505" t="inlineStr">
        <is>
          <t>VÄSTERNORRLANDS LÄN</t>
        </is>
      </c>
      <c r="G505" t="inlineStr">
        <is>
          <t>HÄRNÖSAND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46213</v>
      </c>
      <c r="E506" s="1" t="n">
        <v>46255</v>
      </c>
      <c r="F506" t="inlineStr">
        <is>
          <t>VÄSTERNORRLANDS LÄN</t>
        </is>
      </c>
      <c r="G506" t="inlineStr">
        <is>
          <t>HÄRNÖSAND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46213</v>
      </c>
      <c r="E507" s="1" t="n">
        <v>46255</v>
      </c>
      <c r="F507" t="inlineStr">
        <is>
          <t>VÄSTERNORRLANDS LÄN</t>
        </is>
      </c>
      <c r="G507" t="inlineStr">
        <is>
          <t>HÄRNÖSAND</t>
        </is>
      </c>
      <c r="I507" t="n">
        <v>13.6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45910</v>
      </c>
      <c r="E508" s="1" t="n">
        <v>46255</v>
      </c>
      <c r="F508" t="inlineStr">
        <is>
          <t>VÄSTERNORRLANDS LÄN</t>
        </is>
      </c>
      <c r="G508" t="inlineStr">
        <is>
          <t>HÄRNÖSAND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11881-2024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45376</v>
      </c>
      <c r="E509" s="1" t="n">
        <v>46255</v>
      </c>
      <c r="F509" t="inlineStr">
        <is>
          <t>VÄSTERNORRLANDS LÄN</t>
        </is>
      </c>
      <c r="G509" t="inlineStr">
        <is>
          <t>HÄRNÖSAND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46213</v>
      </c>
      <c r="E510" s="1" t="n">
        <v>46255</v>
      </c>
      <c r="F510" t="inlineStr">
        <is>
          <t>VÄSTERNORRLANDS LÄN</t>
        </is>
      </c>
      <c r="G510" t="inlineStr">
        <is>
          <t>HÄRNÖSAND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46215</v>
      </c>
      <c r="E511" s="1" t="n">
        <v>46255</v>
      </c>
      <c r="F511" t="inlineStr">
        <is>
          <t>VÄSTERNORRLANDS LÄN</t>
        </is>
      </c>
      <c r="G511" t="inlineStr">
        <is>
          <t>HÄRNÖSAND</t>
        </is>
      </c>
      <c r="I511" t="n">
        <v>12.7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46215</v>
      </c>
      <c r="E512" s="1" t="n">
        <v>46255</v>
      </c>
      <c r="F512" t="inlineStr">
        <is>
          <t>VÄSTERNORRLANDS LÄN</t>
        </is>
      </c>
      <c r="G512" t="inlineStr">
        <is>
          <t>HÄRNÖSAND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46255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46255</v>
      </c>
      <c r="F514" t="inlineStr">
        <is>
          <t>VÄSTERNORRLANDS LÄN</t>
        </is>
      </c>
      <c r="G514" t="inlineStr">
        <is>
          <t>HÄRNÖSAND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46255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46255</v>
      </c>
      <c r="F516" t="inlineStr">
        <is>
          <t>VÄSTERNORRLANDS LÄN</t>
        </is>
      </c>
      <c r="G516" t="inlineStr">
        <is>
          <t>HÄRNÖSAND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56165-2022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44889</v>
      </c>
      <c r="E517" s="1" t="n">
        <v>46255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65224-2023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45289</v>
      </c>
      <c r="E518" s="1" t="n">
        <v>46255</v>
      </c>
      <c r="F518" t="inlineStr">
        <is>
          <t>VÄSTERNORRLANDS LÄN</t>
        </is>
      </c>
      <c r="G518" t="inlineStr">
        <is>
          <t>HÄRNÖSAND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46255</v>
      </c>
      <c r="F519" t="inlineStr">
        <is>
          <t>VÄSTERNORRLANDS LÄN</t>
        </is>
      </c>
      <c r="G519" t="inlineStr">
        <is>
          <t>HÄRNÖSAND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46255</v>
      </c>
      <c r="F520" t="inlineStr">
        <is>
          <t>VÄSTERNORRLANDS LÄN</t>
        </is>
      </c>
      <c r="G520" t="inlineStr">
        <is>
          <t>HÄRNÖSAND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45072</v>
      </c>
      <c r="E521" s="1" t="n">
        <v>46255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Kyrkan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46255</v>
      </c>
      <c r="F522" t="inlineStr">
        <is>
          <t>VÄSTERNORRLANDS LÄN</t>
        </is>
      </c>
      <c r="G522" t="inlineStr">
        <is>
          <t>HÄRNÖSAND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46255</v>
      </c>
      <c r="F523" t="inlineStr">
        <is>
          <t>VÄSTERNORRLANDS LÄN</t>
        </is>
      </c>
      <c r="G523" t="inlineStr">
        <is>
          <t>HÄRNÖSAND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45194</v>
      </c>
      <c r="E524" s="1" t="n">
        <v>46255</v>
      </c>
      <c r="F524" t="inlineStr">
        <is>
          <t>VÄSTERNORRLANDS LÄN</t>
        </is>
      </c>
      <c r="G524" t="inlineStr">
        <is>
          <t>HÄRNÖSAND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65222-2023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45289</v>
      </c>
      <c r="E525" s="1" t="n">
        <v>46255</v>
      </c>
      <c r="F525" t="inlineStr">
        <is>
          <t>VÄSTERNORRLANDS LÄN</t>
        </is>
      </c>
      <c r="G525" t="inlineStr">
        <is>
          <t>HÄRNÖSAND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44580</v>
      </c>
      <c r="E526" s="1" t="n">
        <v>46255</v>
      </c>
      <c r="F526" t="inlineStr">
        <is>
          <t>VÄSTERNORRLANDS LÄN</t>
        </is>
      </c>
      <c r="G526" t="inlineStr">
        <is>
          <t>HÄRNÖSAND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46255</v>
      </c>
      <c r="F527" t="inlineStr">
        <is>
          <t>VÄSTERNORRLANDS LÄN</t>
        </is>
      </c>
      <c r="G527" t="inlineStr">
        <is>
          <t>HÄRNÖSAND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46255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46255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10.2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46255</v>
      </c>
      <c r="F530" t="inlineStr">
        <is>
          <t>VÄSTERNORRLANDS LÄN</t>
        </is>
      </c>
      <c r="G530" t="inlineStr">
        <is>
          <t>HÄRNÖSAND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46255</v>
      </c>
      <c r="F531" t="inlineStr">
        <is>
          <t>VÄSTERNORRLANDS LÄN</t>
        </is>
      </c>
      <c r="G531" t="inlineStr">
        <is>
          <t>HÄRNÖSAND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46255</v>
      </c>
      <c r="F532" t="inlineStr">
        <is>
          <t>VÄSTERNORRLANDS LÄN</t>
        </is>
      </c>
      <c r="G532" t="inlineStr">
        <is>
          <t>HÄRNÖSAND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13611-2023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45006</v>
      </c>
      <c r="E533" s="1" t="n">
        <v>46255</v>
      </c>
      <c r="F533" t="inlineStr">
        <is>
          <t>VÄSTERNORRLANDS LÄN</t>
        </is>
      </c>
      <c r="G533" t="inlineStr">
        <is>
          <t>HÄRNÖSAND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46255</v>
      </c>
      <c r="F534" t="inlineStr">
        <is>
          <t>VÄSTERNORRLANDS LÄN</t>
        </is>
      </c>
      <c r="G534" t="inlineStr">
        <is>
          <t>HÄRNÖSAND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46219</v>
      </c>
      <c r="E535" s="1" t="n">
        <v>46255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46255</v>
      </c>
      <c r="F536" t="inlineStr">
        <is>
          <t>VÄSTERNORRLANDS LÄN</t>
        </is>
      </c>
      <c r="G536" t="inlineStr">
        <is>
          <t>HÄRNÖSAND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45035</v>
      </c>
      <c r="E537" s="1" t="n">
        <v>46255</v>
      </c>
      <c r="F537" t="inlineStr">
        <is>
          <t>VÄSTERNORRLANDS LÄN</t>
        </is>
      </c>
      <c r="G537" t="inlineStr">
        <is>
          <t>HÄRNÖSAND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44987</v>
      </c>
      <c r="E538" s="1" t="n">
        <v>46255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46255</v>
      </c>
      <c r="F539" t="inlineStr">
        <is>
          <t>VÄSTERNORRLANDS LÄN</t>
        </is>
      </c>
      <c r="G539" t="inlineStr">
        <is>
          <t>HÄRNÖSAND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46255</v>
      </c>
      <c r="F540" t="inlineStr">
        <is>
          <t>VÄSTERNORRLANDS LÄN</t>
        </is>
      </c>
      <c r="G540" t="inlineStr">
        <is>
          <t>HÄRNÖSAND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46255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46255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46255</v>
      </c>
      <c r="F543" t="inlineStr">
        <is>
          <t>VÄSTERNORRLANDS LÄN</t>
        </is>
      </c>
      <c r="G543" t="inlineStr">
        <is>
          <t>HÄRNÖSAND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52237-2022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44869</v>
      </c>
      <c r="E544" s="1" t="n">
        <v>46255</v>
      </c>
      <c r="F544" t="inlineStr">
        <is>
          <t>VÄSTERNORRLANDS LÄN</t>
        </is>
      </c>
      <c r="G544" t="inlineStr">
        <is>
          <t>HÄRNÖSAND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46255</v>
      </c>
      <c r="F545" t="inlineStr">
        <is>
          <t>VÄSTERNORRLANDS LÄN</t>
        </is>
      </c>
      <c r="G545" t="inlineStr">
        <is>
          <t>HÄRNÖSAND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46255</v>
      </c>
      <c r="F546" t="inlineStr">
        <is>
          <t>VÄSTERNORRLANDS LÄN</t>
        </is>
      </c>
      <c r="G546" t="inlineStr">
        <is>
          <t>HÄRNÖSAND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46255</v>
      </c>
      <c r="F547" t="inlineStr">
        <is>
          <t>VÄSTERNORRLANDS LÄN</t>
        </is>
      </c>
      <c r="G547" t="inlineStr">
        <is>
          <t>HÄRNÖSAND</t>
        </is>
      </c>
      <c r="I547" t="n">
        <v>9.1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45000</v>
      </c>
      <c r="E548" s="1" t="n">
        <v>46255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12543-2023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45000</v>
      </c>
      <c r="E549" s="1" t="n">
        <v>46255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58869-2023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45250</v>
      </c>
      <c r="E550" s="1" t="n">
        <v>46255</v>
      </c>
      <c r="F550" t="inlineStr">
        <is>
          <t>VÄSTERNORRLANDS LÄN</t>
        </is>
      </c>
      <c r="G550" t="inlineStr">
        <is>
          <t>HÄRNÖSAND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45044</v>
      </c>
      <c r="E551" s="1" t="n">
        <v>46255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46255</v>
      </c>
      <c r="F552" t="inlineStr">
        <is>
          <t>VÄSTERNORRLANDS LÄN</t>
        </is>
      </c>
      <c r="G552" t="inlineStr">
        <is>
          <t>HÄRNÖSAND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46255</v>
      </c>
      <c r="F553" t="inlineStr">
        <is>
          <t>VÄSTERNORRLANDS LÄN</t>
        </is>
      </c>
      <c r="G553" t="inlineStr">
        <is>
          <t>HÄRNÖSAND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46255</v>
      </c>
      <c r="F554" t="inlineStr">
        <is>
          <t>VÄSTERNORRLANDS LÄN</t>
        </is>
      </c>
      <c r="G554" t="inlineStr">
        <is>
          <t>HÄRNÖSAND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46188</v>
      </c>
      <c r="E555" s="1" t="n">
        <v>46255</v>
      </c>
      <c r="F555" t="inlineStr">
        <is>
          <t>VÄSTERNORRLANDS LÄN</t>
        </is>
      </c>
      <c r="G555" t="inlineStr">
        <is>
          <t>HÄRNÖSAND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46232</v>
      </c>
      <c r="E556" s="1" t="n">
        <v>46255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46255</v>
      </c>
      <c r="F557" t="inlineStr">
        <is>
          <t>VÄSTERNORRLANDS LÄN</t>
        </is>
      </c>
      <c r="G557" t="inlineStr">
        <is>
          <t>HÄRNÖSAND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46255</v>
      </c>
      <c r="F558" t="inlineStr">
        <is>
          <t>VÄSTERNORRLANDS LÄN</t>
        </is>
      </c>
      <c r="G558" t="inlineStr">
        <is>
          <t>HÄRNÖSAND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46255</v>
      </c>
      <c r="F559" t="inlineStr">
        <is>
          <t>VÄSTERNORRLANDS LÄN</t>
        </is>
      </c>
      <c r="G559" t="inlineStr">
        <is>
          <t>HÄRNÖSAND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46189</v>
      </c>
      <c r="E560" s="1" t="n">
        <v>46255</v>
      </c>
      <c r="F560" t="inlineStr">
        <is>
          <t>VÄSTERNORRLANDS LÄN</t>
        </is>
      </c>
      <c r="G560" t="inlineStr">
        <is>
          <t>HÄRNÖSAND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46255</v>
      </c>
      <c r="F561" t="inlineStr">
        <is>
          <t>VÄSTERNORRLANDS LÄN</t>
        </is>
      </c>
      <c r="G561" t="inlineStr">
        <is>
          <t>HÄRNÖSAND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46255</v>
      </c>
      <c r="F562" t="inlineStr">
        <is>
          <t>VÄSTERNORRLANDS LÄN</t>
        </is>
      </c>
      <c r="G562" t="inlineStr">
        <is>
          <t>HÄRNÖSAND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43248-2023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45180</v>
      </c>
      <c r="E563" s="1" t="n">
        <v>46255</v>
      </c>
      <c r="F563" t="inlineStr">
        <is>
          <t>VÄSTERNORRLANDS LÄN</t>
        </is>
      </c>
      <c r="G563" t="inlineStr">
        <is>
          <t>HÄRNÖSAND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46255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45921-2024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45580</v>
      </c>
      <c r="E565" s="1" t="n">
        <v>46255</v>
      </c>
      <c r="F565" t="inlineStr">
        <is>
          <t>VÄSTERNORRLANDS LÄN</t>
        </is>
      </c>
      <c r="G565" t="inlineStr">
        <is>
          <t>HÄRNÖSAND</t>
        </is>
      </c>
      <c r="I565" t="n">
        <v>14.2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35785-2023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46255</v>
      </c>
      <c r="F566" t="inlineStr">
        <is>
          <t>VÄSTERNORRLANDS LÄN</t>
        </is>
      </c>
      <c r="G566" t="inlineStr">
        <is>
          <t>HÄRNÖSAND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46255</v>
      </c>
      <c r="F567" t="inlineStr">
        <is>
          <t>VÄSTERNORRLANDS LÄN</t>
        </is>
      </c>
      <c r="G567" t="inlineStr">
        <is>
          <t>HÄRNÖSAND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46255</v>
      </c>
      <c r="F568" t="inlineStr">
        <is>
          <t>VÄSTERNORRLANDS LÄN</t>
        </is>
      </c>
      <c r="G568" t="inlineStr">
        <is>
          <t>HÄRNÖSAND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46255</v>
      </c>
      <c r="F569" t="inlineStr">
        <is>
          <t>VÄSTERNORRLANDS LÄN</t>
        </is>
      </c>
      <c r="G569" t="inlineStr">
        <is>
          <t>HÄRNÖSAND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46255</v>
      </c>
      <c r="F570" t="inlineStr">
        <is>
          <t>VÄSTERNORRLANDS LÄN</t>
        </is>
      </c>
      <c r="G570" t="inlineStr">
        <is>
          <t>HÄRNÖSAND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46255</v>
      </c>
      <c r="F571" t="inlineStr">
        <is>
          <t>VÄSTERNORRLANDS LÄN</t>
        </is>
      </c>
      <c r="G571" t="inlineStr">
        <is>
          <t>HÄRNÖSAND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32293-2026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46237</v>
      </c>
      <c r="E572" s="1" t="n">
        <v>46255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45482</v>
      </c>
      <c r="E573" s="1" t="n">
        <v>46255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46255</v>
      </c>
      <c r="F574" t="inlineStr">
        <is>
          <t>VÄSTERNORRLANDS LÄN</t>
        </is>
      </c>
      <c r="G574" t="inlineStr">
        <is>
          <t>HÄRNÖSAND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46255</v>
      </c>
      <c r="F575" t="inlineStr">
        <is>
          <t>VÄSTERNORRLANDS LÄN</t>
        </is>
      </c>
      <c r="G575" t="inlineStr">
        <is>
          <t>HÄRNÖSAND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46255</v>
      </c>
      <c r="F576" t="inlineStr">
        <is>
          <t>VÄSTERNORRLANDS LÄN</t>
        </is>
      </c>
      <c r="G576" t="inlineStr">
        <is>
          <t>HÄRNÖSAND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45769</v>
      </c>
      <c r="E577" s="1" t="n">
        <v>46255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46255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46255</v>
      </c>
      <c r="F579" t="inlineStr">
        <is>
          <t>VÄSTERNORRLANDS LÄN</t>
        </is>
      </c>
      <c r="G579" t="inlineStr">
        <is>
          <t>HÄRNÖSAND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46255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11045-2025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45723</v>
      </c>
      <c r="E581" s="1" t="n">
        <v>46255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46255</v>
      </c>
      <c r="F582" t="inlineStr">
        <is>
          <t>VÄSTERNORRLANDS LÄN</t>
        </is>
      </c>
      <c r="G582" t="inlineStr">
        <is>
          <t>HÄRNÖSAND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32847-2026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46255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Kyrkan</t>
        </is>
      </c>
      <c r="I583" t="n">
        <v>24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44855</v>
      </c>
      <c r="E584" s="1" t="n">
        <v>46255</v>
      </c>
      <c r="F584" t="inlineStr">
        <is>
          <t>VÄSTERNORRLANDS LÄN</t>
        </is>
      </c>
      <c r="G584" t="inlineStr">
        <is>
          <t>HÄRNÖSAND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46255</v>
      </c>
      <c r="F585" t="inlineStr">
        <is>
          <t>VÄSTERNORRLANDS LÄN</t>
        </is>
      </c>
      <c r="G585" t="inlineStr">
        <is>
          <t>HÄRNÖSAND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57154-2024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45629</v>
      </c>
      <c r="E586" s="1" t="n">
        <v>46255</v>
      </c>
      <c r="F586" t="inlineStr">
        <is>
          <t>VÄSTERNORRLANDS LÄN</t>
        </is>
      </c>
      <c r="G586" t="inlineStr">
        <is>
          <t>HÄRNÖSAND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21927-2026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46150</v>
      </c>
      <c r="E587" s="1" t="n">
        <v>46255</v>
      </c>
      <c r="F587" t="inlineStr">
        <is>
          <t>VÄSTERNORRLANDS LÄN</t>
        </is>
      </c>
      <c r="G587" t="inlineStr">
        <is>
          <t>HÄRNÖSAND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46255</v>
      </c>
      <c r="F588" t="inlineStr">
        <is>
          <t>VÄSTERNORRLANDS LÄN</t>
        </is>
      </c>
      <c r="G588" t="inlineStr">
        <is>
          <t>HÄRNÖSAND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45500-2024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45578</v>
      </c>
      <c r="E589" s="1" t="n">
        <v>46255</v>
      </c>
      <c r="F589" t="inlineStr">
        <is>
          <t>VÄSTERNORRLANDS LÄN</t>
        </is>
      </c>
      <c r="G589" t="inlineStr">
        <is>
          <t>HÄRNÖSAND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45504-2024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45578</v>
      </c>
      <c r="E590" s="1" t="n">
        <v>46255</v>
      </c>
      <c r="F590" t="inlineStr">
        <is>
          <t>VÄSTERNORRLANDS LÄN</t>
        </is>
      </c>
      <c r="G590" t="inlineStr">
        <is>
          <t>HÄRNÖSAND</t>
        </is>
      </c>
      <c r="I590" t="n">
        <v>10.3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46255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46255</v>
      </c>
      <c r="F592" t="inlineStr">
        <is>
          <t>VÄSTERNORRLANDS LÄN</t>
        </is>
      </c>
      <c r="G592" t="inlineStr">
        <is>
          <t>HÄRNÖSAND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46203</v>
      </c>
      <c r="E593" s="1" t="n">
        <v>46255</v>
      </c>
      <c r="F593" t="inlineStr">
        <is>
          <t>VÄSTERNORRLANDS LÄN</t>
        </is>
      </c>
      <c r="G593" t="inlineStr">
        <is>
          <t>HÄRNÖSAND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44951</v>
      </c>
      <c r="E594" s="1" t="n">
        <v>46255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29714-2026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46255</v>
      </c>
      <c r="F595" t="inlineStr">
        <is>
          <t>VÄSTERNORRLANDS LÄN</t>
        </is>
      </c>
      <c r="G595" t="inlineStr">
        <is>
          <t>HÄRNÖSAND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46255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35387-2024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45531</v>
      </c>
      <c r="E597" s="1" t="n">
        <v>46255</v>
      </c>
      <c r="F597" t="inlineStr">
        <is>
          <t>VÄSTERNORRLANDS LÄN</t>
        </is>
      </c>
      <c r="G597" t="inlineStr">
        <is>
          <t>HÄRNÖSAND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45512</v>
      </c>
      <c r="E598" s="1" t="n">
        <v>46255</v>
      </c>
      <c r="F598" t="inlineStr">
        <is>
          <t>VÄSTERNORRLANDS LÄN</t>
        </is>
      </c>
      <c r="G598" t="inlineStr">
        <is>
          <t>HÄRNÖSAND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46205</v>
      </c>
      <c r="E599" s="1" t="n">
        <v>46255</v>
      </c>
      <c r="F599" t="inlineStr">
        <is>
          <t>VÄSTERNORRLANDS LÄN</t>
        </is>
      </c>
      <c r="G599" t="inlineStr">
        <is>
          <t>HÄRNÖSAND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51001-2022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44867</v>
      </c>
      <c r="E600" s="1" t="n">
        <v>46255</v>
      </c>
      <c r="F600" t="inlineStr">
        <is>
          <t>VÄSTERNORRLANDS LÄN</t>
        </is>
      </c>
      <c r="G600" t="inlineStr">
        <is>
          <t>HÄRNÖSAND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29742-2026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46255</v>
      </c>
      <c r="F601" t="inlineStr">
        <is>
          <t>VÄSTERNORRLANDS LÄN</t>
        </is>
      </c>
      <c r="G601" t="inlineStr">
        <is>
          <t>HÄRNÖSAND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46255</v>
      </c>
      <c r="F602" t="inlineStr">
        <is>
          <t>VÄSTERNORRLANDS LÄN</t>
        </is>
      </c>
      <c r="G602" t="inlineStr">
        <is>
          <t>HÄRNÖSAND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46205</v>
      </c>
      <c r="E603" s="1" t="n">
        <v>46255</v>
      </c>
      <c r="F603" t="inlineStr">
        <is>
          <t>VÄSTERNORRLANDS LÄN</t>
        </is>
      </c>
      <c r="G603" t="inlineStr">
        <is>
          <t>HÄRNÖSAND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46255</v>
      </c>
      <c r="F604" t="inlineStr">
        <is>
          <t>VÄSTERNORRLANDS LÄN</t>
        </is>
      </c>
      <c r="G604" t="inlineStr">
        <is>
          <t>HÄRNÖSAND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46205</v>
      </c>
      <c r="E605" s="1" t="n">
        <v>46255</v>
      </c>
      <c r="F605" t="inlineStr">
        <is>
          <t>VÄSTERNORRLANDS LÄN</t>
        </is>
      </c>
      <c r="G605" t="inlineStr">
        <is>
          <t>HÄRNÖSAND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45729</v>
      </c>
      <c r="E606" s="1" t="n">
        <v>46255</v>
      </c>
      <c r="F606" t="inlineStr">
        <is>
          <t>VÄSTERNORRLANDS LÄN</t>
        </is>
      </c>
      <c r="G606" t="inlineStr">
        <is>
          <t>HÄRNÖSAND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25746-2025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45800</v>
      </c>
      <c r="E607" s="1" t="n">
        <v>46255</v>
      </c>
      <c r="F607" t="inlineStr">
        <is>
          <t>VÄSTERNORRLANDS LÄN</t>
        </is>
      </c>
      <c r="G607" t="inlineStr">
        <is>
          <t>HÄRNÖSAND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46255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30201-2026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46255</v>
      </c>
      <c r="F609" t="inlineStr">
        <is>
          <t>VÄSTERNORRLANDS LÄN</t>
        </is>
      </c>
      <c r="G609" t="inlineStr">
        <is>
          <t>HÄRNÖSAND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46255</v>
      </c>
      <c r="F610" t="inlineStr">
        <is>
          <t>VÄSTERNORRLANDS LÄN</t>
        </is>
      </c>
      <c r="G610" t="inlineStr">
        <is>
          <t>HÄRNÖSAND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46255</v>
      </c>
      <c r="F611" t="inlineStr">
        <is>
          <t>VÄSTERNORRLANDS LÄN</t>
        </is>
      </c>
      <c r="G611" t="inlineStr">
        <is>
          <t>HÄRNÖSAND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11903-2024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45376</v>
      </c>
      <c r="E612" s="1" t="n">
        <v>46255</v>
      </c>
      <c r="F612" t="inlineStr">
        <is>
          <t>VÄSTERNORRLANDS LÄN</t>
        </is>
      </c>
      <c r="G612" t="inlineStr">
        <is>
          <t>HÄRNÖSAND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46255</v>
      </c>
      <c r="F613" t="inlineStr">
        <is>
          <t>VÄSTERNORRLANDS LÄN</t>
        </is>
      </c>
      <c r="G613" t="inlineStr">
        <is>
          <t>HÄRNÖSAND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46255</v>
      </c>
      <c r="F614" t="inlineStr">
        <is>
          <t>VÄSTERNORRLANDS LÄN</t>
        </is>
      </c>
      <c r="G614" t="inlineStr">
        <is>
          <t>HÄRNÖSAND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45730</v>
      </c>
      <c r="E615" s="1" t="n">
        <v>46255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34028-2026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46252</v>
      </c>
      <c r="E616" s="1" t="n">
        <v>46255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33747-2026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46251</v>
      </c>
      <c r="E617" s="1" t="n">
        <v>46255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46255</v>
      </c>
      <c r="F618" t="inlineStr">
        <is>
          <t>VÄSTERNORRLANDS LÄN</t>
        </is>
      </c>
      <c r="G618" t="inlineStr">
        <is>
          <t>HÄRNÖSAND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46255</v>
      </c>
      <c r="F619" t="inlineStr">
        <is>
          <t>VÄSTERNORRLANDS LÄN</t>
        </is>
      </c>
      <c r="G619" t="inlineStr">
        <is>
          <t>HÄRNÖSAND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4147-2025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45685</v>
      </c>
      <c r="E620" s="1" t="n">
        <v>46255</v>
      </c>
      <c r="F620" t="inlineStr">
        <is>
          <t>VÄSTERNORRLANDS LÄN</t>
        </is>
      </c>
      <c r="G620" t="inlineStr">
        <is>
          <t>HÄRNÖSAND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45776</v>
      </c>
      <c r="E621" s="1" t="n">
        <v>46255</v>
      </c>
      <c r="F621" t="inlineStr">
        <is>
          <t>VÄSTERNORRLANDS LÄN</t>
        </is>
      </c>
      <c r="G621" t="inlineStr">
        <is>
          <t>HÄRNÖSAND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45776</v>
      </c>
      <c r="E622" s="1" t="n">
        <v>46255</v>
      </c>
      <c r="F622" t="inlineStr">
        <is>
          <t>VÄSTERNORRLANDS LÄN</t>
        </is>
      </c>
      <c r="G622" t="inlineStr">
        <is>
          <t>HÄRNÖSAND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21484-2025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46255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21480-2025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45782</v>
      </c>
      <c r="E624" s="1" t="n">
        <v>46255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12.3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30710-2026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46255</v>
      </c>
      <c r="F625" t="inlineStr">
        <is>
          <t>VÄSTERNORRLANDS LÄN</t>
        </is>
      </c>
      <c r="G625" t="inlineStr">
        <is>
          <t>HÄRNÖSAND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46255</v>
      </c>
      <c r="F626" t="inlineStr">
        <is>
          <t>VÄSTERNORRLANDS LÄN</t>
        </is>
      </c>
      <c r="G626" t="inlineStr">
        <is>
          <t>HÄRNÖSAND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45502-2024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45578</v>
      </c>
      <c r="E627" s="1" t="n">
        <v>46255</v>
      </c>
      <c r="F627" t="inlineStr">
        <is>
          <t>VÄSTERNORRLANDS LÄN</t>
        </is>
      </c>
      <c r="G627" t="inlineStr">
        <is>
          <t>HÄRNÖSAND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46255</v>
      </c>
      <c r="F628" t="inlineStr">
        <is>
          <t>VÄSTERNORRLANDS LÄN</t>
        </is>
      </c>
      <c r="G628" t="inlineStr">
        <is>
          <t>HÄRNÖSAND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46255</v>
      </c>
      <c r="F629" t="inlineStr">
        <is>
          <t>VÄSTERNORRLANDS LÄN</t>
        </is>
      </c>
      <c r="G629" t="inlineStr">
        <is>
          <t>HÄRNÖSAND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44590-2024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46255</v>
      </c>
      <c r="F630" t="inlineStr">
        <is>
          <t>VÄSTERNORRLANDS LÄN</t>
        </is>
      </c>
      <c r="G630" t="inlineStr">
        <is>
          <t>HÄRNÖSAND</t>
        </is>
      </c>
      <c r="I630" t="n">
        <v>11.9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19949-2024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45433</v>
      </c>
      <c r="E631" s="1" t="n">
        <v>46255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45351</v>
      </c>
      <c r="E632" s="1" t="n">
        <v>46255</v>
      </c>
      <c r="F632" t="inlineStr">
        <is>
          <t>VÄSTERNORRLANDS LÄN</t>
        </is>
      </c>
      <c r="G632" t="inlineStr">
        <is>
          <t>HÄRNÖSAND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44571</v>
      </c>
      <c r="E633" s="1" t="n">
        <v>46255</v>
      </c>
      <c r="F633" t="inlineStr">
        <is>
          <t>VÄSTERNORRLANDS LÄN</t>
        </is>
      </c>
      <c r="G633" t="inlineStr">
        <is>
          <t>HÄRNÖSAND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45585-2024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45579</v>
      </c>
      <c r="E634" s="1" t="n">
        <v>46255</v>
      </c>
      <c r="F634" t="inlineStr">
        <is>
          <t>VÄSTERNORRLANDS LÄN</t>
        </is>
      </c>
      <c r="G634" t="inlineStr">
        <is>
          <t>HÄRNÖSAND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46255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45266</v>
      </c>
      <c r="E636" s="1" t="n">
        <v>46255</v>
      </c>
      <c r="F636" t="inlineStr">
        <is>
          <t>VÄSTERNORRLANDS LÄN</t>
        </is>
      </c>
      <c r="G636" t="inlineStr">
        <is>
          <t>HÄRNÖSAND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32790-2024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45516</v>
      </c>
      <c r="E637" s="1" t="n">
        <v>46255</v>
      </c>
      <c r="F637" t="inlineStr">
        <is>
          <t>VÄSTERNORRLANDS LÄN</t>
        </is>
      </c>
      <c r="G637" t="inlineStr">
        <is>
          <t>HÄRNÖSAND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34745-2023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46255</v>
      </c>
      <c r="F638" t="inlineStr">
        <is>
          <t>VÄSTERNORRLANDS LÄN</t>
        </is>
      </c>
      <c r="G638" t="inlineStr">
        <is>
          <t>HÄRNÖSAND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55583-2021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44475</v>
      </c>
      <c r="E639" s="1" t="n">
        <v>46255</v>
      </c>
      <c r="F639" t="inlineStr">
        <is>
          <t>VÄSTERNORRLANDS LÄN</t>
        </is>
      </c>
      <c r="G639" t="inlineStr">
        <is>
          <t>HÄRNÖSAND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45799</v>
      </c>
      <c r="E640" s="1" t="n">
        <v>46255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25355-2025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45800</v>
      </c>
      <c r="E641" s="1" t="n">
        <v>46255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45803</v>
      </c>
      <c r="E642" s="1" t="n">
        <v>46255</v>
      </c>
      <c r="F642" t="inlineStr">
        <is>
          <t>VÄSTERNORRLANDS LÄN</t>
        </is>
      </c>
      <c r="G642" t="inlineStr">
        <is>
          <t>HÄRNÖSAND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18461-2025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45762</v>
      </c>
      <c r="E643" s="1" t="n">
        <v>46255</v>
      </c>
      <c r="F643" t="inlineStr">
        <is>
          <t>VÄSTERNORRLANDS LÄN</t>
        </is>
      </c>
      <c r="G643" t="inlineStr">
        <is>
          <t>HÄRNÖSAND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45681-2021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44441</v>
      </c>
      <c r="E644" s="1" t="n">
        <v>46255</v>
      </c>
      <c r="F644" t="inlineStr">
        <is>
          <t>VÄSTERNORRLANDS LÄN</t>
        </is>
      </c>
      <c r="G644" t="inlineStr">
        <is>
          <t>HÄRNÖSAND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26176-2025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45805</v>
      </c>
      <c r="E645" s="1" t="n">
        <v>46255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57685-2024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45630</v>
      </c>
      <c r="E646" s="1" t="n">
        <v>46255</v>
      </c>
      <c r="F646" t="inlineStr">
        <is>
          <t>VÄSTERNORRLANDS LÄN</t>
        </is>
      </c>
      <c r="G646" t="inlineStr">
        <is>
          <t>HÄRNÖSAND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49531-2023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45205</v>
      </c>
      <c r="E647" s="1" t="n">
        <v>46255</v>
      </c>
      <c r="F647" t="inlineStr">
        <is>
          <t>VÄSTERNORRLANDS LÄN</t>
        </is>
      </c>
      <c r="G647" t="inlineStr">
        <is>
          <t>HÄRNÖSAND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45811</v>
      </c>
      <c r="E648" s="1" t="n">
        <v>46255</v>
      </c>
      <c r="F648" t="inlineStr">
        <is>
          <t>VÄSTERNORRLANDS LÄN</t>
        </is>
      </c>
      <c r="G648" t="inlineStr">
        <is>
          <t>HÄRNÖSAND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27272-2025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45812</v>
      </c>
      <c r="E649" s="1" t="n">
        <v>46255</v>
      </c>
      <c r="F649" t="inlineStr">
        <is>
          <t>VÄSTERNORRLANDS LÄN</t>
        </is>
      </c>
      <c r="G649" t="inlineStr">
        <is>
          <t>HÄRNÖSAND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27273-2025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45812</v>
      </c>
      <c r="E650" s="1" t="n">
        <v>46255</v>
      </c>
      <c r="F650" t="inlineStr">
        <is>
          <t>VÄSTERNORRLANDS LÄN</t>
        </is>
      </c>
      <c r="G650" t="inlineStr">
        <is>
          <t>HÄRNÖSAND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46255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46255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46255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46255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46255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46255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46255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46255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2026-08-21T01:51:56Z</dcterms:created>
  <dcterms:modified xmlns:dcterms="http://purl.org/dc/terms/" xmlns:xsi="http://www.w3.org/2001/XMLSchema-instance" xsi:type="dcterms:W3CDTF">2026-08-21T01:51:57Z</dcterms:modified>
</cp:coreProperties>
</file>