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46279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46279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46279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46279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46279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46279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45588</v>
      </c>
      <c r="E13" s="1" t="n">
        <v>46279</v>
      </c>
      <c r="F13" t="inlineStr">
        <is>
          <t>VÄSTERNORRLANDS LÄN</t>
        </is>
      </c>
      <c r="G13" t="inlineStr">
        <is>
          <t>HÄRNÖSAND</t>
        </is>
      </c>
      <c r="I13" t="n">
        <v>39.5</v>
      </c>
      <c r="J13" t="n">
        <v>2</v>
      </c>
      <c r="K13" t="n">
        <v>2</v>
      </c>
      <c r="L13" t="n">
        <v>7</v>
      </c>
      <c r="M13" t="n">
        <v>1</v>
      </c>
      <c r="N13" t="n">
        <v>0</v>
      </c>
      <c r="O13" t="n">
        <v>0</v>
      </c>
      <c r="P13" t="n">
        <v>0</v>
      </c>
      <c r="Q13" t="n">
        <v>8</v>
      </c>
      <c r="R13" t="n">
        <v>1</v>
      </c>
      <c r="S13" t="n">
        <v>10</v>
      </c>
      <c r="T13" t="n">
        <v>27</v>
      </c>
      <c r="U13" t="n">
        <v>13</v>
      </c>
      <c r="V13" s="2" t="inlineStr">
        <is>
          <t>Knärot
Dropptaggsvamp
Kötticka
Motaggsvamp
Tallticka
Tretåig hackspett
Ullticka
Violettgrå tagellav
Nästlav
Vedticka</t>
        </is>
      </c>
      <c r="W13">
        <f>HYPERLINK("https://klasma.github.io/Logging_2280/artfynd/A 47711-2024 artfynd.xlsx", "A 47711-2024")</f>
        <v/>
      </c>
      <c r="X13">
        <f>HYPERLINK("https://klasma.github.io/Logging_2280/kartor/A 47711-2024 karta.png", "A 47711-2024")</f>
        <v/>
      </c>
      <c r="Y13">
        <f>HYPERLINK("https://klasma.github.io/Logging_2280/kartor_geotiff/A 47711-2024 georefererad karta.tif", "A 47711-2024")</f>
        <v/>
      </c>
      <c r="Z13">
        <f>HYPERLINK("https://klasma.github.io/Logging_2280/knärot/A 47711-2024 karta knärot.png", "A 47711-2024")</f>
        <v/>
      </c>
      <c r="AA13">
        <f>HYPERLINK("https://klasma.github.io/Logging_2280/klagomål/A 47711-2024 FSC-klagomål.docx", "A 47711-2024")</f>
        <v/>
      </c>
      <c r="AB13">
        <f>HYPERLINK("https://klasma.github.io/Logging_2280/klagomålsmail/A 47711-2024 FSC-klagomål mail.docx", "A 47711-2024")</f>
        <v/>
      </c>
      <c r="AC13">
        <f>HYPERLINK("https://klasma.github.io/Logging_2280/tillsyn/A 47711-2024 tillsynsbegäran.docx", "A 47711-2024")</f>
        <v/>
      </c>
      <c r="AD13">
        <f>HYPERLINK("https://klasma.github.io/Logging_2280/tillsynsmail/A 47711-2024 tillsynsbegäran mail.docx", "A 47711-2024")</f>
        <v/>
      </c>
      <c r="AE13">
        <f>HYPERLINK("https://klasma.github.io/Logging_2280/fåglar/A 47711-2024 prioriterade fågelarter.docx", "A 47711-2024")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46279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30084-2025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45826</v>
      </c>
      <c r="E17" s="1" t="n">
        <v>46279</v>
      </c>
      <c r="F17" t="inlineStr">
        <is>
          <t>VÄSTERNORRLANDS LÄN</t>
        </is>
      </c>
      <c r="G17" t="inlineStr">
        <is>
          <t>HÄRNÖSAND</t>
        </is>
      </c>
      <c r="I17" t="n">
        <v>2.2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22</v>
      </c>
      <c r="U17" t="n">
        <v>22</v>
      </c>
      <c r="V17" s="2" t="inlineStr">
        <is>
          <t>Garnlav
Gammelgransskål
Ullticka
Violettgrå tagellav
Vitgrynig nållav
Gulnål
Vedticka
Fläcknycklar</t>
        </is>
      </c>
      <c r="W17">
        <f>HYPERLINK("https://klasma.github.io/Logging_2280/artfynd/A 30084-2025 artfynd.xlsx", "A 30084-2025")</f>
        <v/>
      </c>
      <c r="X17">
        <f>HYPERLINK("https://klasma.github.io/Logging_2280/kartor/A 30084-2025 karta.png", "A 30084-2025")</f>
        <v/>
      </c>
      <c r="Y17">
        <f>HYPERLINK("https://klasma.github.io/Logging_2280/kartor_geotiff/A 30084-2025 georefererad karta.tif", "A 30084-2025")</f>
        <v/>
      </c>
      <c r="AA17">
        <f>HYPERLINK("https://klasma.github.io/Logging_2280/klagomål/A 30084-2025 FSC-klagomål.docx", "A 30084-2025")</f>
        <v/>
      </c>
      <c r="AB17">
        <f>HYPERLINK("https://klasma.github.io/Logging_2280/klagomålsmail/A 30084-2025 FSC-klagomål mail.docx", "A 30084-2025")</f>
        <v/>
      </c>
      <c r="AC17">
        <f>HYPERLINK("https://klasma.github.io/Logging_2280/tillsyn/A 30084-2025 tillsynsbegäran.docx", "A 30084-2025")</f>
        <v/>
      </c>
      <c r="AD17">
        <f>HYPERLINK("https://klasma.github.io/Logging_2280/tillsynsmail/A 30084-2025 tillsynsbegäran mail.docx", "A 30084-2025")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46279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46279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46279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46279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46279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46279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46279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46279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46279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46279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46279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46279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46279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46279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46279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46279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46279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46279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46279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46279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46279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46279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3953-2024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46279</v>
      </c>
      <c r="F43" t="inlineStr">
        <is>
          <t>VÄSTERNORRLANDS LÄN</t>
        </is>
      </c>
      <c r="G43" t="inlineStr">
        <is>
          <t>HÄRNÖSAND</t>
        </is>
      </c>
      <c r="I43" t="n">
        <v>4.7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Slåtterfibbla
Strutbräken
Svart trolldruva</t>
        </is>
      </c>
      <c r="W43">
        <f>HYPERLINK("https://klasma.github.io/Logging_2280/artfynd/A 3953-2024 artfynd.xlsx", "A 3953-2024")</f>
        <v/>
      </c>
      <c r="X43">
        <f>HYPERLINK("https://klasma.github.io/Logging_2280/kartor/A 3953-2024 karta.png", "A 3953-2024")</f>
        <v/>
      </c>
      <c r="Y43">
        <f>HYPERLINK("https://klasma.github.io/Logging_2280/kartor_geotiff/A 3953-2024 georefererad karta.tif", "A 3953-2024")</f>
        <v/>
      </c>
      <c r="AA43">
        <f>HYPERLINK("https://klasma.github.io/Logging_2280/klagomål/A 3953-2024 FSC-klagomål.docx", "A 3953-2024")</f>
        <v/>
      </c>
      <c r="AB43">
        <f>HYPERLINK("https://klasma.github.io/Logging_2280/klagomålsmail/A 3953-2024 FSC-klagomål mail.docx", "A 3953-2024")</f>
        <v/>
      </c>
      <c r="AC43">
        <f>HYPERLINK("https://klasma.github.io/Logging_2280/tillsyn/A 3953-2024 tillsynsbegäran.docx", "A 3953-2024")</f>
        <v/>
      </c>
      <c r="AD43">
        <f>HYPERLINK("https://klasma.github.io/Logging_2280/tillsynsmail/A 3953-2024 tillsynsbegäran mail.docx", "A 3953-2024")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46279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46279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Ullticka
Vedflamlav
Fläcknycklar</t>
        </is>
      </c>
      <c r="W45">
        <f>HYPERLINK("https://klasma.github.io/Logging_2280/artfynd/A 43101-2023 artfynd.xlsx", "A 43101-2023")</f>
        <v/>
      </c>
      <c r="X45">
        <f>HYPERLINK("https://klasma.github.io/Logging_2280/kartor/A 43101-2023 karta.png", "A 43101-2023")</f>
        <v/>
      </c>
      <c r="Y45">
        <f>HYPERLINK("https://klasma.github.io/Logging_2280/kartor_geotiff/A 43101-2023 georefererad karta.tif", "A 43101-2023")</f>
        <v/>
      </c>
      <c r="AA45">
        <f>HYPERLINK("https://klasma.github.io/Logging_2280/klagomål/A 43101-2023 FSC-klagomål.docx", "A 43101-2023")</f>
        <v/>
      </c>
      <c r="AB45">
        <f>HYPERLINK("https://klasma.github.io/Logging_2280/klagomålsmail/A 43101-2023 FSC-klagomål mail.docx", "A 43101-2023")</f>
        <v/>
      </c>
      <c r="AC45">
        <f>HYPERLINK("https://klasma.github.io/Logging_2280/tillsyn/A 43101-2023 tillsynsbegäran.docx", "A 43101-2023")</f>
        <v/>
      </c>
      <c r="AD45">
        <f>HYPERLINK("https://klasma.github.io/Logging_2280/tillsynsmail/A 43101-2023 tillsynsbegäran mail.docx", "A 43101-2023")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46279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46279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46279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46279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46279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46279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46279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46279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46279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46279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46279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46279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46279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46279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46279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46279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44901-2024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45575</v>
      </c>
      <c r="E62" s="1" t="n">
        <v>46279</v>
      </c>
      <c r="F62" t="inlineStr">
        <is>
          <t>VÄSTERNORRLANDS LÄN</t>
        </is>
      </c>
      <c r="G62" t="inlineStr">
        <is>
          <t>HÄRNÖSAND</t>
        </is>
      </c>
      <c r="I62" t="n">
        <v>3.3</v>
      </c>
      <c r="J62" t="n">
        <v>0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Garnlav
Vedticka</t>
        </is>
      </c>
      <c r="W62">
        <f>HYPERLINK("https://klasma.github.io/Logging_2280/artfynd/A 44901-2024 artfynd.xlsx", "A 44901-2024")</f>
        <v/>
      </c>
      <c r="X62">
        <f>HYPERLINK("https://klasma.github.io/Logging_2280/kartor/A 44901-2024 karta.png", "A 44901-2024")</f>
        <v/>
      </c>
      <c r="Y62">
        <f>HYPERLINK("https://klasma.github.io/Logging_2280/kartor_geotiff/A 44901-2024 georefererad karta.tif", "A 44901-2024")</f>
        <v/>
      </c>
      <c r="AA62">
        <f>HYPERLINK("https://klasma.github.io/Logging_2280/klagomål/A 44901-2024 FSC-klagomål.docx", "A 44901-2024")</f>
        <v/>
      </c>
      <c r="AB62">
        <f>HYPERLINK("https://klasma.github.io/Logging_2280/klagomålsmail/A 44901-2024 FSC-klagomål mail.docx", "A 44901-2024")</f>
        <v/>
      </c>
      <c r="AC62">
        <f>HYPERLINK("https://klasma.github.io/Logging_2280/tillsyn/A 44901-2024 tillsynsbegäran.docx", "A 44901-2024")</f>
        <v/>
      </c>
      <c r="AD62">
        <f>HYPERLINK("https://klasma.github.io/Logging_2280/tillsynsmail/A 44901-2024 tillsynsbegäran mail.docx", "A 44901-2024")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46279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46279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46279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46279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46279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46279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46707-2024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46279</v>
      </c>
      <c r="F69" t="inlineStr">
        <is>
          <t>VÄSTERNORRLANDS LÄN</t>
        </is>
      </c>
      <c r="G69" t="inlineStr">
        <is>
          <t>HÄRNÖSAND</t>
        </is>
      </c>
      <c r="I69" t="n">
        <v>0.6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Tretåig hackspett</t>
        </is>
      </c>
      <c r="W69">
        <f>HYPERLINK("https://klasma.github.io/Logging_2280/artfynd/A 46707-2024 artfynd.xlsx", "A 46707-2024")</f>
        <v/>
      </c>
      <c r="X69">
        <f>HYPERLINK("https://klasma.github.io/Logging_2280/kartor/A 46707-2024 karta.png", "A 46707-2024")</f>
        <v/>
      </c>
      <c r="Y69">
        <f>HYPERLINK("https://klasma.github.io/Logging_2280/kartor_geotiff/A 46707-2024 georefererad karta.tif", "A 46707-2024")</f>
        <v/>
      </c>
      <c r="AA69">
        <f>HYPERLINK("https://klasma.github.io/Logging_2280/klagomål/A 46707-2024 FSC-klagomål.docx", "A 46707-2024")</f>
        <v/>
      </c>
      <c r="AB69">
        <f>HYPERLINK("https://klasma.github.io/Logging_2280/klagomålsmail/A 46707-2024 FSC-klagomål mail.docx", "A 46707-2024")</f>
        <v/>
      </c>
      <c r="AC69">
        <f>HYPERLINK("https://klasma.github.io/Logging_2280/tillsyn/A 46707-2024 tillsynsbegäran.docx", "A 46707-2024")</f>
        <v/>
      </c>
      <c r="AD69">
        <f>HYPERLINK("https://klasma.github.io/Logging_2280/tillsynsmail/A 46707-2024 tillsynsbegäran mail.docx", "A 46707-2024")</f>
        <v/>
      </c>
      <c r="AE69">
        <f>HYPERLINK("https://klasma.github.io/Logging_2280/fåglar/A 46707-2024 prioriterade fågelarter.docx", "A 46707-2024")</f>
        <v/>
      </c>
    </row>
    <row r="70" ht="15" customHeight="1">
      <c r="A70" t="inlineStr">
        <is>
          <t>A 45060-2025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46279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HYPERLINK("https://klasma.github.io/Logging_2280/artfynd/A 45060-2025 artfynd.xlsx", "A 45060-2025")</f>
        <v/>
      </c>
      <c r="X70">
        <f>HYPERLINK("https://klasma.github.io/Logging_2280/kartor/A 45060-2025 karta.png", "A 45060-2025")</f>
        <v/>
      </c>
      <c r="Y70">
        <f>HYPERLINK("https://klasma.github.io/Logging_2280/kartor_geotiff/A 45060-2025 georefererad karta.tif", "A 45060-2025")</f>
        <v/>
      </c>
      <c r="AA70">
        <f>HYPERLINK("https://klasma.github.io/Logging_2280/klagomål/A 45060-2025 FSC-klagomål.docx", "A 45060-2025")</f>
        <v/>
      </c>
      <c r="AB70">
        <f>HYPERLINK("https://klasma.github.io/Logging_2280/klagomålsmail/A 45060-2025 FSC-klagomål mail.docx", "A 45060-2025")</f>
        <v/>
      </c>
      <c r="AC70">
        <f>HYPERLINK("https://klasma.github.io/Logging_2280/tillsyn/A 45060-2025 tillsynsbegäran.docx", "A 45060-2025")</f>
        <v/>
      </c>
      <c r="AD70">
        <f>HYPERLINK("https://klasma.github.io/Logging_2280/tillsynsmail/A 45060-2025 tillsynsbegäran mail.docx", "A 45060-2025")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46279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18583-2026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46279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HYPERLINK("https://klasma.github.io/Logging_2280/artfynd/A 18583-2026 artfynd.xlsx", "A 18583-2026")</f>
        <v/>
      </c>
      <c r="X72">
        <f>HYPERLINK("https://klasma.github.io/Logging_2280/kartor/A 18583-2026 karta.png", "A 18583-2026")</f>
        <v/>
      </c>
      <c r="Y72">
        <f>HYPERLINK("https://klasma.github.io/Logging_2280/kartor_geotiff/A 18583-2026 georefererad karta.tif", "A 18583-2026")</f>
        <v/>
      </c>
      <c r="AA72">
        <f>HYPERLINK("https://klasma.github.io/Logging_2280/klagomål/A 18583-2026 FSC-klagomål.docx", "A 18583-2026")</f>
        <v/>
      </c>
      <c r="AB72">
        <f>HYPERLINK("https://klasma.github.io/Logging_2280/klagomålsmail/A 18583-2026 FSC-klagomål mail.docx", "A 18583-2026")</f>
        <v/>
      </c>
      <c r="AC72">
        <f>HYPERLINK("https://klasma.github.io/Logging_2280/tillsyn/A 18583-2026 tillsynsbegäran.docx", "A 18583-2026")</f>
        <v/>
      </c>
      <c r="AD72">
        <f>HYPERLINK("https://klasma.github.io/Logging_2280/tillsynsmail/A 18583-2026 tillsynsbegäran mail.docx", "A 18583-2026")</f>
        <v/>
      </c>
    </row>
    <row r="73" ht="15" customHeight="1">
      <c r="A73" t="inlineStr">
        <is>
          <t>A 43541-2022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44837</v>
      </c>
      <c r="E73" s="1" t="n">
        <v>46279</v>
      </c>
      <c r="F73" t="inlineStr">
        <is>
          <t>VÄSTERNORRLANDS LÄN</t>
        </is>
      </c>
      <c r="G73" t="inlineStr">
        <is>
          <t>HÄRNÖSAND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Sötgräs</t>
        </is>
      </c>
      <c r="W73">
        <f>HYPERLINK("https://klasma.github.io/Logging_2280/artfynd/A 43541-2022 artfynd.xlsx", "A 43541-2022")</f>
        <v/>
      </c>
      <c r="X73">
        <f>HYPERLINK("https://klasma.github.io/Logging_2280/kartor/A 43541-2022 karta.png", "A 43541-2022")</f>
        <v/>
      </c>
      <c r="Y73">
        <f>HYPERLINK("https://klasma.github.io/Logging_2280/kartor_geotiff/A 43541-2022 georefererad karta.tif", "A 43541-2022")</f>
        <v/>
      </c>
      <c r="AA73">
        <f>HYPERLINK("https://klasma.github.io/Logging_2280/klagomål/A 43541-2022 FSC-klagomål.docx", "A 43541-2022")</f>
        <v/>
      </c>
      <c r="AB73">
        <f>HYPERLINK("https://klasma.github.io/Logging_2280/klagomålsmail/A 43541-2022 FSC-klagomål mail.docx", "A 43541-2022")</f>
        <v/>
      </c>
      <c r="AC73">
        <f>HYPERLINK("https://klasma.github.io/Logging_2280/tillsyn/A 43541-2022 tillsynsbegäran.docx", "A 43541-2022")</f>
        <v/>
      </c>
      <c r="AD73">
        <f>HYPERLINK("https://klasma.github.io/Logging_2280/tillsynsmail/A 43541-2022 tillsynsbegäran mail.docx", "A 43541-2022")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46279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1190-2026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46279</v>
      </c>
      <c r="F75" t="inlineStr">
        <is>
          <t>VÄSTERNORRLANDS LÄN</t>
        </is>
      </c>
      <c r="G75" t="inlineStr">
        <is>
          <t>HÄRNÖSAND</t>
        </is>
      </c>
      <c r="I75" t="n">
        <v>3.5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Tretåig hackspett</t>
        </is>
      </c>
      <c r="W75">
        <f>HYPERLINK("https://klasma.github.io/Logging_2280/artfynd/A 1190-2026 artfynd.xlsx", "A 1190-2026")</f>
        <v/>
      </c>
      <c r="X75">
        <f>HYPERLINK("https://klasma.github.io/Logging_2280/kartor/A 1190-2026 karta.png", "A 1190-2026")</f>
        <v/>
      </c>
      <c r="Y75">
        <f>HYPERLINK("https://klasma.github.io/Logging_2280/kartor_geotiff/A 1190-2026 georefererad karta.tif", "A 1190-2026")</f>
        <v/>
      </c>
      <c r="AA75">
        <f>HYPERLINK("https://klasma.github.io/Logging_2280/klagomål/A 1190-2026 FSC-klagomål.docx", "A 1190-2026")</f>
        <v/>
      </c>
      <c r="AB75">
        <f>HYPERLINK("https://klasma.github.io/Logging_2280/klagomålsmail/A 1190-2026 FSC-klagomål mail.docx", "A 1190-2026")</f>
        <v/>
      </c>
      <c r="AC75">
        <f>HYPERLINK("https://klasma.github.io/Logging_2280/tillsyn/A 1190-2026 tillsynsbegäran.docx", "A 1190-2026")</f>
        <v/>
      </c>
      <c r="AD75">
        <f>HYPERLINK("https://klasma.github.io/Logging_2280/tillsynsmail/A 1190-2026 tillsynsbegäran mail.docx", "A 1190-2026")</f>
        <v/>
      </c>
      <c r="AE75">
        <f>HYPERLINK("https://klasma.github.io/Logging_2280/fåglar/A 1190-2026 prioriterade fågelarter.docx", "A 1190-2026")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46279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46279</v>
      </c>
      <c r="F77" t="inlineStr">
        <is>
          <t>VÄSTERNORRLANDS LÄN</t>
        </is>
      </c>
      <c r="G77" t="inlineStr">
        <is>
          <t>HÄRNÖSAND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Apelsinticka</t>
        </is>
      </c>
      <c r="W77">
        <f>HYPERLINK("https://klasma.github.io/Logging_2280/artfynd/A 8921-2024 artfynd.xlsx", "A 8921-2024")</f>
        <v/>
      </c>
      <c r="X77">
        <f>HYPERLINK("https://klasma.github.io/Logging_2280/kartor/A 8921-2024 karta.png", "A 8921-2024")</f>
        <v/>
      </c>
      <c r="Y77">
        <f>HYPERLINK("https://klasma.github.io/Logging_2280/kartor_geotiff/A 8921-2024 georefererad karta.tif", "A 8921-2024")</f>
        <v/>
      </c>
      <c r="AA77">
        <f>HYPERLINK("https://klasma.github.io/Logging_2280/klagomål/A 8921-2024 FSC-klagomål.docx", "A 8921-2024")</f>
        <v/>
      </c>
      <c r="AB77">
        <f>HYPERLINK("https://klasma.github.io/Logging_2280/klagomålsmail/A 8921-2024 FSC-klagomål mail.docx", "A 8921-2024")</f>
        <v/>
      </c>
      <c r="AC77">
        <f>HYPERLINK("https://klasma.github.io/Logging_2280/tillsyn/A 8921-2024 tillsynsbegäran.docx", "A 8921-2024")</f>
        <v/>
      </c>
      <c r="AD77">
        <f>HYPERLINK("https://klasma.github.io/Logging_2280/tillsynsmail/A 8921-2024 tillsynsbegäran mail.docx", "A 8921-2024")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46279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Älg</t>
        </is>
      </c>
      <c r="W78">
        <f>HYPERLINK("https://klasma.github.io/Logging_2280/artfynd/A 63724-2023 artfynd.xlsx", "A 63724-2023")</f>
        <v/>
      </c>
      <c r="X78">
        <f>HYPERLINK("https://klasma.github.io/Logging_2280/kartor/A 63724-2023 karta.png", "A 63724-2023")</f>
        <v/>
      </c>
      <c r="Y78">
        <f>HYPERLINK("https://klasma.github.io/Logging_2280/kartor_geotiff/A 63724-2023 georefererad karta.tif", "A 63724-2023")</f>
        <v/>
      </c>
      <c r="AA78">
        <f>HYPERLINK("https://klasma.github.io/Logging_2280/klagomål/A 63724-2023 FSC-klagomål.docx", "A 63724-2023")</f>
        <v/>
      </c>
      <c r="AB78">
        <f>HYPERLINK("https://klasma.github.io/Logging_2280/klagomålsmail/A 63724-2023 FSC-klagomål mail.docx", "A 63724-2023")</f>
        <v/>
      </c>
      <c r="AC78">
        <f>HYPERLINK("https://klasma.github.io/Logging_2280/tillsyn/A 63724-2023 tillsynsbegäran.docx", "A 63724-2023")</f>
        <v/>
      </c>
      <c r="AD78">
        <f>HYPERLINK("https://klasma.github.io/Logging_2280/tillsynsmail/A 63724-2023 tillsynsbegäran mail.docx", "A 63724-2023")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46279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46279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46279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46279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46279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46279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46279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46279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46279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46279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46279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46279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46279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46279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46279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46279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46279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46279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46279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46279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46279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46279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46279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46279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46279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46279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46279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46279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46279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46279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46279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46279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46279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46279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46279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46279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46279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46279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46279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46279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46279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46279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46279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46279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46279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46279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46279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46279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46279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46279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46279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46279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46279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46279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46279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46279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46279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45409</v>
      </c>
      <c r="E137" s="1" t="n">
        <v>46279</v>
      </c>
      <c r="F137" t="inlineStr">
        <is>
          <t>VÄSTERNORRLANDS LÄN</t>
        </is>
      </c>
      <c r="G137" t="inlineStr">
        <is>
          <t>HÄRNÖSAND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35595-2024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45531</v>
      </c>
      <c r="E138" s="1" t="n">
        <v>46279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46279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46279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46279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46279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46279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46279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46279</v>
      </c>
      <c r="F145" t="inlineStr">
        <is>
          <t>VÄSTERNORRLANDS LÄN</t>
        </is>
      </c>
      <c r="G145" t="inlineStr">
        <is>
          <t>HÄRNÖSAND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46279</v>
      </c>
      <c r="F146" t="inlineStr">
        <is>
          <t>VÄSTERNORRLANDS LÄN</t>
        </is>
      </c>
      <c r="G146" t="inlineStr">
        <is>
          <t>HÄRNÖSAND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46279</v>
      </c>
      <c r="F147" t="inlineStr">
        <is>
          <t>VÄSTERNORRLANDS LÄN</t>
        </is>
      </c>
      <c r="G147" t="inlineStr">
        <is>
          <t>HÄRNÖSAND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46279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46279</v>
      </c>
      <c r="F149" t="inlineStr">
        <is>
          <t>VÄSTERNORRLANDS LÄN</t>
        </is>
      </c>
      <c r="G149" t="inlineStr">
        <is>
          <t>HÄRNÖSAND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46279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50338-2022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44865</v>
      </c>
      <c r="E151" s="1" t="n">
        <v>46279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45511</v>
      </c>
      <c r="E152" s="1" t="n">
        <v>46279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46279</v>
      </c>
      <c r="F153" t="inlineStr">
        <is>
          <t>VÄSTERNORRLANDS LÄN</t>
        </is>
      </c>
      <c r="G153" t="inlineStr">
        <is>
          <t>HÄRNÖSAND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46279</v>
      </c>
      <c r="F154" t="inlineStr">
        <is>
          <t>VÄSTERNORRLANDS LÄN</t>
        </is>
      </c>
      <c r="G154" t="inlineStr">
        <is>
          <t>HÄRNÖSAND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45476</v>
      </c>
      <c r="E155" s="1" t="n">
        <v>46279</v>
      </c>
      <c r="F155" t="inlineStr">
        <is>
          <t>VÄSTERNORRLANDS LÄN</t>
        </is>
      </c>
      <c r="G155" t="inlineStr">
        <is>
          <t>HÄRNÖSAND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45293</v>
      </c>
      <c r="E156" s="1" t="n">
        <v>46279</v>
      </c>
      <c r="F156" t="inlineStr">
        <is>
          <t>VÄSTERNORRLANDS LÄN</t>
        </is>
      </c>
      <c r="G156" t="inlineStr">
        <is>
          <t>HÄRNÖSAND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46279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46279</v>
      </c>
      <c r="F158" t="inlineStr">
        <is>
          <t>VÄSTERNORRLANDS LÄN</t>
        </is>
      </c>
      <c r="G158" t="inlineStr">
        <is>
          <t>HÄRNÖSAND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46279</v>
      </c>
      <c r="F159" t="inlineStr">
        <is>
          <t>VÄSTERNORRLANDS LÄN</t>
        </is>
      </c>
      <c r="G159" t="inlineStr">
        <is>
          <t>HÄRNÖSAND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46279</v>
      </c>
      <c r="F160" t="inlineStr">
        <is>
          <t>VÄSTERNORRLANDS LÄN</t>
        </is>
      </c>
      <c r="G160" t="inlineStr">
        <is>
          <t>HÄRNÖSAND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69269-2021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46279</v>
      </c>
      <c r="F161" t="inlineStr">
        <is>
          <t>VÄSTERNORRLANDS LÄN</t>
        </is>
      </c>
      <c r="G161" t="inlineStr">
        <is>
          <t>HÄRNÖSAND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49039-2023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45209</v>
      </c>
      <c r="E162" s="1" t="n">
        <v>46279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46279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46279</v>
      </c>
      <c r="F164" t="inlineStr">
        <is>
          <t>VÄSTERNORRLANDS LÄN</t>
        </is>
      </c>
      <c r="G164" t="inlineStr">
        <is>
          <t>HÄRNÖSAND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54251-2022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44881</v>
      </c>
      <c r="E165" s="1" t="n">
        <v>46279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46279</v>
      </c>
      <c r="F166" t="inlineStr">
        <is>
          <t>VÄSTERNORRLANDS LÄN</t>
        </is>
      </c>
      <c r="G166" t="inlineStr">
        <is>
          <t>HÄRNÖSAND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46279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Övriga statliga verk och myndigheter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45576</v>
      </c>
      <c r="E168" s="1" t="n">
        <v>46279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46279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46279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Kyrkan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46279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Kyrkan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46279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46279</v>
      </c>
      <c r="F173" t="inlineStr">
        <is>
          <t>VÄSTERNORRLANDS LÄN</t>
        </is>
      </c>
      <c r="G173" t="inlineStr">
        <is>
          <t>HÄRNÖSAND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46279</v>
      </c>
      <c r="F174" t="inlineStr">
        <is>
          <t>VÄSTERNORRLANDS LÄN</t>
        </is>
      </c>
      <c r="G174" t="inlineStr">
        <is>
          <t>HÄRNÖSAND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46279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46279</v>
      </c>
      <c r="F176" t="inlineStr">
        <is>
          <t>VÄSTERNORRLANDS LÄN</t>
        </is>
      </c>
      <c r="G176" t="inlineStr">
        <is>
          <t>HÄRNÖSAND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46279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Kyrkan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46065</v>
      </c>
      <c r="E178" s="1" t="n">
        <v>46279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46279</v>
      </c>
      <c r="F179" t="inlineStr">
        <is>
          <t>VÄSTERNORRLANDS LÄN</t>
        </is>
      </c>
      <c r="G179" t="inlineStr">
        <is>
          <t>HÄRNÖSAND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46279</v>
      </c>
      <c r="F180" t="inlineStr">
        <is>
          <t>VÄSTERNORRLANDS LÄN</t>
        </is>
      </c>
      <c r="G180" t="inlineStr">
        <is>
          <t>HÄRNÖSAND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46279</v>
      </c>
      <c r="F181" t="inlineStr">
        <is>
          <t>VÄSTERNORRLANDS LÄN</t>
        </is>
      </c>
      <c r="G181" t="inlineStr">
        <is>
          <t>HÄRNÖSAND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46279</v>
      </c>
      <c r="F182" t="inlineStr">
        <is>
          <t>VÄSTERNORRLANDS LÄN</t>
        </is>
      </c>
      <c r="G182" t="inlineStr">
        <is>
          <t>HÄRNÖSAND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46279</v>
      </c>
      <c r="F183" t="inlineStr">
        <is>
          <t>VÄSTERNORRLANDS LÄN</t>
        </is>
      </c>
      <c r="G183" t="inlineStr">
        <is>
          <t>HÄRNÖSAND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46279</v>
      </c>
      <c r="F184" t="inlineStr">
        <is>
          <t>VÄSTERNORRLANDS LÄN</t>
        </is>
      </c>
      <c r="G184" t="inlineStr">
        <is>
          <t>HÄRNÖSAND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46279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46279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46279</v>
      </c>
      <c r="F187" t="inlineStr">
        <is>
          <t>VÄSTERNORRLANDS LÄN</t>
        </is>
      </c>
      <c r="G187" t="inlineStr">
        <is>
          <t>HÄRNÖSAND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46279</v>
      </c>
      <c r="F188" t="inlineStr">
        <is>
          <t>VÄSTERNORRLANDS LÄN</t>
        </is>
      </c>
      <c r="G188" t="inlineStr">
        <is>
          <t>HÄRNÖSAND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45833</v>
      </c>
      <c r="E189" s="1" t="n">
        <v>46279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46279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46279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46279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46279</v>
      </c>
      <c r="F193" t="inlineStr">
        <is>
          <t>VÄSTERNORRLANDS LÄN</t>
        </is>
      </c>
      <c r="G193" t="inlineStr">
        <is>
          <t>HÄRNÖSAND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46072</v>
      </c>
      <c r="E194" s="1" t="n">
        <v>46279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46279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45837</v>
      </c>
      <c r="E196" s="1" t="n">
        <v>46279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46279</v>
      </c>
      <c r="F197" t="inlineStr">
        <is>
          <t>VÄSTERNORRLANDS LÄN</t>
        </is>
      </c>
      <c r="G197" t="inlineStr">
        <is>
          <t>HÄRNÖSAND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46279</v>
      </c>
      <c r="F198" t="inlineStr">
        <is>
          <t>VÄSTERNORRLANDS LÄN</t>
        </is>
      </c>
      <c r="G198" t="inlineStr">
        <is>
          <t>HÄRNÖSAND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46279</v>
      </c>
      <c r="F199" t="inlineStr">
        <is>
          <t>VÄSTERNORRLANDS LÄN</t>
        </is>
      </c>
      <c r="G199" t="inlineStr">
        <is>
          <t>HÄRNÖSAND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46279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45837</v>
      </c>
      <c r="E201" s="1" t="n">
        <v>46279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46279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46279</v>
      </c>
      <c r="F203" t="inlineStr">
        <is>
          <t>VÄSTERNORRLANDS LÄN</t>
        </is>
      </c>
      <c r="G203" t="inlineStr">
        <is>
          <t>HÄRNÖSAND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46279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46279</v>
      </c>
      <c r="F205" t="inlineStr">
        <is>
          <t>VÄSTERNORRLANDS LÄN</t>
        </is>
      </c>
      <c r="G205" t="inlineStr">
        <is>
          <t>HÄRNÖSAND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45505</v>
      </c>
      <c r="E206" s="1" t="n">
        <v>46279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46279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46279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46279</v>
      </c>
      <c r="F209" t="inlineStr">
        <is>
          <t>VÄSTERNORRLANDS LÄN</t>
        </is>
      </c>
      <c r="G209" t="inlineStr">
        <is>
          <t>HÄRNÖSAND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46279</v>
      </c>
      <c r="F210" t="inlineStr">
        <is>
          <t>VÄSTERNORRLANDS LÄN</t>
        </is>
      </c>
      <c r="G210" t="inlineStr">
        <is>
          <t>HÄRNÖSAND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46279</v>
      </c>
      <c r="F211" t="inlineStr">
        <is>
          <t>VÄSTERNORRLANDS LÄN</t>
        </is>
      </c>
      <c r="G211" t="inlineStr">
        <is>
          <t>HÄRNÖSAND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46279</v>
      </c>
      <c r="F212" t="inlineStr">
        <is>
          <t>VÄSTERNORRLANDS LÄN</t>
        </is>
      </c>
      <c r="G212" t="inlineStr">
        <is>
          <t>HÄRNÖSAND</t>
        </is>
      </c>
      <c r="I212" t="n">
        <v>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34751-2025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45848</v>
      </c>
      <c r="E213" s="1" t="n">
        <v>46279</v>
      </c>
      <c r="F213" t="inlineStr">
        <is>
          <t>VÄSTERNORRLANDS LÄN</t>
        </is>
      </c>
      <c r="G213" t="inlineStr">
        <is>
          <t>HÄRNÖSAND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41562-2025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45901</v>
      </c>
      <c r="E214" s="1" t="n">
        <v>46279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46279</v>
      </c>
      <c r="F215" t="inlineStr">
        <is>
          <t>VÄSTERNORRLANDS LÄN</t>
        </is>
      </c>
      <c r="G215" t="inlineStr">
        <is>
          <t>HÄRNÖSAND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46279</v>
      </c>
      <c r="F216" t="inlineStr">
        <is>
          <t>VÄSTERNORRLANDS LÄN</t>
        </is>
      </c>
      <c r="G216" t="inlineStr">
        <is>
          <t>HÄRNÖSAND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45853</v>
      </c>
      <c r="E217" s="1" t="n">
        <v>46279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46279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46279</v>
      </c>
      <c r="F219" t="inlineStr">
        <is>
          <t>VÄSTERNORRLANDS LÄN</t>
        </is>
      </c>
      <c r="G219" t="inlineStr">
        <is>
          <t>HÄRNÖSAND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46279</v>
      </c>
      <c r="F220" t="inlineStr">
        <is>
          <t>VÄSTERNORRLANDS LÄN</t>
        </is>
      </c>
      <c r="G220" t="inlineStr">
        <is>
          <t>HÄRNÖSAND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46279</v>
      </c>
      <c r="F221" t="inlineStr">
        <is>
          <t>VÄSTERNORRLANDS LÄN</t>
        </is>
      </c>
      <c r="G221" t="inlineStr">
        <is>
          <t>HÄRNÖSAND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46279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46072</v>
      </c>
      <c r="E223" s="1" t="n">
        <v>46279</v>
      </c>
      <c r="F223" t="inlineStr">
        <is>
          <t>VÄSTERNORRLANDS LÄN</t>
        </is>
      </c>
      <c r="G223" t="inlineStr">
        <is>
          <t>HÄRNÖSAND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46279</v>
      </c>
      <c r="F224" t="inlineStr">
        <is>
          <t>VÄSTERNORRLANDS LÄN</t>
        </is>
      </c>
      <c r="G224" t="inlineStr">
        <is>
          <t>HÄRNÖSAND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45741</v>
      </c>
      <c r="E225" s="1" t="n">
        <v>46279</v>
      </c>
      <c r="F225" t="inlineStr">
        <is>
          <t>VÄSTERNORRLANDS LÄN</t>
        </is>
      </c>
      <c r="G225" t="inlineStr">
        <is>
          <t>HÄRNÖSAND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46279</v>
      </c>
      <c r="F226" t="inlineStr">
        <is>
          <t>VÄSTERNORRLANDS LÄN</t>
        </is>
      </c>
      <c r="G226" t="inlineStr">
        <is>
          <t>HÄRNÖSAND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46279</v>
      </c>
      <c r="F227" t="inlineStr">
        <is>
          <t>VÄSTERNORRLANDS LÄN</t>
        </is>
      </c>
      <c r="G227" t="inlineStr">
        <is>
          <t>HÄRNÖSAND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44732</v>
      </c>
      <c r="E228" s="1" t="n">
        <v>46279</v>
      </c>
      <c r="F228" t="inlineStr">
        <is>
          <t>VÄSTERNORRLANDS LÄN</t>
        </is>
      </c>
      <c r="G228" t="inlineStr">
        <is>
          <t>HÄRNÖSAND</t>
        </is>
      </c>
      <c r="I228" t="n">
        <v>18.7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46279</v>
      </c>
      <c r="F229" t="inlineStr">
        <is>
          <t>VÄSTERNORRLANDS LÄN</t>
        </is>
      </c>
      <c r="G229" t="inlineStr">
        <is>
          <t>HÄRNÖSAND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46279</v>
      </c>
      <c r="F230" t="inlineStr">
        <is>
          <t>VÄSTERNORRLANDS LÄN</t>
        </is>
      </c>
      <c r="G230" t="inlineStr">
        <is>
          <t>HÄRNÖSAND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46279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46279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46279</v>
      </c>
      <c r="F233" t="inlineStr">
        <is>
          <t>VÄSTERNORRLANDS LÄN</t>
        </is>
      </c>
      <c r="G233" t="inlineStr">
        <is>
          <t>HÄRNÖSAND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46279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46279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45314</v>
      </c>
      <c r="E236" s="1" t="n">
        <v>46279</v>
      </c>
      <c r="F236" t="inlineStr">
        <is>
          <t>VÄSTERNORRLANDS LÄN</t>
        </is>
      </c>
      <c r="G236" t="inlineStr">
        <is>
          <t>HÄRNÖSAND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46279</v>
      </c>
      <c r="F237" t="inlineStr">
        <is>
          <t>VÄSTERNORRLANDS LÄN</t>
        </is>
      </c>
      <c r="G237" t="inlineStr">
        <is>
          <t>HÄRNÖSAND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46279</v>
      </c>
      <c r="F238" t="inlineStr">
        <is>
          <t>VÄSTERNORRLANDS LÄN</t>
        </is>
      </c>
      <c r="G238" t="inlineStr">
        <is>
          <t>HÄRNÖSAND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46279</v>
      </c>
      <c r="F239" t="inlineStr">
        <is>
          <t>VÄSTERNORRLANDS LÄN</t>
        </is>
      </c>
      <c r="G239" t="inlineStr">
        <is>
          <t>HÄRNÖSAND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46279</v>
      </c>
      <c r="F240" t="inlineStr">
        <is>
          <t>VÄSTERNORRLANDS LÄN</t>
        </is>
      </c>
      <c r="G240" t="inlineStr">
        <is>
          <t>HÄRNÖSAND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45919</v>
      </c>
      <c r="E241" s="1" t="n">
        <v>46279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46279</v>
      </c>
      <c r="F242" t="inlineStr">
        <is>
          <t>VÄSTERNORRLANDS LÄN</t>
        </is>
      </c>
      <c r="G242" t="inlineStr">
        <is>
          <t>HÄRNÖSAND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46279</v>
      </c>
      <c r="F243" t="inlineStr">
        <is>
          <t>VÄSTERNORRLANDS LÄN</t>
        </is>
      </c>
      <c r="G243" t="inlineStr">
        <is>
          <t>HÄRNÖSAND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46279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46279</v>
      </c>
      <c r="F245" t="inlineStr">
        <is>
          <t>VÄSTERNORRLANDS LÄN</t>
        </is>
      </c>
      <c r="G245" t="inlineStr">
        <is>
          <t>HÄRNÖSAND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46279</v>
      </c>
      <c r="F246" t="inlineStr">
        <is>
          <t>VÄSTERNORRLANDS LÄN</t>
        </is>
      </c>
      <c r="G246" t="inlineStr">
        <is>
          <t>HÄRNÖSAND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46279</v>
      </c>
      <c r="F247" t="inlineStr">
        <is>
          <t>VÄSTERNORRLANDS LÄN</t>
        </is>
      </c>
      <c r="G247" t="inlineStr">
        <is>
          <t>HÄRNÖSAND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46279</v>
      </c>
      <c r="F248" t="inlineStr">
        <is>
          <t>VÄSTERNORRLANDS LÄN</t>
        </is>
      </c>
      <c r="G248" t="inlineStr">
        <is>
          <t>HÄRNÖSAND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46279</v>
      </c>
      <c r="F249" t="inlineStr">
        <is>
          <t>VÄSTERNORRLANDS LÄN</t>
        </is>
      </c>
      <c r="G249" t="inlineStr">
        <is>
          <t>HÄRNÖSAND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45924</v>
      </c>
      <c r="E250" s="1" t="n">
        <v>46279</v>
      </c>
      <c r="F250" t="inlineStr">
        <is>
          <t>VÄSTERNORRLANDS LÄN</t>
        </is>
      </c>
      <c r="G250" t="inlineStr">
        <is>
          <t>HÄRNÖSAND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46279</v>
      </c>
      <c r="F251" t="inlineStr">
        <is>
          <t>VÄSTERNORRLANDS LÄN</t>
        </is>
      </c>
      <c r="G251" t="inlineStr">
        <is>
          <t>HÄRNÖSAND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46279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46279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59408-2024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45638</v>
      </c>
      <c r="E254" s="1" t="n">
        <v>46279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11202-2026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46080</v>
      </c>
      <c r="E255" s="1" t="n">
        <v>46279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46279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46279</v>
      </c>
      <c r="F257" t="inlineStr">
        <is>
          <t>VÄSTERNORRLANDS LÄN</t>
        </is>
      </c>
      <c r="G257" t="inlineStr">
        <is>
          <t>HÄRNÖSAND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46279</v>
      </c>
      <c r="F258" t="inlineStr">
        <is>
          <t>VÄSTERNORRLANDS LÄN</t>
        </is>
      </c>
      <c r="G258" t="inlineStr">
        <is>
          <t>HÄRNÖSAND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46279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44743</v>
      </c>
      <c r="E260" s="1" t="n">
        <v>46279</v>
      </c>
      <c r="F260" t="inlineStr">
        <is>
          <t>VÄSTERNORRLANDS LÄN</t>
        </is>
      </c>
      <c r="G260" t="inlineStr">
        <is>
          <t>HÄRNÖSAND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46279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46279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46279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46279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Kyrkan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46279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46279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Övriga statliga verk och myndigheter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46279</v>
      </c>
      <c r="F267" t="inlineStr">
        <is>
          <t>VÄSTERNORRLANDS LÄN</t>
        </is>
      </c>
      <c r="G267" t="inlineStr">
        <is>
          <t>HÄRNÖSAND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12650-2026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46091</v>
      </c>
      <c r="E268" s="1" t="n">
        <v>46279</v>
      </c>
      <c r="F268" t="inlineStr">
        <is>
          <t>VÄSTERNORRLANDS LÄN</t>
        </is>
      </c>
      <c r="G268" t="inlineStr">
        <is>
          <t>HÄRNÖSAND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46091</v>
      </c>
      <c r="E269" s="1" t="n">
        <v>46279</v>
      </c>
      <c r="F269" t="inlineStr">
        <is>
          <t>VÄSTERNORRLANDS LÄN</t>
        </is>
      </c>
      <c r="G269" t="inlineStr">
        <is>
          <t>HÄRNÖSAND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46279</v>
      </c>
      <c r="F270" t="inlineStr">
        <is>
          <t>VÄSTERNORRLANDS LÄN</t>
        </is>
      </c>
      <c r="G270" t="inlineStr">
        <is>
          <t>HÄRNÖSAND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46279</v>
      </c>
      <c r="F271" t="inlineStr">
        <is>
          <t>VÄSTERNORRLANDS LÄN</t>
        </is>
      </c>
      <c r="G271" t="inlineStr">
        <is>
          <t>HÄRNÖSAND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46279</v>
      </c>
      <c r="F272" t="inlineStr">
        <is>
          <t>VÄSTERNORRLANDS LÄN</t>
        </is>
      </c>
      <c r="G272" t="inlineStr">
        <is>
          <t>HÄRNÖSAND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46279</v>
      </c>
      <c r="F273" t="inlineStr">
        <is>
          <t>VÄSTERNORRLANDS LÄN</t>
        </is>
      </c>
      <c r="G273" t="inlineStr">
        <is>
          <t>HÄRNÖSAND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46279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46279</v>
      </c>
      <c r="F275" t="inlineStr">
        <is>
          <t>VÄSTERNORRLANDS LÄN</t>
        </is>
      </c>
      <c r="G275" t="inlineStr">
        <is>
          <t>HÄRNÖSAND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40452-2023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45168</v>
      </c>
      <c r="E276" s="1" t="n">
        <v>46279</v>
      </c>
      <c r="F276" t="inlineStr">
        <is>
          <t>VÄSTERNORRLANDS LÄN</t>
        </is>
      </c>
      <c r="G276" t="inlineStr">
        <is>
          <t>HÄRNÖSAND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44853</v>
      </c>
      <c r="E277" s="1" t="n">
        <v>46279</v>
      </c>
      <c r="F277" t="inlineStr">
        <is>
          <t>VÄSTERNORRLANDS LÄN</t>
        </is>
      </c>
      <c r="G277" t="inlineStr">
        <is>
          <t>HÄRNÖSAND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45138</v>
      </c>
      <c r="E278" s="1" t="n">
        <v>46279</v>
      </c>
      <c r="F278" t="inlineStr">
        <is>
          <t>VÄSTERNORRLANDS LÄN</t>
        </is>
      </c>
      <c r="G278" t="inlineStr">
        <is>
          <t>HÄRNÖSAND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46279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46279</v>
      </c>
      <c r="F280" t="inlineStr">
        <is>
          <t>VÄSTERNORRLANDS LÄN</t>
        </is>
      </c>
      <c r="G280" t="inlineStr">
        <is>
          <t>HÄRNÖSAND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46279</v>
      </c>
      <c r="F281" t="inlineStr">
        <is>
          <t>VÄSTERNORRLANDS LÄN</t>
        </is>
      </c>
      <c r="G281" t="inlineStr">
        <is>
          <t>HÄRNÖSAND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46279</v>
      </c>
      <c r="F282" t="inlineStr">
        <is>
          <t>VÄSTERNORRLANDS LÄN</t>
        </is>
      </c>
      <c r="G282" t="inlineStr">
        <is>
          <t>HÄRNÖSAND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45545</v>
      </c>
      <c r="E283" s="1" t="n">
        <v>46279</v>
      </c>
      <c r="F283" t="inlineStr">
        <is>
          <t>VÄSTERNORRLANDS LÄN</t>
        </is>
      </c>
      <c r="G283" t="inlineStr">
        <is>
          <t>HÄRNÖSAND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46279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46279</v>
      </c>
      <c r="F285" t="inlineStr">
        <is>
          <t>VÄSTERNORRLANDS LÄN</t>
        </is>
      </c>
      <c r="G285" t="inlineStr">
        <is>
          <t>HÄRNÖSAND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46279</v>
      </c>
      <c r="F286" t="inlineStr">
        <is>
          <t>VÄSTERNORRLANDS LÄN</t>
        </is>
      </c>
      <c r="G286" t="inlineStr">
        <is>
          <t>HÄRNÖSAND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46279</v>
      </c>
      <c r="F287" t="inlineStr">
        <is>
          <t>VÄSTERNORRLANDS LÄN</t>
        </is>
      </c>
      <c r="G287" t="inlineStr">
        <is>
          <t>HÄRNÖSAND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46279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46279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46279</v>
      </c>
      <c r="F290" t="inlineStr">
        <is>
          <t>VÄSTERNORRLANDS LÄN</t>
        </is>
      </c>
      <c r="G290" t="inlineStr">
        <is>
          <t>HÄRNÖSAND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46279</v>
      </c>
      <c r="F291" t="inlineStr">
        <is>
          <t>VÄSTERNORRLANDS LÄN</t>
        </is>
      </c>
      <c r="G291" t="inlineStr">
        <is>
          <t>HÄRNÖSAND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46279</v>
      </c>
      <c r="F292" t="inlineStr">
        <is>
          <t>VÄSTERNORRLANDS LÄN</t>
        </is>
      </c>
      <c r="G292" t="inlineStr">
        <is>
          <t>HÄRNÖSAND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46279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46279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46279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46279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44936</v>
      </c>
      <c r="E297" s="1" t="n">
        <v>46279</v>
      </c>
      <c r="F297" t="inlineStr">
        <is>
          <t>VÄSTERNORRLANDS LÄN</t>
        </is>
      </c>
      <c r="G297" t="inlineStr">
        <is>
          <t>HÄRNÖSAND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46279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46279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46279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45685</v>
      </c>
      <c r="E301" s="1" t="n">
        <v>46279</v>
      </c>
      <c r="F301" t="inlineStr">
        <is>
          <t>VÄSTERNORRLANDS LÄN</t>
        </is>
      </c>
      <c r="G301" t="inlineStr">
        <is>
          <t>HÄRNÖSAND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46279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46279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46279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46279</v>
      </c>
      <c r="F305" t="inlineStr">
        <is>
          <t>VÄSTERNORRLANDS LÄN</t>
        </is>
      </c>
      <c r="G305" t="inlineStr">
        <is>
          <t>HÄRNÖSAND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46279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46279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46279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46279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46279</v>
      </c>
      <c r="F310" t="inlineStr">
        <is>
          <t>VÄSTERNORRLANDS LÄN</t>
        </is>
      </c>
      <c r="G310" t="inlineStr">
        <is>
          <t>HÄRNÖSAND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46279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46279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46279</v>
      </c>
      <c r="F313" t="inlineStr">
        <is>
          <t>VÄSTERNORRLANDS LÄN</t>
        </is>
      </c>
      <c r="G313" t="inlineStr">
        <is>
          <t>HÄRNÖSAND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46279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46279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44603</v>
      </c>
      <c r="E316" s="1" t="n">
        <v>46279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46279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46279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46279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46279</v>
      </c>
      <c r="F320" t="inlineStr">
        <is>
          <t>VÄSTERNORRLANDS LÄN</t>
        </is>
      </c>
      <c r="G320" t="inlineStr">
        <is>
          <t>HÄRNÖSAND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45203</v>
      </c>
      <c r="E321" s="1" t="n">
        <v>46279</v>
      </c>
      <c r="F321" t="inlineStr">
        <is>
          <t>VÄSTERNORRLANDS LÄN</t>
        </is>
      </c>
      <c r="G321" t="inlineStr">
        <is>
          <t>HÄRNÖSAND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46279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46279</v>
      </c>
      <c r="F323" t="inlineStr">
        <is>
          <t>VÄSTERNORRLANDS LÄN</t>
        </is>
      </c>
      <c r="G323" t="inlineStr">
        <is>
          <t>HÄRNÖSAND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46279</v>
      </c>
      <c r="F324" t="inlineStr">
        <is>
          <t>VÄSTERNORRLANDS LÄN</t>
        </is>
      </c>
      <c r="G324" t="inlineStr">
        <is>
          <t>HÄRNÖSAND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18393-2026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46279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31.9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46279</v>
      </c>
      <c r="F326" t="inlineStr">
        <is>
          <t>VÄSTERNORRLANDS LÄN</t>
        </is>
      </c>
      <c r="G326" t="inlineStr">
        <is>
          <t>HÄRNÖSAND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46279</v>
      </c>
      <c r="F327" t="inlineStr">
        <is>
          <t>VÄSTERNORRLANDS LÄN</t>
        </is>
      </c>
      <c r="G327" t="inlineStr">
        <is>
          <t>HÄRNÖSAND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46279</v>
      </c>
      <c r="F328" t="inlineStr">
        <is>
          <t>VÄSTERNORRLANDS LÄN</t>
        </is>
      </c>
      <c r="G328" t="inlineStr">
        <is>
          <t>HÄRNÖSAND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44596</v>
      </c>
      <c r="E329" s="1" t="n">
        <v>46279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Övriga statliga verk och myndigheter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46279</v>
      </c>
      <c r="F330" t="inlineStr">
        <is>
          <t>VÄSTERNORRLANDS LÄN</t>
        </is>
      </c>
      <c r="G330" t="inlineStr">
        <is>
          <t>HÄRNÖSAND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46279</v>
      </c>
      <c r="F331" t="inlineStr">
        <is>
          <t>VÄSTERNORRLANDS LÄN</t>
        </is>
      </c>
      <c r="G331" t="inlineStr">
        <is>
          <t>HÄRNÖSAND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46279</v>
      </c>
      <c r="F332" t="inlineStr">
        <is>
          <t>VÄSTERNORRLANDS LÄN</t>
        </is>
      </c>
      <c r="G332" t="inlineStr">
        <is>
          <t>HÄRNÖSAND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46279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46279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46279</v>
      </c>
      <c r="F335" t="inlineStr">
        <is>
          <t>VÄSTERNORRLANDS LÄN</t>
        </is>
      </c>
      <c r="G335" t="inlineStr">
        <is>
          <t>HÄRNÖSAND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46279</v>
      </c>
      <c r="F336" t="inlineStr">
        <is>
          <t>VÄSTERNORRLANDS LÄN</t>
        </is>
      </c>
      <c r="G336" t="inlineStr">
        <is>
          <t>HÄRNÖSAND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46279</v>
      </c>
      <c r="F337" t="inlineStr">
        <is>
          <t>VÄSTERNORRLANDS LÄN</t>
        </is>
      </c>
      <c r="G337" t="inlineStr">
        <is>
          <t>HÄRNÖSAND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46279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45723</v>
      </c>
      <c r="E339" s="1" t="n">
        <v>46279</v>
      </c>
      <c r="F339" t="inlineStr">
        <is>
          <t>VÄSTERNORRLANDS LÄN</t>
        </is>
      </c>
      <c r="G339" t="inlineStr">
        <is>
          <t>HÄRNÖSAND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46279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46279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44991</v>
      </c>
      <c r="E342" s="1" t="n">
        <v>46279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46279</v>
      </c>
      <c r="F343" t="inlineStr">
        <is>
          <t>VÄSTERNORRLANDS LÄN</t>
        </is>
      </c>
      <c r="G343" t="inlineStr">
        <is>
          <t>HÄRNÖSAND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46279</v>
      </c>
      <c r="F344" t="inlineStr">
        <is>
          <t>VÄSTERNORRLANDS LÄN</t>
        </is>
      </c>
      <c r="G344" t="inlineStr">
        <is>
          <t>HÄRNÖSAND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46279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46279</v>
      </c>
      <c r="F346" t="inlineStr">
        <is>
          <t>VÄSTERNORRLANDS LÄN</t>
        </is>
      </c>
      <c r="G346" t="inlineStr">
        <is>
          <t>HÄRNÖSAND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46279</v>
      </c>
      <c r="F347" t="inlineStr">
        <is>
          <t>VÄSTERNORRLANDS LÄN</t>
        </is>
      </c>
      <c r="G347" t="inlineStr">
        <is>
          <t>HÄRNÖSAND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46023</v>
      </c>
      <c r="E348" s="1" t="n">
        <v>46279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46279</v>
      </c>
      <c r="F349" t="inlineStr">
        <is>
          <t>VÄSTERNORRLANDS LÄN</t>
        </is>
      </c>
      <c r="G349" t="inlineStr">
        <is>
          <t>HÄRNÖSAND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46279</v>
      </c>
      <c r="F350" t="inlineStr">
        <is>
          <t>VÄSTERNORRLANDS LÄN</t>
        </is>
      </c>
      <c r="G350" t="inlineStr">
        <is>
          <t>HÄRNÖSAND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45293</v>
      </c>
      <c r="E351" s="1" t="n">
        <v>46279</v>
      </c>
      <c r="F351" t="inlineStr">
        <is>
          <t>VÄSTERNORRLANDS LÄN</t>
        </is>
      </c>
      <c r="G351" t="inlineStr">
        <is>
          <t>HÄRNÖSAND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44497</v>
      </c>
      <c r="E352" s="1" t="n">
        <v>46279</v>
      </c>
      <c r="F352" t="inlineStr">
        <is>
          <t>VÄSTERNORRLANDS LÄN</t>
        </is>
      </c>
      <c r="G352" t="inlineStr">
        <is>
          <t>HÄRNÖSAND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46279</v>
      </c>
      <c r="F353" t="inlineStr">
        <is>
          <t>VÄSTERNORRLANDS LÄN</t>
        </is>
      </c>
      <c r="G353" t="inlineStr">
        <is>
          <t>HÄRNÖSAND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45329</v>
      </c>
      <c r="E354" s="1" t="n">
        <v>46279</v>
      </c>
      <c r="F354" t="inlineStr">
        <is>
          <t>VÄSTERNORRLANDS LÄN</t>
        </is>
      </c>
      <c r="G354" t="inlineStr">
        <is>
          <t>HÄRNÖSAND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46029</v>
      </c>
      <c r="E355" s="1" t="n">
        <v>46279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46279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46279</v>
      </c>
      <c r="F357" t="inlineStr">
        <is>
          <t>VÄSTERNORRLANDS LÄN</t>
        </is>
      </c>
      <c r="G357" t="inlineStr">
        <is>
          <t>HÄRNÖSAND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46279</v>
      </c>
      <c r="F358" t="inlineStr">
        <is>
          <t>VÄSTERNORRLANDS LÄN</t>
        </is>
      </c>
      <c r="G358" t="inlineStr">
        <is>
          <t>HÄRNÖSAND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46279</v>
      </c>
      <c r="F359" t="inlineStr">
        <is>
          <t>VÄSTERNORRLANDS LÄN</t>
        </is>
      </c>
      <c r="G359" t="inlineStr">
        <is>
          <t>HÄRNÖSAND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46279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34612-2024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45526</v>
      </c>
      <c r="E361" s="1" t="n">
        <v>46279</v>
      </c>
      <c r="F361" t="inlineStr">
        <is>
          <t>VÄSTERNORRLANDS LÄN</t>
        </is>
      </c>
      <c r="G361" t="inlineStr">
        <is>
          <t>HÄRNÖSAND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46319-2022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44847</v>
      </c>
      <c r="E362" s="1" t="n">
        <v>46279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Kyrkan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46279</v>
      </c>
      <c r="F363" t="inlineStr">
        <is>
          <t>VÄSTERNORRLANDS LÄN</t>
        </is>
      </c>
      <c r="G363" t="inlineStr">
        <is>
          <t>HÄRNÖSAND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46279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45352</v>
      </c>
      <c r="E365" s="1" t="n">
        <v>46279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46279</v>
      </c>
      <c r="F366" t="inlineStr">
        <is>
          <t>VÄSTERNORRLANDS LÄN</t>
        </is>
      </c>
      <c r="G366" t="inlineStr">
        <is>
          <t>HÄRNÖSAND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46279</v>
      </c>
      <c r="F367" t="inlineStr">
        <is>
          <t>VÄSTERNORRLANDS LÄN</t>
        </is>
      </c>
      <c r="G367" t="inlineStr">
        <is>
          <t>HÄRNÖSAND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46279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46279</v>
      </c>
      <c r="F369" t="inlineStr">
        <is>
          <t>VÄSTERNORRLANDS LÄN</t>
        </is>
      </c>
      <c r="G369" t="inlineStr">
        <is>
          <t>HÄRNÖSAND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46279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46279</v>
      </c>
      <c r="F371" t="inlineStr">
        <is>
          <t>VÄSTERNORRLANDS LÄN</t>
        </is>
      </c>
      <c r="G371" t="inlineStr">
        <is>
          <t>HÄRNÖSAND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46279</v>
      </c>
      <c r="F372" t="inlineStr">
        <is>
          <t>VÄSTERNORRLANDS LÄN</t>
        </is>
      </c>
      <c r="G372" t="inlineStr">
        <is>
          <t>HÄRNÖSAND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45409</v>
      </c>
      <c r="E373" s="1" t="n">
        <v>46279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46279</v>
      </c>
      <c r="F374" t="inlineStr">
        <is>
          <t>VÄSTERNORRLANDS LÄN</t>
        </is>
      </c>
      <c r="G374" t="inlineStr">
        <is>
          <t>HÄRNÖSAND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44819</v>
      </c>
      <c r="E375" s="1" t="n">
        <v>46279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64023-2023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45278</v>
      </c>
      <c r="E376" s="1" t="n">
        <v>46279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46279</v>
      </c>
      <c r="F377" t="inlineStr">
        <is>
          <t>VÄSTERNORRLANDS LÄN</t>
        </is>
      </c>
      <c r="G377" t="inlineStr">
        <is>
          <t>HÄRNÖSAND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46279</v>
      </c>
      <c r="F378" t="inlineStr">
        <is>
          <t>VÄSTERNORRLANDS LÄN</t>
        </is>
      </c>
      <c r="G378" t="inlineStr">
        <is>
          <t>HÄRNÖSAND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46279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45502</v>
      </c>
      <c r="E380" s="1" t="n">
        <v>46279</v>
      </c>
      <c r="F380" t="inlineStr">
        <is>
          <t>VÄSTERNORRLANDS LÄN</t>
        </is>
      </c>
      <c r="G380" t="inlineStr">
        <is>
          <t>HÄRNÖSAND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46054</v>
      </c>
      <c r="E381" s="1" t="n">
        <v>46279</v>
      </c>
      <c r="F381" t="inlineStr">
        <is>
          <t>VÄSTERNORRLANDS LÄN</t>
        </is>
      </c>
      <c r="G381" t="inlineStr">
        <is>
          <t>HÄRNÖSAND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46279</v>
      </c>
      <c r="F382" t="inlineStr">
        <is>
          <t>VÄSTERNORRLANDS LÄN</t>
        </is>
      </c>
      <c r="G382" t="inlineStr">
        <is>
          <t>HÄRNÖSAND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46279</v>
      </c>
      <c r="F383" t="inlineStr">
        <is>
          <t>VÄSTERNORRLANDS LÄN</t>
        </is>
      </c>
      <c r="G383" t="inlineStr">
        <is>
          <t>HÄRNÖSAND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45771</v>
      </c>
      <c r="E384" s="1" t="n">
        <v>46279</v>
      </c>
      <c r="F384" t="inlineStr">
        <is>
          <t>VÄSTERNORRLANDS LÄN</t>
        </is>
      </c>
      <c r="G384" t="inlineStr">
        <is>
          <t>HÄRNÖSAND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44791</v>
      </c>
      <c r="E385" s="1" t="n">
        <v>46279</v>
      </c>
      <c r="F385" t="inlineStr">
        <is>
          <t>VÄSTERNORRLANDS LÄN</t>
        </is>
      </c>
      <c r="G385" t="inlineStr">
        <is>
          <t>HÄRNÖSAND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46279</v>
      </c>
      <c r="F386" t="inlineStr">
        <is>
          <t>VÄSTERNORRLANDS LÄN</t>
        </is>
      </c>
      <c r="G386" t="inlineStr">
        <is>
          <t>HÄRNÖSAND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46279</v>
      </c>
      <c r="F387" t="inlineStr">
        <is>
          <t>VÄSTERNORRLANDS LÄN</t>
        </is>
      </c>
      <c r="G387" t="inlineStr">
        <is>
          <t>HÄRNÖSAND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62333-2021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44502</v>
      </c>
      <c r="E388" s="1" t="n">
        <v>46279</v>
      </c>
      <c r="F388" t="inlineStr">
        <is>
          <t>VÄSTERNORRLANDS LÄN</t>
        </is>
      </c>
      <c r="G388" t="inlineStr">
        <is>
          <t>HÄRNÖSAND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46279</v>
      </c>
      <c r="F389" t="inlineStr">
        <is>
          <t>VÄSTERNORRLANDS LÄN</t>
        </is>
      </c>
      <c r="G389" t="inlineStr">
        <is>
          <t>HÄRNÖSAND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46279</v>
      </c>
      <c r="F390" t="inlineStr">
        <is>
          <t>VÄSTERNORRLANDS LÄN</t>
        </is>
      </c>
      <c r="G390" t="inlineStr">
        <is>
          <t>HÄRNÖSAND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34011-2024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45523</v>
      </c>
      <c r="E391" s="1" t="n">
        <v>46279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45228</v>
      </c>
      <c r="E392" s="1" t="n">
        <v>46279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46279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46279</v>
      </c>
      <c r="F394" t="inlineStr">
        <is>
          <t>VÄSTERNORRLANDS LÄN</t>
        </is>
      </c>
      <c r="G394" t="inlineStr">
        <is>
          <t>HÄRNÖSAND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46279</v>
      </c>
      <c r="F395" t="inlineStr">
        <is>
          <t>VÄSTERNORRLANDS LÄN</t>
        </is>
      </c>
      <c r="G395" t="inlineStr">
        <is>
          <t>HÄRNÖSAND</t>
        </is>
      </c>
      <c r="I395" t="n">
        <v>14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46279</v>
      </c>
      <c r="F396" t="inlineStr">
        <is>
          <t>VÄSTERNORRLANDS LÄN</t>
        </is>
      </c>
      <c r="G396" t="inlineStr">
        <is>
          <t>HÄRNÖSAND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46279</v>
      </c>
      <c r="F397" t="inlineStr">
        <is>
          <t>VÄSTERNORRLANDS LÄN</t>
        </is>
      </c>
      <c r="G397" t="inlineStr">
        <is>
          <t>HÄRNÖSAND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46279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46279</v>
      </c>
      <c r="F399" t="inlineStr">
        <is>
          <t>VÄSTERNORRLANDS LÄN</t>
        </is>
      </c>
      <c r="G399" t="inlineStr">
        <is>
          <t>HÄRNÖSAND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60970-2021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44496</v>
      </c>
      <c r="E400" s="1" t="n">
        <v>46279</v>
      </c>
      <c r="F400" t="inlineStr">
        <is>
          <t>VÄSTERNORRLANDS LÄN</t>
        </is>
      </c>
      <c r="G400" t="inlineStr">
        <is>
          <t>HÄRNÖSAND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46279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45405</v>
      </c>
      <c r="E402" s="1" t="n">
        <v>46279</v>
      </c>
      <c r="F402" t="inlineStr">
        <is>
          <t>VÄSTERNORRLANDS LÄN</t>
        </is>
      </c>
      <c r="G402" t="inlineStr">
        <is>
          <t>HÄRNÖSAND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46024</v>
      </c>
      <c r="E403" s="1" t="n">
        <v>46279</v>
      </c>
      <c r="F403" t="inlineStr">
        <is>
          <t>VÄSTERNORRLANDS LÄN</t>
        </is>
      </c>
      <c r="G403" t="inlineStr">
        <is>
          <t>HÄRNÖSAND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46279</v>
      </c>
      <c r="F404" t="inlineStr">
        <is>
          <t>VÄSTERNORRLANDS LÄN</t>
        </is>
      </c>
      <c r="G404" t="inlineStr">
        <is>
          <t>HÄRNÖSAND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20863-2026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46279</v>
      </c>
      <c r="F405" t="inlineStr">
        <is>
          <t>VÄSTERNORRLANDS LÄN</t>
        </is>
      </c>
      <c r="G405" t="inlineStr">
        <is>
          <t>HÄRNÖSAND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46279</v>
      </c>
      <c r="F406" t="inlineStr">
        <is>
          <t>VÄSTERNORRLANDS LÄN</t>
        </is>
      </c>
      <c r="G406" t="inlineStr">
        <is>
          <t>HÄRNÖSAND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45334</v>
      </c>
      <c r="E407" s="1" t="n">
        <v>46279</v>
      </c>
      <c r="F407" t="inlineStr">
        <is>
          <t>VÄSTERNORRLANDS LÄN</t>
        </is>
      </c>
      <c r="G407" t="inlineStr">
        <is>
          <t>HÄRNÖSAND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45628</v>
      </c>
      <c r="E408" s="1" t="n">
        <v>46279</v>
      </c>
      <c r="F408" t="inlineStr">
        <is>
          <t>VÄSTERNORRLANDS LÄN</t>
        </is>
      </c>
      <c r="G408" t="inlineStr">
        <is>
          <t>HÄRNÖSAND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46279</v>
      </c>
      <c r="F409" t="inlineStr">
        <is>
          <t>VÄSTERNORRLANDS LÄN</t>
        </is>
      </c>
      <c r="G409" t="inlineStr">
        <is>
          <t>HÄRNÖSAND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12750-2022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44641</v>
      </c>
      <c r="E410" s="1" t="n">
        <v>46279</v>
      </c>
      <c r="F410" t="inlineStr">
        <is>
          <t>VÄSTERNORRLANDS LÄN</t>
        </is>
      </c>
      <c r="G410" t="inlineStr">
        <is>
          <t>HÄRNÖSAND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45168</v>
      </c>
      <c r="E411" s="1" t="n">
        <v>46279</v>
      </c>
      <c r="F411" t="inlineStr">
        <is>
          <t>VÄSTERNORRLANDS LÄN</t>
        </is>
      </c>
      <c r="G411" t="inlineStr">
        <is>
          <t>HÄRNÖSAND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45512</v>
      </c>
      <c r="E412" s="1" t="n">
        <v>46279</v>
      </c>
      <c r="F412" t="inlineStr">
        <is>
          <t>VÄSTERNORRLANDS LÄN</t>
        </is>
      </c>
      <c r="G412" t="inlineStr">
        <is>
          <t>HÄRNÖSAND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45639</v>
      </c>
      <c r="E413" s="1" t="n">
        <v>46279</v>
      </c>
      <c r="F413" t="inlineStr">
        <is>
          <t>VÄSTERNORRLANDS LÄN</t>
        </is>
      </c>
      <c r="G413" t="inlineStr">
        <is>
          <t>HÄRNÖSAND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46279</v>
      </c>
      <c r="F414" t="inlineStr">
        <is>
          <t>VÄSTERNORRLANDS LÄN</t>
        </is>
      </c>
      <c r="G414" t="inlineStr">
        <is>
          <t>HÄRNÖSAND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46279</v>
      </c>
      <c r="F415" t="inlineStr">
        <is>
          <t>VÄSTERNORRLANDS LÄN</t>
        </is>
      </c>
      <c r="G415" t="inlineStr">
        <is>
          <t>HÄRNÖSAND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46279</v>
      </c>
      <c r="F416" t="inlineStr">
        <is>
          <t>VÄSTERNORRLANDS LÄN</t>
        </is>
      </c>
      <c r="G416" t="inlineStr">
        <is>
          <t>HÄRNÖSAND</t>
        </is>
      </c>
      <c r="I416" t="n">
        <v>16.7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46279</v>
      </c>
      <c r="F417" t="inlineStr">
        <is>
          <t>VÄSTERNORRLANDS LÄN</t>
        </is>
      </c>
      <c r="G417" t="inlineStr">
        <is>
          <t>HÄRNÖSAND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46279</v>
      </c>
      <c r="F418" t="inlineStr">
        <is>
          <t>VÄSTERNORRLANDS LÄN</t>
        </is>
      </c>
      <c r="G418" t="inlineStr">
        <is>
          <t>HÄRNÖSAND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46279</v>
      </c>
      <c r="F419" t="inlineStr">
        <is>
          <t>VÄSTERNORRLANDS LÄN</t>
        </is>
      </c>
      <c r="G419" t="inlineStr">
        <is>
          <t>HÄRNÖSAND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54091-2024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45616</v>
      </c>
      <c r="E420" s="1" t="n">
        <v>46279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46279</v>
      </c>
      <c r="F421" t="inlineStr">
        <is>
          <t>VÄSTERNORRLANDS LÄN</t>
        </is>
      </c>
      <c r="G421" t="inlineStr">
        <is>
          <t>HÄRNÖSAND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45930</v>
      </c>
      <c r="E422" s="1" t="n">
        <v>46279</v>
      </c>
      <c r="F422" t="inlineStr">
        <is>
          <t>VÄSTERNORRLANDS LÄN</t>
        </is>
      </c>
      <c r="G422" t="inlineStr">
        <is>
          <t>HÄRNÖSAND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46160</v>
      </c>
      <c r="E423" s="1" t="n">
        <v>46279</v>
      </c>
      <c r="F423" t="inlineStr">
        <is>
          <t>VÄSTERNORRLANDS LÄN</t>
        </is>
      </c>
      <c r="G423" t="inlineStr">
        <is>
          <t>HÄRNÖSAND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16979-2022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44676</v>
      </c>
      <c r="E424" s="1" t="n">
        <v>46279</v>
      </c>
      <c r="F424" t="inlineStr">
        <is>
          <t>VÄSTERNORRLANDS LÄN</t>
        </is>
      </c>
      <c r="G424" t="inlineStr">
        <is>
          <t>HÄRNÖSAND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46279</v>
      </c>
      <c r="F425" t="inlineStr">
        <is>
          <t>VÄSTERNORRLANDS LÄN</t>
        </is>
      </c>
      <c r="G425" t="inlineStr">
        <is>
          <t>HÄRNÖSAND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45832</v>
      </c>
      <c r="E426" s="1" t="n">
        <v>46279</v>
      </c>
      <c r="F426" t="inlineStr">
        <is>
          <t>VÄSTERNORRLANDS LÄN</t>
        </is>
      </c>
      <c r="G426" t="inlineStr">
        <is>
          <t>HÄRNÖSAND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46279</v>
      </c>
      <c r="F427" t="inlineStr">
        <is>
          <t>VÄSTERNORRLANDS LÄN</t>
        </is>
      </c>
      <c r="G427" t="inlineStr">
        <is>
          <t>HÄRNÖSAND</t>
        </is>
      </c>
      <c r="I427" t="n">
        <v>9.199999999999999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46279</v>
      </c>
      <c r="F428" t="inlineStr">
        <is>
          <t>VÄSTERNORRLANDS LÄN</t>
        </is>
      </c>
      <c r="G428" t="inlineStr">
        <is>
          <t>HÄRNÖSAND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19827-2022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44694</v>
      </c>
      <c r="E429" s="1" t="n">
        <v>46279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46279</v>
      </c>
      <c r="F430" t="inlineStr">
        <is>
          <t>VÄSTERNORRLANDS LÄN</t>
        </is>
      </c>
      <c r="G430" t="inlineStr">
        <is>
          <t>HÄRNÖSAND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46279</v>
      </c>
      <c r="F431" t="inlineStr">
        <is>
          <t>VÄSTERNORRLANDS LÄN</t>
        </is>
      </c>
      <c r="G431" t="inlineStr">
        <is>
          <t>HÄRNÖSAND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46279</v>
      </c>
      <c r="F432" t="inlineStr">
        <is>
          <t>VÄSTERNORRLANDS LÄN</t>
        </is>
      </c>
      <c r="G432" t="inlineStr">
        <is>
          <t>HÄRNÖSAND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46279</v>
      </c>
      <c r="F433" t="inlineStr">
        <is>
          <t>VÄSTERNORRLANDS LÄN</t>
        </is>
      </c>
      <c r="G433" t="inlineStr">
        <is>
          <t>HÄRNÖSAND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46279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31.8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46279</v>
      </c>
      <c r="F435" t="inlineStr">
        <is>
          <t>VÄSTERNORRLANDS LÄN</t>
        </is>
      </c>
      <c r="G435" t="inlineStr">
        <is>
          <t>HÄRNÖSAND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23233-2026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46162</v>
      </c>
      <c r="E436" s="1" t="n">
        <v>46279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46279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31.8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46279</v>
      </c>
      <c r="F438" t="inlineStr">
        <is>
          <t>VÄSTERNORRLANDS LÄN</t>
        </is>
      </c>
      <c r="G438" t="inlineStr">
        <is>
          <t>HÄRNÖSAND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46279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46279</v>
      </c>
      <c r="F440" t="inlineStr">
        <is>
          <t>VÄSTERNORRLANDS LÄN</t>
        </is>
      </c>
      <c r="G440" t="inlineStr">
        <is>
          <t>HÄRNÖSAND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46279</v>
      </c>
      <c r="F441" t="inlineStr">
        <is>
          <t>VÄSTERNORRLANDS LÄN</t>
        </is>
      </c>
      <c r="G441" t="inlineStr">
        <is>
          <t>HÄRNÖSAND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9727-2022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44617</v>
      </c>
      <c r="E442" s="1" t="n">
        <v>46279</v>
      </c>
      <c r="F442" t="inlineStr">
        <is>
          <t>VÄSTERNORRLANDS LÄN</t>
        </is>
      </c>
      <c r="G442" t="inlineStr">
        <is>
          <t>HÄRNÖSAND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45428</v>
      </c>
      <c r="E443" s="1" t="n">
        <v>46279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46279</v>
      </c>
      <c r="F444" t="inlineStr">
        <is>
          <t>VÄSTERNORRLANDS LÄN</t>
        </is>
      </c>
      <c r="G444" t="inlineStr">
        <is>
          <t>HÄRNÖSAND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45152</v>
      </c>
      <c r="E445" s="1" t="n">
        <v>46279</v>
      </c>
      <c r="F445" t="inlineStr">
        <is>
          <t>VÄSTERNORRLANDS LÄN</t>
        </is>
      </c>
      <c r="G445" t="inlineStr">
        <is>
          <t>HÄRNÖSAND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49261-2022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44858</v>
      </c>
      <c r="E446" s="1" t="n">
        <v>46279</v>
      </c>
      <c r="F446" t="inlineStr">
        <is>
          <t>VÄSTERNORRLANDS LÄN</t>
        </is>
      </c>
      <c r="G446" t="inlineStr">
        <is>
          <t>HÄRNÖSAND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46279</v>
      </c>
      <c r="F447" t="inlineStr">
        <is>
          <t>VÄSTERNORRLANDS LÄN</t>
        </is>
      </c>
      <c r="G447" t="inlineStr">
        <is>
          <t>HÄRNÖSAND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46279</v>
      </c>
      <c r="F448" t="inlineStr">
        <is>
          <t>VÄSTERNORRLANDS LÄN</t>
        </is>
      </c>
      <c r="G448" t="inlineStr">
        <is>
          <t>HÄRNÖSAND</t>
        </is>
      </c>
      <c r="I448" t="n">
        <v>12.3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46279</v>
      </c>
      <c r="F449" t="inlineStr">
        <is>
          <t>VÄSTERNORRLANDS LÄN</t>
        </is>
      </c>
      <c r="G449" t="inlineStr">
        <is>
          <t>HÄRNÖSAND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46279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46279</v>
      </c>
      <c r="F451" t="inlineStr">
        <is>
          <t>VÄSTERNORRLANDS LÄN</t>
        </is>
      </c>
      <c r="G451" t="inlineStr">
        <is>
          <t>HÄRNÖSAND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46279</v>
      </c>
      <c r="F452" t="inlineStr">
        <is>
          <t>VÄSTERNORRLANDS LÄN</t>
        </is>
      </c>
      <c r="G452" t="inlineStr">
        <is>
          <t>HÄRNÖSAND</t>
        </is>
      </c>
      <c r="I452" t="n">
        <v>13.8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45163</v>
      </c>
      <c r="E453" s="1" t="n">
        <v>46279</v>
      </c>
      <c r="F453" t="inlineStr">
        <is>
          <t>VÄSTERNORRLANDS LÄN</t>
        </is>
      </c>
      <c r="G453" t="inlineStr">
        <is>
          <t>HÄRNÖSAND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44706</v>
      </c>
      <c r="E454" s="1" t="n">
        <v>46279</v>
      </c>
      <c r="F454" t="inlineStr">
        <is>
          <t>VÄSTERNORRLANDS LÄN</t>
        </is>
      </c>
      <c r="G454" t="inlineStr">
        <is>
          <t>HÄRNÖSAND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44728</v>
      </c>
      <c r="E455" s="1" t="n">
        <v>46279</v>
      </c>
      <c r="F455" t="inlineStr">
        <is>
          <t>VÄSTERNORRLANDS LÄN</t>
        </is>
      </c>
      <c r="G455" t="inlineStr">
        <is>
          <t>HÄRNÖSAND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46165</v>
      </c>
      <c r="E456" s="1" t="n">
        <v>46279</v>
      </c>
      <c r="F456" t="inlineStr">
        <is>
          <t>VÄSTERNORRLANDS LÄN</t>
        </is>
      </c>
      <c r="G456" t="inlineStr">
        <is>
          <t>HÄRNÖSAND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46279</v>
      </c>
      <c r="F457" t="inlineStr">
        <is>
          <t>VÄSTERNORRLANDS LÄN</t>
        </is>
      </c>
      <c r="G457" t="inlineStr">
        <is>
          <t>HÄRNÖSAND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45910</v>
      </c>
      <c r="E458" s="1" t="n">
        <v>46279</v>
      </c>
      <c r="F458" t="inlineStr">
        <is>
          <t>VÄSTERNORRLANDS LÄN</t>
        </is>
      </c>
      <c r="G458" t="inlineStr">
        <is>
          <t>HÄRNÖSAND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46279</v>
      </c>
      <c r="F459" t="inlineStr">
        <is>
          <t>VÄSTERNORRLANDS LÄN</t>
        </is>
      </c>
      <c r="G459" t="inlineStr">
        <is>
          <t>HÄRNÖSAND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42646-2023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45181</v>
      </c>
      <c r="E460" s="1" t="n">
        <v>46279</v>
      </c>
      <c r="F460" t="inlineStr">
        <is>
          <t>VÄSTERNORRLANDS LÄN</t>
        </is>
      </c>
      <c r="G460" t="inlineStr">
        <is>
          <t>HÄRNÖSAND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46279</v>
      </c>
      <c r="F461" t="inlineStr">
        <is>
          <t>VÄSTERNORRLANDS LÄN</t>
        </is>
      </c>
      <c r="G461" t="inlineStr">
        <is>
          <t>HÄRNÖSAND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46279</v>
      </c>
      <c r="F462" t="inlineStr">
        <is>
          <t>VÄSTERNORRLANDS LÄN</t>
        </is>
      </c>
      <c r="G462" t="inlineStr">
        <is>
          <t>HÄRNÖSAND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46279</v>
      </c>
      <c r="F463" t="inlineStr">
        <is>
          <t>VÄSTERNORRLANDS LÄN</t>
        </is>
      </c>
      <c r="G463" t="inlineStr">
        <is>
          <t>HÄRNÖSAND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25007-2022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46279</v>
      </c>
      <c r="F464" t="inlineStr">
        <is>
          <t>VÄSTERNORRLANDS LÄN</t>
        </is>
      </c>
      <c r="G464" t="inlineStr">
        <is>
          <t>HÄRNÖSAND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46279</v>
      </c>
      <c r="F465" t="inlineStr">
        <is>
          <t>VÄSTERNORRLANDS LÄN</t>
        </is>
      </c>
      <c r="G465" t="inlineStr">
        <is>
          <t>HÄRNÖSAND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46279</v>
      </c>
      <c r="F466" t="inlineStr">
        <is>
          <t>VÄSTERNORRLANDS LÄN</t>
        </is>
      </c>
      <c r="G466" t="inlineStr">
        <is>
          <t>HÄRNÖSAND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46279</v>
      </c>
      <c r="F467" t="inlineStr">
        <is>
          <t>VÄSTERNORRLANDS LÄN</t>
        </is>
      </c>
      <c r="G467" t="inlineStr">
        <is>
          <t>HÄRNÖSAND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46279</v>
      </c>
      <c r="F468" t="inlineStr">
        <is>
          <t>VÄSTERNORRLANDS LÄN</t>
        </is>
      </c>
      <c r="G468" t="inlineStr">
        <is>
          <t>HÄRNÖSAND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40232-2023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46279</v>
      </c>
      <c r="F469" t="inlineStr">
        <is>
          <t>VÄSTERNORRLANDS LÄN</t>
        </is>
      </c>
      <c r="G469" t="inlineStr">
        <is>
          <t>HÄRNÖSAND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46279</v>
      </c>
      <c r="F470" t="inlineStr">
        <is>
          <t>VÄSTERNORRLANDS LÄN</t>
        </is>
      </c>
      <c r="G470" t="inlineStr">
        <is>
          <t>HÄRNÖSAND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46279</v>
      </c>
      <c r="F471" t="inlineStr">
        <is>
          <t>VÄSTERNORRLANDS LÄN</t>
        </is>
      </c>
      <c r="G471" t="inlineStr">
        <is>
          <t>HÄRNÖSAND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46279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46279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46279</v>
      </c>
      <c r="F474" t="inlineStr">
        <is>
          <t>VÄSTERNORRLANDS LÄN</t>
        </is>
      </c>
      <c r="G474" t="inlineStr">
        <is>
          <t>HÄRNÖSAND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46279</v>
      </c>
      <c r="F475" t="inlineStr">
        <is>
          <t>VÄSTERNORRLANDS LÄN</t>
        </is>
      </c>
      <c r="G475" t="inlineStr">
        <is>
          <t>HÄRNÖSAND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46279</v>
      </c>
      <c r="F476" t="inlineStr">
        <is>
          <t>VÄSTERNORRLANDS LÄN</t>
        </is>
      </c>
      <c r="G476" t="inlineStr">
        <is>
          <t>HÄRNÖSAND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46279</v>
      </c>
      <c r="F477" t="inlineStr">
        <is>
          <t>VÄSTERNORRLANDS LÄN</t>
        </is>
      </c>
      <c r="G477" t="inlineStr">
        <is>
          <t>HÄRNÖSAND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46279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46279</v>
      </c>
      <c r="F479" t="inlineStr">
        <is>
          <t>VÄSTERNORRLANDS LÄN</t>
        </is>
      </c>
      <c r="G479" t="inlineStr">
        <is>
          <t>HÄRNÖSAND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39498-2023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46279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46279</v>
      </c>
      <c r="F481" t="inlineStr">
        <is>
          <t>VÄSTERNORRLANDS LÄN</t>
        </is>
      </c>
      <c r="G481" t="inlineStr">
        <is>
          <t>HÄRNÖSAND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46279</v>
      </c>
      <c r="F482" t="inlineStr">
        <is>
          <t>VÄSTERNORRLANDS LÄN</t>
        </is>
      </c>
      <c r="G482" t="inlineStr">
        <is>
          <t>HÄRNÖSAND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46279</v>
      </c>
      <c r="F483" t="inlineStr">
        <is>
          <t>VÄSTERNORRLANDS LÄN</t>
        </is>
      </c>
      <c r="G483" t="inlineStr">
        <is>
          <t>HÄRNÖSAND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45350</v>
      </c>
      <c r="E484" s="1" t="n">
        <v>46279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46279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45320</v>
      </c>
      <c r="E486" s="1" t="n">
        <v>46279</v>
      </c>
      <c r="F486" t="inlineStr">
        <is>
          <t>VÄSTERNORRLANDS LÄN</t>
        </is>
      </c>
      <c r="G486" t="inlineStr">
        <is>
          <t>HÄRNÖSAND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46279</v>
      </c>
      <c r="F487" t="inlineStr">
        <is>
          <t>VÄSTERNORRLANDS LÄN</t>
        </is>
      </c>
      <c r="G487" t="inlineStr">
        <is>
          <t>HÄRNÖSAND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46279</v>
      </c>
      <c r="F488" t="inlineStr">
        <is>
          <t>VÄSTERNORRLANDS LÄN</t>
        </is>
      </c>
      <c r="G488" t="inlineStr">
        <is>
          <t>HÄRNÖSAND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45231</v>
      </c>
      <c r="E489" s="1" t="n">
        <v>46279</v>
      </c>
      <c r="F489" t="inlineStr">
        <is>
          <t>VÄSTERNORRLANDS LÄN</t>
        </is>
      </c>
      <c r="G489" t="inlineStr">
        <is>
          <t>HÄRNÖSAND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44747</v>
      </c>
      <c r="E490" s="1" t="n">
        <v>46279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23547-2023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45072</v>
      </c>
      <c r="E491" s="1" t="n">
        <v>46279</v>
      </c>
      <c r="F491" t="inlineStr">
        <is>
          <t>VÄSTERNORRLANDS LÄN</t>
        </is>
      </c>
      <c r="G491" t="inlineStr">
        <is>
          <t>HÄRNÖSAND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45313</v>
      </c>
      <c r="E492" s="1" t="n">
        <v>46279</v>
      </c>
      <c r="F492" t="inlineStr">
        <is>
          <t>VÄSTERNORRLANDS LÄN</t>
        </is>
      </c>
      <c r="G492" t="inlineStr">
        <is>
          <t>HÄRNÖSAND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46279</v>
      </c>
      <c r="F493" t="inlineStr">
        <is>
          <t>VÄSTERNORRLANDS LÄN</t>
        </is>
      </c>
      <c r="G493" t="inlineStr">
        <is>
          <t>HÄRNÖSAND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46279</v>
      </c>
      <c r="F494" t="inlineStr">
        <is>
          <t>VÄSTERNORRLANDS LÄN</t>
        </is>
      </c>
      <c r="G494" t="inlineStr">
        <is>
          <t>HÄRNÖSAND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44853</v>
      </c>
      <c r="E495" s="1" t="n">
        <v>46279</v>
      </c>
      <c r="F495" t="inlineStr">
        <is>
          <t>VÄSTERNORRLANDS LÄN</t>
        </is>
      </c>
      <c r="G495" t="inlineStr">
        <is>
          <t>HÄRNÖSAND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45800</v>
      </c>
      <c r="E496" s="1" t="n">
        <v>46279</v>
      </c>
      <c r="F496" t="inlineStr">
        <is>
          <t>VÄSTERNORRLANDS LÄN</t>
        </is>
      </c>
      <c r="G496" t="inlineStr">
        <is>
          <t>HÄRNÖSAND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46279</v>
      </c>
      <c r="F497" t="inlineStr">
        <is>
          <t>VÄSTERNORRLANDS LÄN</t>
        </is>
      </c>
      <c r="G497" t="inlineStr">
        <is>
          <t>HÄRNÖSAND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46279</v>
      </c>
      <c r="F498" t="inlineStr">
        <is>
          <t>VÄSTERNORRLANDS LÄN</t>
        </is>
      </c>
      <c r="G498" t="inlineStr">
        <is>
          <t>HÄRNÖSAND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46279</v>
      </c>
      <c r="F499" t="inlineStr">
        <is>
          <t>VÄSTERNORRLANDS LÄN</t>
        </is>
      </c>
      <c r="G499" t="inlineStr">
        <is>
          <t>HÄRNÖSAND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46279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46279</v>
      </c>
      <c r="F501" t="inlineStr">
        <is>
          <t>VÄSTERNORRLANDS LÄN</t>
        </is>
      </c>
      <c r="G501" t="inlineStr">
        <is>
          <t>HÄRNÖSAND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46279</v>
      </c>
      <c r="F502" t="inlineStr">
        <is>
          <t>VÄSTERNORRLANDS LÄN</t>
        </is>
      </c>
      <c r="G502" t="inlineStr">
        <is>
          <t>HÄRNÖSAND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45757</v>
      </c>
      <c r="E503" s="1" t="n">
        <v>46279</v>
      </c>
      <c r="F503" t="inlineStr">
        <is>
          <t>VÄSTERNORRLANDS LÄN</t>
        </is>
      </c>
      <c r="G503" t="inlineStr">
        <is>
          <t>HÄRNÖSAND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46279</v>
      </c>
      <c r="F504" t="inlineStr">
        <is>
          <t>VÄSTERNORRLANDS LÄN</t>
        </is>
      </c>
      <c r="G504" t="inlineStr">
        <is>
          <t>HÄRNÖSAND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46191</v>
      </c>
      <c r="E505" s="1" t="n">
        <v>46279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44792</v>
      </c>
      <c r="E506" s="1" t="n">
        <v>46279</v>
      </c>
      <c r="F506" t="inlineStr">
        <is>
          <t>VÄSTERNORRLANDS LÄN</t>
        </is>
      </c>
      <c r="G506" t="inlineStr">
        <is>
          <t>HÄRNÖSAND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46279</v>
      </c>
      <c r="F507" t="inlineStr">
        <is>
          <t>VÄSTERNORRLANDS LÄN</t>
        </is>
      </c>
      <c r="G507" t="inlineStr">
        <is>
          <t>HÄRNÖSAND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45496</v>
      </c>
      <c r="E508" s="1" t="n">
        <v>46279</v>
      </c>
      <c r="F508" t="inlineStr">
        <is>
          <t>VÄSTERNORRLANDS LÄN</t>
        </is>
      </c>
      <c r="G508" t="inlineStr">
        <is>
          <t>HÄRNÖSAND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45352</v>
      </c>
      <c r="E509" s="1" t="n">
        <v>46279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46279</v>
      </c>
      <c r="F510" t="inlineStr">
        <is>
          <t>VÄSTERNORRLANDS LÄN</t>
        </is>
      </c>
      <c r="G510" t="inlineStr">
        <is>
          <t>HÄRNÖSAND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64377-2023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45280</v>
      </c>
      <c r="E511" s="1" t="n">
        <v>46279</v>
      </c>
      <c r="F511" t="inlineStr">
        <is>
          <t>VÄSTERNORRLANDS LÄN</t>
        </is>
      </c>
      <c r="G511" t="inlineStr">
        <is>
          <t>HÄRNÖSAND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46279</v>
      </c>
      <c r="F512" t="inlineStr">
        <is>
          <t>VÄSTERNORRLANDS LÄN</t>
        </is>
      </c>
      <c r="G512" t="inlineStr">
        <is>
          <t>HÄRNÖSAND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46279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46279</v>
      </c>
      <c r="F514" t="inlineStr">
        <is>
          <t>VÄSTERNORRLANDS LÄN</t>
        </is>
      </c>
      <c r="G514" t="inlineStr">
        <is>
          <t>HÄRNÖSAND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46279</v>
      </c>
      <c r="F515" t="inlineStr">
        <is>
          <t>VÄSTERNORRLANDS LÄN</t>
        </is>
      </c>
      <c r="G515" t="inlineStr">
        <is>
          <t>HÄRNÖSAND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46279</v>
      </c>
      <c r="F516" t="inlineStr">
        <is>
          <t>VÄSTERNORRLANDS LÄN</t>
        </is>
      </c>
      <c r="G516" t="inlineStr">
        <is>
          <t>HÄRNÖSAND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32293-2026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46237</v>
      </c>
      <c r="E517" s="1" t="n">
        <v>46279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46279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44875</v>
      </c>
      <c r="E519" s="1" t="n">
        <v>46279</v>
      </c>
      <c r="F519" t="inlineStr">
        <is>
          <t>VÄSTERNORRLANDS LÄN</t>
        </is>
      </c>
      <c r="G519" t="inlineStr">
        <is>
          <t>HÄRNÖSAND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46279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46279</v>
      </c>
      <c r="F521" t="inlineStr">
        <is>
          <t>VÄSTERNORRLANDS LÄN</t>
        </is>
      </c>
      <c r="G521" t="inlineStr">
        <is>
          <t>HÄRNÖSAND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45482</v>
      </c>
      <c r="E522" s="1" t="n">
        <v>46279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46239</v>
      </c>
      <c r="E523" s="1" t="n">
        <v>46279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45496</v>
      </c>
      <c r="E524" s="1" t="n">
        <v>46279</v>
      </c>
      <c r="F524" t="inlineStr">
        <is>
          <t>VÄSTERNORRLANDS LÄN</t>
        </is>
      </c>
      <c r="G524" t="inlineStr">
        <is>
          <t>HÄRNÖSAND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46279</v>
      </c>
      <c r="F525" t="inlineStr">
        <is>
          <t>VÄSTERNORRLANDS LÄN</t>
        </is>
      </c>
      <c r="G525" t="inlineStr">
        <is>
          <t>HÄRNÖSAND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59034-2022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44903</v>
      </c>
      <c r="E526" s="1" t="n">
        <v>46279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44945</v>
      </c>
      <c r="E527" s="1" t="n">
        <v>46279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45376</v>
      </c>
      <c r="E528" s="1" t="n">
        <v>46279</v>
      </c>
      <c r="F528" t="inlineStr">
        <is>
          <t>VÄSTERNORRLANDS LÄN</t>
        </is>
      </c>
      <c r="G528" t="inlineStr">
        <is>
          <t>HÄRNÖSAND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46279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Kyrkan</t>
        </is>
      </c>
      <c r="I529" t="n">
        <v>24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56165-2022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44889</v>
      </c>
      <c r="E530" s="1" t="n">
        <v>46279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65224-2023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45289</v>
      </c>
      <c r="E531" s="1" t="n">
        <v>46279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45687-2022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44845</v>
      </c>
      <c r="E532" s="1" t="n">
        <v>46279</v>
      </c>
      <c r="F532" t="inlineStr">
        <is>
          <t>VÄSTERNORRLANDS LÄN</t>
        </is>
      </c>
      <c r="G532" t="inlineStr">
        <is>
          <t>HÄRNÖSAND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45072</v>
      </c>
      <c r="E533" s="1" t="n">
        <v>46279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46279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46508-2023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45194</v>
      </c>
      <c r="E535" s="1" t="n">
        <v>46279</v>
      </c>
      <c r="F535" t="inlineStr">
        <is>
          <t>VÄSTERNORRLANDS LÄN</t>
        </is>
      </c>
      <c r="G535" t="inlineStr">
        <is>
          <t>HÄRNÖSAND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46279</v>
      </c>
      <c r="F536" t="inlineStr">
        <is>
          <t>VÄSTERNORRLANDS LÄN</t>
        </is>
      </c>
      <c r="G536" t="inlineStr">
        <is>
          <t>HÄRNÖSAND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46279</v>
      </c>
      <c r="F537" t="inlineStr">
        <is>
          <t>VÄSTERNORRLANDS LÄN</t>
        </is>
      </c>
      <c r="G537" t="inlineStr">
        <is>
          <t>HÄRNÖSAND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45289</v>
      </c>
      <c r="E538" s="1" t="n">
        <v>46279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44580</v>
      </c>
      <c r="E539" s="1" t="n">
        <v>46279</v>
      </c>
      <c r="F539" t="inlineStr">
        <is>
          <t>VÄSTERNORRLANDS LÄN</t>
        </is>
      </c>
      <c r="G539" t="inlineStr">
        <is>
          <t>HÄRNÖSAND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46279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46279</v>
      </c>
      <c r="F541" t="inlineStr">
        <is>
          <t>VÄSTERNORRLANDS LÄN</t>
        </is>
      </c>
      <c r="G541" t="inlineStr">
        <is>
          <t>HÄRNÖSAND</t>
        </is>
      </c>
      <c r="I541" t="n">
        <v>14.6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13611-2023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45006</v>
      </c>
      <c r="E542" s="1" t="n">
        <v>46279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46279</v>
      </c>
      <c r="F543" t="inlineStr">
        <is>
          <t>VÄSTERNORRLANDS LÄN</t>
        </is>
      </c>
      <c r="G543" t="inlineStr">
        <is>
          <t>HÄRNÖSAND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46279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46279</v>
      </c>
      <c r="F545" t="inlineStr">
        <is>
          <t>VÄSTERNORRLANDS LÄN</t>
        </is>
      </c>
      <c r="G545" t="inlineStr">
        <is>
          <t>HÄRNÖSAND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46279</v>
      </c>
      <c r="F546" t="inlineStr">
        <is>
          <t>VÄSTERNORRLANDS LÄN</t>
        </is>
      </c>
      <c r="G546" t="inlineStr">
        <is>
          <t>HÄRNÖSAND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46279</v>
      </c>
      <c r="F547" t="inlineStr">
        <is>
          <t>VÄSTERNORRLANDS LÄN</t>
        </is>
      </c>
      <c r="G547" t="inlineStr">
        <is>
          <t>HÄRNÖSAND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46279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46279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45035</v>
      </c>
      <c r="E550" s="1" t="n">
        <v>46279</v>
      </c>
      <c r="F550" t="inlineStr">
        <is>
          <t>VÄSTERNORRLANDS LÄN</t>
        </is>
      </c>
      <c r="G550" t="inlineStr">
        <is>
          <t>HÄRNÖSAND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44987</v>
      </c>
      <c r="E551" s="1" t="n">
        <v>46279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30201-2026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46279</v>
      </c>
      <c r="F552" t="inlineStr">
        <is>
          <t>VÄSTERNORRLANDS LÄN</t>
        </is>
      </c>
      <c r="G552" t="inlineStr">
        <is>
          <t>HÄRNÖSAND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46279</v>
      </c>
      <c r="F553" t="inlineStr">
        <is>
          <t>VÄSTERNORRLANDS LÄN</t>
        </is>
      </c>
      <c r="G553" t="inlineStr">
        <is>
          <t>HÄRNÖSAND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46279</v>
      </c>
      <c r="F554" t="inlineStr">
        <is>
          <t>VÄSTERNORRLANDS LÄN</t>
        </is>
      </c>
      <c r="G554" t="inlineStr">
        <is>
          <t>HÄRNÖSAND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46279</v>
      </c>
      <c r="F555" t="inlineStr">
        <is>
          <t>VÄSTERNORRLANDS LÄN</t>
        </is>
      </c>
      <c r="G555" t="inlineStr">
        <is>
          <t>HÄRNÖSAND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46279</v>
      </c>
      <c r="F556" t="inlineStr">
        <is>
          <t>VÄSTERNORRLANDS LÄN</t>
        </is>
      </c>
      <c r="G556" t="inlineStr">
        <is>
          <t>HÄRNÖSAND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52237-2022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44869</v>
      </c>
      <c r="E557" s="1" t="n">
        <v>46279</v>
      </c>
      <c r="F557" t="inlineStr">
        <is>
          <t>VÄSTERNORRLANDS LÄN</t>
        </is>
      </c>
      <c r="G557" t="inlineStr">
        <is>
          <t>HÄRNÖSAND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46279</v>
      </c>
      <c r="F558" t="inlineStr">
        <is>
          <t>VÄSTERNORRLANDS LÄN</t>
        </is>
      </c>
      <c r="G558" t="inlineStr">
        <is>
          <t>HÄRNÖSAND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14018-2024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45392</v>
      </c>
      <c r="E559" s="1" t="n">
        <v>46279</v>
      </c>
      <c r="F559" t="inlineStr">
        <is>
          <t>VÄSTERNORRLANDS LÄN</t>
        </is>
      </c>
      <c r="G559" t="inlineStr">
        <is>
          <t>HÄRNÖSAND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46279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46279</v>
      </c>
      <c r="F561" t="inlineStr">
        <is>
          <t>VÄSTERNORRLANDS LÄN</t>
        </is>
      </c>
      <c r="G561" t="inlineStr">
        <is>
          <t>HÄRNÖSAND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46211</v>
      </c>
      <c r="E562" s="1" t="n">
        <v>46279</v>
      </c>
      <c r="F562" t="inlineStr">
        <is>
          <t>VÄSTERNORRLANDS LÄN</t>
        </is>
      </c>
      <c r="G562" t="inlineStr">
        <is>
          <t>HÄRNÖSAND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46279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45000</v>
      </c>
      <c r="E564" s="1" t="n">
        <v>46279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58869-2023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45250</v>
      </c>
      <c r="E565" s="1" t="n">
        <v>46279</v>
      </c>
      <c r="F565" t="inlineStr">
        <is>
          <t>VÄSTERNORRLANDS LÄN</t>
        </is>
      </c>
      <c r="G565" t="inlineStr">
        <is>
          <t>HÄRNÖSAND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46279</v>
      </c>
      <c r="F566" t="inlineStr">
        <is>
          <t>VÄSTERNORRLANDS LÄN</t>
        </is>
      </c>
      <c r="G566" t="inlineStr">
        <is>
          <t>HÄRNÖSAND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46279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34226-2023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45126</v>
      </c>
      <c r="E568" s="1" t="n">
        <v>46279</v>
      </c>
      <c r="F568" t="inlineStr">
        <is>
          <t>VÄSTERNORRLANDS LÄN</t>
        </is>
      </c>
      <c r="G568" t="inlineStr">
        <is>
          <t>HÄRNÖSAND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46213</v>
      </c>
      <c r="E569" s="1" t="n">
        <v>46279</v>
      </c>
      <c r="F569" t="inlineStr">
        <is>
          <t>VÄSTERNORRLANDS LÄN</t>
        </is>
      </c>
      <c r="G569" t="inlineStr">
        <is>
          <t>HÄRNÖSAND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46279</v>
      </c>
      <c r="F570" t="inlineStr">
        <is>
          <t>VÄSTERNORRLANDS LÄN</t>
        </is>
      </c>
      <c r="G570" t="inlineStr">
        <is>
          <t>HÄRNÖSAND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45348</v>
      </c>
      <c r="E571" s="1" t="n">
        <v>46279</v>
      </c>
      <c r="F571" t="inlineStr">
        <is>
          <t>VÄSTERNORRLANDS LÄN</t>
        </is>
      </c>
      <c r="G571" t="inlineStr">
        <is>
          <t>HÄRNÖSAND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46213</v>
      </c>
      <c r="E572" s="1" t="n">
        <v>46279</v>
      </c>
      <c r="F572" t="inlineStr">
        <is>
          <t>VÄSTERNORRLANDS LÄN</t>
        </is>
      </c>
      <c r="G572" t="inlineStr">
        <is>
          <t>HÄRNÖSAND</t>
        </is>
      </c>
      <c r="I572" t="n">
        <v>13.6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30907-2026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46213</v>
      </c>
      <c r="E573" s="1" t="n">
        <v>46279</v>
      </c>
      <c r="F573" t="inlineStr">
        <is>
          <t>VÄSTERNORRLANDS LÄN</t>
        </is>
      </c>
      <c r="G573" t="inlineStr">
        <is>
          <t>HÄRNÖSAND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46215</v>
      </c>
      <c r="E574" s="1" t="n">
        <v>46279</v>
      </c>
      <c r="F574" t="inlineStr">
        <is>
          <t>VÄSTERNORRLANDS LÄN</t>
        </is>
      </c>
      <c r="G574" t="inlineStr">
        <is>
          <t>HÄRNÖSAND</t>
        </is>
      </c>
      <c r="I574" t="n">
        <v>12.7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46215</v>
      </c>
      <c r="E575" s="1" t="n">
        <v>46279</v>
      </c>
      <c r="F575" t="inlineStr">
        <is>
          <t>VÄSTERNORRLANDS LÄN</t>
        </is>
      </c>
      <c r="G575" t="inlineStr">
        <is>
          <t>HÄRNÖSAND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18345-2025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45762</v>
      </c>
      <c r="E576" s="1" t="n">
        <v>46279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46279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45580</v>
      </c>
      <c r="E578" s="1" t="n">
        <v>46279</v>
      </c>
      <c r="F578" t="inlineStr">
        <is>
          <t>VÄSTERNORRLANDS LÄN</t>
        </is>
      </c>
      <c r="G578" t="inlineStr">
        <is>
          <t>HÄRNÖSAND</t>
        </is>
      </c>
      <c r="I578" t="n">
        <v>14.2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46279</v>
      </c>
      <c r="F579" t="inlineStr">
        <is>
          <t>VÄSTERNORRLANDS LÄN</t>
        </is>
      </c>
      <c r="G579" t="inlineStr">
        <is>
          <t>HÄRNÖSAND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46279</v>
      </c>
      <c r="F580" t="inlineStr">
        <is>
          <t>VÄSTERNORRLANDS LÄN</t>
        </is>
      </c>
      <c r="G580" t="inlineStr">
        <is>
          <t>HÄRNÖSAND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46262</v>
      </c>
      <c r="E581" s="1" t="n">
        <v>46279</v>
      </c>
      <c r="F581" t="inlineStr">
        <is>
          <t>VÄSTERNORRLANDS LÄN</t>
        </is>
      </c>
      <c r="G581" t="inlineStr">
        <is>
          <t>HÄRNÖSAND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45251</v>
      </c>
      <c r="E582" s="1" t="n">
        <v>46279</v>
      </c>
      <c r="F582" t="inlineStr">
        <is>
          <t>VÄSTERNORRLANDS LÄN</t>
        </is>
      </c>
      <c r="G582" t="inlineStr">
        <is>
          <t>HÄRNÖSAND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46219</v>
      </c>
      <c r="E583" s="1" t="n">
        <v>46279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46279</v>
      </c>
      <c r="F584" t="inlineStr">
        <is>
          <t>VÄSTERNORRLANDS LÄN</t>
        </is>
      </c>
      <c r="G584" t="inlineStr">
        <is>
          <t>HÄRNÖSAND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46219</v>
      </c>
      <c r="E585" s="1" t="n">
        <v>46279</v>
      </c>
      <c r="F585" t="inlineStr">
        <is>
          <t>VÄSTERNORRLANDS LÄN</t>
        </is>
      </c>
      <c r="G585" t="inlineStr">
        <is>
          <t>HÄRNÖSAND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46279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45769</v>
      </c>
      <c r="E587" s="1" t="n">
        <v>46279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46279</v>
      </c>
      <c r="F588" t="inlineStr">
        <is>
          <t>VÄSTERNORRLANDS LÄN</t>
        </is>
      </c>
      <c r="G588" t="inlineStr">
        <is>
          <t>HÄRNÖSAND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46279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46279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23186-2026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46161</v>
      </c>
      <c r="E591" s="1" t="n">
        <v>46279</v>
      </c>
      <c r="F591" t="inlineStr">
        <is>
          <t>VÄSTERNORRLANDS LÄN</t>
        </is>
      </c>
      <c r="G591" t="inlineStr">
        <is>
          <t>HÄRNÖSAND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46279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46279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46279</v>
      </c>
      <c r="F594" t="inlineStr">
        <is>
          <t>VÄSTERNORRLANDS LÄN</t>
        </is>
      </c>
      <c r="G594" t="inlineStr">
        <is>
          <t>HÄRNÖSAND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46279</v>
      </c>
      <c r="F595" t="inlineStr">
        <is>
          <t>VÄSTERNORRLANDS LÄN</t>
        </is>
      </c>
      <c r="G595" t="inlineStr">
        <is>
          <t>HÄRNÖSAND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48047-2022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44855</v>
      </c>
      <c r="E596" s="1" t="n">
        <v>46279</v>
      </c>
      <c r="F596" t="inlineStr">
        <is>
          <t>VÄSTERNORRLANDS LÄN</t>
        </is>
      </c>
      <c r="G596" t="inlineStr">
        <is>
          <t>HÄRNÖSAND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46279</v>
      </c>
      <c r="F597" t="inlineStr">
        <is>
          <t>VÄSTERNORRLANDS LÄN</t>
        </is>
      </c>
      <c r="G597" t="inlineStr">
        <is>
          <t>HÄRNÖSAND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46279</v>
      </c>
      <c r="F598" t="inlineStr">
        <is>
          <t>VÄSTERNORRLANDS LÄN</t>
        </is>
      </c>
      <c r="G598" t="inlineStr">
        <is>
          <t>HÄRNÖSAND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45578</v>
      </c>
      <c r="E599" s="1" t="n">
        <v>46279</v>
      </c>
      <c r="F599" t="inlineStr">
        <is>
          <t>VÄSTERNORRLANDS LÄN</t>
        </is>
      </c>
      <c r="G599" t="inlineStr">
        <is>
          <t>HÄRNÖSAND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45578</v>
      </c>
      <c r="E600" s="1" t="n">
        <v>46279</v>
      </c>
      <c r="F600" t="inlineStr">
        <is>
          <t>VÄSTERNORRLANDS LÄN</t>
        </is>
      </c>
      <c r="G600" t="inlineStr">
        <is>
          <t>HÄRNÖSAND</t>
        </is>
      </c>
      <c r="I600" t="n">
        <v>10.3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44951</v>
      </c>
      <c r="E601" s="1" t="n">
        <v>46279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46279</v>
      </c>
      <c r="F602" t="inlineStr">
        <is>
          <t>VÄSTERNORRLANDS LÄN</t>
        </is>
      </c>
      <c r="G602" t="inlineStr">
        <is>
          <t>HÄRNÖSAND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32418-2024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45512</v>
      </c>
      <c r="E603" s="1" t="n">
        <v>46279</v>
      </c>
      <c r="F603" t="inlineStr">
        <is>
          <t>VÄSTERNORRLANDS LÄN</t>
        </is>
      </c>
      <c r="G603" t="inlineStr">
        <is>
          <t>HÄRNÖSAND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37246-2026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46274</v>
      </c>
      <c r="E604" s="1" t="n">
        <v>46279</v>
      </c>
      <c r="F604" t="inlineStr">
        <is>
          <t>VÄSTERNORRLANDS LÄN</t>
        </is>
      </c>
      <c r="G604" t="inlineStr">
        <is>
          <t>HÄRNÖSAND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51001-2022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44867</v>
      </c>
      <c r="E605" s="1" t="n">
        <v>46279</v>
      </c>
      <c r="F605" t="inlineStr">
        <is>
          <t>VÄSTERNORRLANDS LÄN</t>
        </is>
      </c>
      <c r="G605" t="inlineStr">
        <is>
          <t>HÄRNÖSAND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45729</v>
      </c>
      <c r="E606" s="1" t="n">
        <v>46279</v>
      </c>
      <c r="F606" t="inlineStr">
        <is>
          <t>VÄSTERNORRLANDS LÄN</t>
        </is>
      </c>
      <c r="G606" t="inlineStr">
        <is>
          <t>HÄRNÖSAND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11903-2024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45376</v>
      </c>
      <c r="E607" s="1" t="n">
        <v>46279</v>
      </c>
      <c r="F607" t="inlineStr">
        <is>
          <t>VÄSTERNORRLANDS LÄN</t>
        </is>
      </c>
      <c r="G607" t="inlineStr">
        <is>
          <t>HÄRNÖSAND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46279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45730</v>
      </c>
      <c r="E609" s="1" t="n">
        <v>46279</v>
      </c>
      <c r="F609" t="inlineStr">
        <is>
          <t>VÄSTERNORRLANDS LÄN</t>
        </is>
      </c>
      <c r="G609" t="inlineStr">
        <is>
          <t>HÄRNÖSAND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46275</v>
      </c>
      <c r="E610" s="1" t="n">
        <v>46279</v>
      </c>
      <c r="F610" t="inlineStr">
        <is>
          <t>VÄSTERNORRLANDS LÄN</t>
        </is>
      </c>
      <c r="G610" t="inlineStr">
        <is>
          <t>HÄRNÖSAND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4147-2025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45685</v>
      </c>
      <c r="E611" s="1" t="n">
        <v>46279</v>
      </c>
      <c r="F611" t="inlineStr">
        <is>
          <t>VÄSTERNORRLANDS LÄN</t>
        </is>
      </c>
      <c r="G611" t="inlineStr">
        <is>
          <t>HÄRNÖSAND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46279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46279</v>
      </c>
      <c r="F613" t="inlineStr">
        <is>
          <t>VÄSTERNORRLANDS LÄN</t>
        </is>
      </c>
      <c r="G613" t="inlineStr">
        <is>
          <t>HÄRNÖSAND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46279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46279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45562</v>
      </c>
      <c r="E616" s="1" t="n">
        <v>46279</v>
      </c>
      <c r="F616" t="inlineStr">
        <is>
          <t>VÄSTERNORRLANDS LÄN</t>
        </is>
      </c>
      <c r="G616" t="inlineStr">
        <is>
          <t>HÄRNÖSAND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45578</v>
      </c>
      <c r="E617" s="1" t="n">
        <v>46279</v>
      </c>
      <c r="F617" t="inlineStr">
        <is>
          <t>VÄSTERNORRLANDS LÄN</t>
        </is>
      </c>
      <c r="G617" t="inlineStr">
        <is>
          <t>HÄRNÖSAND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23290-2025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46279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6831-2024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45342</v>
      </c>
      <c r="E619" s="1" t="n">
        <v>46279</v>
      </c>
      <c r="F619" t="inlineStr">
        <is>
          <t>VÄSTERNORRLANDS LÄN</t>
        </is>
      </c>
      <c r="G619" t="inlineStr">
        <is>
          <t>HÄRNÖSAND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44590-2024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45574</v>
      </c>
      <c r="E620" s="1" t="n">
        <v>46279</v>
      </c>
      <c r="F620" t="inlineStr">
        <is>
          <t>VÄSTERNORRLANDS LÄN</t>
        </is>
      </c>
      <c r="G620" t="inlineStr">
        <is>
          <t>HÄRNÖSAND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45433</v>
      </c>
      <c r="E621" s="1" t="n">
        <v>46279</v>
      </c>
      <c r="F621" t="inlineStr">
        <is>
          <t>VÄSTERNORRLANDS LÄN</t>
        </is>
      </c>
      <c r="G621" t="inlineStr">
        <is>
          <t>HÄRNÖSAND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8475-2024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45351</v>
      </c>
      <c r="E622" s="1" t="n">
        <v>46279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1088-2022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44571</v>
      </c>
      <c r="E623" s="1" t="n">
        <v>46279</v>
      </c>
      <c r="F623" t="inlineStr">
        <is>
          <t>VÄSTERNORRLANDS LÄN</t>
        </is>
      </c>
      <c r="G623" t="inlineStr">
        <is>
          <t>HÄRNÖSAND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45579</v>
      </c>
      <c r="E624" s="1" t="n">
        <v>46279</v>
      </c>
      <c r="F624" t="inlineStr">
        <is>
          <t>VÄSTERNORRLANDS LÄN</t>
        </is>
      </c>
      <c r="G624" t="inlineStr">
        <is>
          <t>HÄRNÖSAND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45793</v>
      </c>
      <c r="E625" s="1" t="n">
        <v>46279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61944-2023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45266</v>
      </c>
      <c r="E626" s="1" t="n">
        <v>46279</v>
      </c>
      <c r="F626" t="inlineStr">
        <is>
          <t>VÄSTERNORRLANDS LÄN</t>
        </is>
      </c>
      <c r="G626" t="inlineStr">
        <is>
          <t>HÄRNÖSAND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45516</v>
      </c>
      <c r="E627" s="1" t="n">
        <v>46279</v>
      </c>
      <c r="F627" t="inlineStr">
        <is>
          <t>VÄSTERNORRLANDS LÄN</t>
        </is>
      </c>
      <c r="G627" t="inlineStr">
        <is>
          <t>HÄRNÖSAND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34745-2023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45139</v>
      </c>
      <c r="E628" s="1" t="n">
        <v>46279</v>
      </c>
      <c r="F628" t="inlineStr">
        <is>
          <t>VÄSTERNORRLANDS LÄN</t>
        </is>
      </c>
      <c r="G628" t="inlineStr">
        <is>
          <t>HÄRNÖSAND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55583-2021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44475</v>
      </c>
      <c r="E629" s="1" t="n">
        <v>46279</v>
      </c>
      <c r="F629" t="inlineStr">
        <is>
          <t>VÄSTERNORRLANDS LÄN</t>
        </is>
      </c>
      <c r="G629" t="inlineStr">
        <is>
          <t>HÄRNÖSAND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24955-2025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45799</v>
      </c>
      <c r="E630" s="1" t="n">
        <v>46279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25355-2025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45800</v>
      </c>
      <c r="E631" s="1" t="n">
        <v>46279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25541-2025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45803</v>
      </c>
      <c r="E632" s="1" t="n">
        <v>46279</v>
      </c>
      <c r="F632" t="inlineStr">
        <is>
          <t>VÄSTERNORRLANDS LÄN</t>
        </is>
      </c>
      <c r="G632" t="inlineStr">
        <is>
          <t>HÄRNÖSAND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18461-2025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45762</v>
      </c>
      <c r="E633" s="1" t="n">
        <v>46279</v>
      </c>
      <c r="F633" t="inlineStr">
        <is>
          <t>VÄSTERNORRLANDS LÄN</t>
        </is>
      </c>
      <c r="G633" t="inlineStr">
        <is>
          <t>HÄRNÖSAND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26176-2025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45805</v>
      </c>
      <c r="E634" s="1" t="n">
        <v>46279</v>
      </c>
      <c r="F634" t="inlineStr">
        <is>
          <t>VÄSTERNORRLANDS LÄN</t>
        </is>
      </c>
      <c r="G634" t="inlineStr">
        <is>
          <t>HÄRNÖSAND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45630</v>
      </c>
      <c r="E635" s="1" t="n">
        <v>46279</v>
      </c>
      <c r="F635" t="inlineStr">
        <is>
          <t>VÄSTERNORRLANDS LÄN</t>
        </is>
      </c>
      <c r="G635" t="inlineStr">
        <is>
          <t>HÄRNÖSAND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49531-2023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45205</v>
      </c>
      <c r="E636" s="1" t="n">
        <v>46279</v>
      </c>
      <c r="F636" t="inlineStr">
        <is>
          <t>VÄSTERNORRLANDS LÄN</t>
        </is>
      </c>
      <c r="G636" t="inlineStr">
        <is>
          <t>HÄRNÖSAND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45811</v>
      </c>
      <c r="E637" s="1" t="n">
        <v>46279</v>
      </c>
      <c r="F637" t="inlineStr">
        <is>
          <t>VÄSTERNORRLANDS LÄN</t>
        </is>
      </c>
      <c r="G637" t="inlineStr">
        <is>
          <t>HÄRNÖSAND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45812</v>
      </c>
      <c r="E638" s="1" t="n">
        <v>46279</v>
      </c>
      <c r="F638" t="inlineStr">
        <is>
          <t>VÄSTERNORRLANDS LÄN</t>
        </is>
      </c>
      <c r="G638" t="inlineStr">
        <is>
          <t>HÄRNÖSAND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27273-2025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45812</v>
      </c>
      <c r="E639" s="1" t="n">
        <v>46279</v>
      </c>
      <c r="F639" t="inlineStr">
        <is>
          <t>VÄSTERNORRLANDS LÄN</t>
        </is>
      </c>
      <c r="G639" t="inlineStr">
        <is>
          <t>HÄRNÖSAND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4299-2021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44393</v>
      </c>
      <c r="E640" s="1" t="n">
        <v>46279</v>
      </c>
      <c r="F640" t="inlineStr">
        <is>
          <t>VÄSTERNORRLANDS LÄN</t>
        </is>
      </c>
      <c r="G640" t="inlineStr">
        <is>
          <t>HÄRNÖSAND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382-2024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45323</v>
      </c>
      <c r="E641" s="1" t="n">
        <v>46279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10.6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831-2025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45733</v>
      </c>
      <c r="E642" s="1" t="n">
        <v>46279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113.3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1148-2025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45755</v>
      </c>
      <c r="E643" s="1" t="n">
        <v>46279</v>
      </c>
      <c r="F643" t="inlineStr">
        <is>
          <t>VÄSTERNORRLANDS LÄN</t>
        </is>
      </c>
      <c r="G643" t="inlineStr">
        <is>
          <t>HÄRNÖSAND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1559-2025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45793</v>
      </c>
      <c r="E644" s="1" t="n">
        <v>46279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525-2026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46078</v>
      </c>
      <c r="E645" s="1" t="n">
        <v>46279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484-2026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46073</v>
      </c>
      <c r="E646" s="1" t="n">
        <v>46279</v>
      </c>
      <c r="F646" t="inlineStr">
        <is>
          <t>VÄSTERNORRLANDS LÄN</t>
        </is>
      </c>
      <c r="G646" t="inlineStr">
        <is>
          <t>HÄRNÖSAND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723-2026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46093</v>
      </c>
      <c r="E647" s="1" t="n">
        <v>46279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1428-2026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46156</v>
      </c>
      <c r="E648" s="1" t="n">
        <v>46279</v>
      </c>
      <c r="F648" t="inlineStr">
        <is>
          <t>VÄSTERNORRLANDS LÄN</t>
        </is>
      </c>
      <c r="G648" t="inlineStr">
        <is>
          <t>HÄRNÖSAND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2294-2026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46267</v>
      </c>
      <c r="E649" s="1" t="n">
        <v>46279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2026-09-14T02:11:50Z</dcterms:created>
  <dcterms:modified xmlns:dcterms="http://purl.org/dc/terms/" xmlns:xsi="http://www.w3.org/2001/XMLSchema-instance" xsi:type="dcterms:W3CDTF">2026-09-14T02:11:50Z</dcterms:modified>
</cp:coreProperties>
</file>