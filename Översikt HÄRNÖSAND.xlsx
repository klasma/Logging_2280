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46261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46261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46261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46261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46261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46261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46261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46261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46261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46261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46261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46261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t="n">
        <v>0</v>
      </c>
      <c r="V25" s="2" t="inlineStr">
        <is>
          <t>Garnlav
Sötgräs
Ullticka
Strutbräken
Tibast</t>
        </is>
      </c>
      <c r="W25">
        <f>HYPERLINK("https://klasma.github.io/Logging_2280/artfynd/A 42961-2024 artfynd.xlsx", "A 42961-2024")</f>
        <v/>
      </c>
      <c r="X25">
        <f>HYPERLINK("https://klasma.github.io/Logging_2280/kartor/A 42961-2024 karta.png", "A 42961-2024")</f>
        <v/>
      </c>
      <c r="Y25">
        <f>HYPERLINK("https://klasma.github.io/Logging_2280/kartor_geotiff/A 42961-2024 georefererad karta.tif", "A 42961-2024")</f>
        <v/>
      </c>
      <c r="AA25">
        <f>HYPERLINK("https://klasma.github.io/Logging_2280/klagomål/A 42961-2024 FSC-klagomål.docx", "A 42961-2024")</f>
        <v/>
      </c>
      <c r="AB25">
        <f>HYPERLINK("https://klasma.github.io/Logging_2280/klagomålsmail/A 42961-2024 FSC-klagomål mail.docx", "A 42961-2024")</f>
        <v/>
      </c>
      <c r="AC25">
        <f>HYPERLINK("https://klasma.github.io/Logging_2280/tillsyn/A 42961-2024 tillsynsbegäran.docx", "A 42961-2024")</f>
        <v/>
      </c>
      <c r="AD25">
        <f>HYPERLINK("https://klasma.github.io/Logging_2280/tillsynsmail/A 42961-2024 tillsynsbegäran mail.docx", "A 42961-2024")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46261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46261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46261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46261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46261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46261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46261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46261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46261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46261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2795-2024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46261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Kyrkan</t>
        </is>
      </c>
      <c r="I39" t="n">
        <v>2.5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8</v>
      </c>
      <c r="U39" t="n">
        <v>0</v>
      </c>
      <c r="V39" s="2" t="inlineStr">
        <is>
          <t>Rosenticka
Rynkskinn
Ullticka
Trådticka</t>
        </is>
      </c>
      <c r="W39">
        <f>HYPERLINK("https://klasma.github.io/Logging_2280/artfynd/A 2795-2024 artfynd.xlsx", "A 2795-2024")</f>
        <v/>
      </c>
      <c r="X39">
        <f>HYPERLINK("https://klasma.github.io/Logging_2280/kartor/A 2795-2024 karta.png", "A 2795-2024")</f>
        <v/>
      </c>
      <c r="Y39">
        <f>HYPERLINK("https://klasma.github.io/Logging_2280/kartor_geotiff/A 2795-2024 georefererad karta.tif", "A 2795-2024")</f>
        <v/>
      </c>
      <c r="AA39">
        <f>HYPERLINK("https://klasma.github.io/Logging_2280/klagomål/A 2795-2024 FSC-klagomål.docx", "A 2795-2024")</f>
        <v/>
      </c>
      <c r="AB39">
        <f>HYPERLINK("https://klasma.github.io/Logging_2280/klagomålsmail/A 2795-2024 FSC-klagomål mail.docx", "A 2795-2024")</f>
        <v/>
      </c>
      <c r="AC39">
        <f>HYPERLINK("https://klasma.github.io/Logging_2280/tillsyn/A 2795-2024 tillsynsbegäran.docx", "A 2795-2024")</f>
        <v/>
      </c>
      <c r="AD39">
        <f>HYPERLINK("https://klasma.github.io/Logging_2280/tillsynsmail/A 2795-2024 tillsynsbegäran mail.docx", "A 2795-2024")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46261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A 32639-2024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45513</v>
      </c>
      <c r="E41" s="1" t="n">
        <v>46261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1.3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Ullticka
Vitgrynig nållav
Skinnlav</t>
        </is>
      </c>
      <c r="W41">
        <f>HYPERLINK("https://klasma.github.io/Logging_2280/artfynd/A 32639-2024 artfynd.xlsx", "A 32639-2024")</f>
        <v/>
      </c>
      <c r="X41">
        <f>HYPERLINK("https://klasma.github.io/Logging_2280/kartor/A 32639-2024 karta.png", "A 32639-2024")</f>
        <v/>
      </c>
      <c r="Y41">
        <f>HYPERLINK("https://klasma.github.io/Logging_2280/kartor_geotiff/A 32639-2024 georefererad karta.tif", "A 32639-2024")</f>
        <v/>
      </c>
      <c r="AA41">
        <f>HYPERLINK("https://klasma.github.io/Logging_2280/klagomål/A 32639-2024 FSC-klagomål.docx", "A 32639-2024")</f>
        <v/>
      </c>
      <c r="AB41">
        <f>HYPERLINK("https://klasma.github.io/Logging_2280/klagomålsmail/A 32639-2024 FSC-klagomål mail.docx", "A 32639-2024")</f>
        <v/>
      </c>
      <c r="AC41">
        <f>HYPERLINK("https://klasma.github.io/Logging_2280/tillsyn/A 32639-2024 tillsynsbegäran.docx", "A 32639-2024")</f>
        <v/>
      </c>
      <c r="AD41">
        <f>HYPERLINK("https://klasma.github.io/Logging_2280/tillsynsmail/A 32639-2024 tillsynsbegäran mail.docx", "A 32639-2024")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46261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46261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46261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43101-2023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46261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Ullticka
Vedflamlav
Fläcknycklar</t>
        </is>
      </c>
      <c r="W49">
        <f>HYPERLINK("https://klasma.github.io/Logging_2280/artfynd/A 43101-2023 artfynd.xlsx", "A 43101-2023")</f>
        <v/>
      </c>
      <c r="X49">
        <f>HYPERLINK("https://klasma.github.io/Logging_2280/kartor/A 43101-2023 karta.png", "A 43101-2023")</f>
        <v/>
      </c>
      <c r="Y49">
        <f>HYPERLINK("https://klasma.github.io/Logging_2280/kartor_geotiff/A 43101-2023 georefererad karta.tif", "A 43101-2023")</f>
        <v/>
      </c>
      <c r="AA49">
        <f>HYPERLINK("https://klasma.github.io/Logging_2280/klagomål/A 43101-2023 FSC-klagomål.docx", "A 43101-2023")</f>
        <v/>
      </c>
      <c r="AB49">
        <f>HYPERLINK("https://klasma.github.io/Logging_2280/klagomålsmail/A 43101-2023 FSC-klagomål mail.docx", "A 43101-2023")</f>
        <v/>
      </c>
      <c r="AC49">
        <f>HYPERLINK("https://klasma.github.io/Logging_2280/tillsyn/A 43101-2023 tillsynsbegäran.docx", "A 43101-2023")</f>
        <v/>
      </c>
      <c r="AD49">
        <f>HYPERLINK("https://klasma.github.io/Logging_2280/tillsynsmail/A 43101-2023 tillsynsbegäran mail.docx", "A 43101-2023")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46261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46261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46261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46261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46261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46261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46261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46261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46261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46261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46261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46261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46261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46261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46261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54894-2024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46261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Lunglav</t>
        </is>
      </c>
      <c r="W65">
        <f>HYPERLINK("https://klasma.github.io/Logging_2280/artfynd/A 54894-2024 artfynd.xlsx", "A 54894-2024")</f>
        <v/>
      </c>
      <c r="X65">
        <f>HYPERLINK("https://klasma.github.io/Logging_2280/kartor/A 54894-2024 karta.png", "A 54894-2024")</f>
        <v/>
      </c>
      <c r="Y65">
        <f>HYPERLINK("https://klasma.github.io/Logging_2280/kartor_geotiff/A 54894-2024 georefererad karta.tif", "A 54894-2024")</f>
        <v/>
      </c>
      <c r="AA65">
        <f>HYPERLINK("https://klasma.github.io/Logging_2280/klagomål/A 54894-2024 FSC-klagomål.docx", "A 54894-2024")</f>
        <v/>
      </c>
      <c r="AB65">
        <f>HYPERLINK("https://klasma.github.io/Logging_2280/klagomålsmail/A 54894-2024 FSC-klagomål mail.docx", "A 54894-2024")</f>
        <v/>
      </c>
      <c r="AC65">
        <f>HYPERLINK("https://klasma.github.io/Logging_2280/tillsyn/A 54894-2024 tillsynsbegäran.docx", "A 54894-2024")</f>
        <v/>
      </c>
      <c r="AD65">
        <f>HYPERLINK("https://klasma.github.io/Logging_2280/tillsynsmail/A 54894-2024 tillsynsbegäran mail.docx", "A 54894-2024")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46261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46261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46261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1190-2026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46261</v>
      </c>
      <c r="F71" t="inlineStr">
        <is>
          <t>VÄSTERNORRLANDS LÄN</t>
        </is>
      </c>
      <c r="G71" t="inlineStr">
        <is>
          <t>HÄRNÖSAND</t>
        </is>
      </c>
      <c r="I71" t="n">
        <v>3.5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Tretåig hackspett</t>
        </is>
      </c>
      <c r="W71">
        <f>HYPERLINK("https://klasma.github.io/Logging_2280/artfynd/A 1190-2026 artfynd.xlsx", "A 1190-2026")</f>
        <v/>
      </c>
      <c r="X71">
        <f>HYPERLINK("https://klasma.github.io/Logging_2280/kartor/A 1190-2026 karta.png", "A 1190-2026")</f>
        <v/>
      </c>
      <c r="Y71">
        <f>HYPERLINK("https://klasma.github.io/Logging_2280/kartor_geotiff/A 1190-2026 georefererad karta.tif", "A 1190-2026")</f>
        <v/>
      </c>
      <c r="AA71">
        <f>HYPERLINK("https://klasma.github.io/Logging_2280/klagomål/A 1190-2026 FSC-klagomål.docx", "A 1190-2026")</f>
        <v/>
      </c>
      <c r="AB71">
        <f>HYPERLINK("https://klasma.github.io/Logging_2280/klagomålsmail/A 1190-2026 FSC-klagomål mail.docx", "A 1190-2026")</f>
        <v/>
      </c>
      <c r="AC71">
        <f>HYPERLINK("https://klasma.github.io/Logging_2280/tillsyn/A 1190-2026 tillsynsbegäran.docx", "A 1190-2026")</f>
        <v/>
      </c>
      <c r="AD71">
        <f>HYPERLINK("https://klasma.github.io/Logging_2280/tillsynsmail/A 1190-2026 tillsynsbegäran mail.docx", "A 1190-2026")</f>
        <v/>
      </c>
      <c r="AE71">
        <f>HYPERLINK("https://klasma.github.io/Logging_2280/fåglar/A 1190-2026 prioriterade fågelarter.docx", "A 1190-2026")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46261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46261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46261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46261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46261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46707-2024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46261</v>
      </c>
      <c r="F77" t="inlineStr">
        <is>
          <t>VÄSTERNORRLANDS LÄN</t>
        </is>
      </c>
      <c r="G77" t="inlineStr">
        <is>
          <t>HÄRNÖSAND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Tretåig hackspett</t>
        </is>
      </c>
      <c r="W77">
        <f>HYPERLINK("https://klasma.github.io/Logging_2280/artfynd/A 46707-2024 artfynd.xlsx", "A 46707-2024")</f>
        <v/>
      </c>
      <c r="X77">
        <f>HYPERLINK("https://klasma.github.io/Logging_2280/kartor/A 46707-2024 karta.png", "A 46707-2024")</f>
        <v/>
      </c>
      <c r="Y77">
        <f>HYPERLINK("https://klasma.github.io/Logging_2280/kartor_geotiff/A 46707-2024 georefererad karta.tif", "A 46707-2024")</f>
        <v/>
      </c>
      <c r="AA77">
        <f>HYPERLINK("https://klasma.github.io/Logging_2280/klagomål/A 46707-2024 FSC-klagomål.docx", "A 46707-2024")</f>
        <v/>
      </c>
      <c r="AB77">
        <f>HYPERLINK("https://klasma.github.io/Logging_2280/klagomålsmail/A 46707-2024 FSC-klagomål mail.docx", "A 46707-2024")</f>
        <v/>
      </c>
      <c r="AC77">
        <f>HYPERLINK("https://klasma.github.io/Logging_2280/tillsyn/A 46707-2024 tillsynsbegäran.docx", "A 46707-2024")</f>
        <v/>
      </c>
      <c r="AD77">
        <f>HYPERLINK("https://klasma.github.io/Logging_2280/tillsynsmail/A 46707-2024 tillsynsbegäran mail.docx", "A 46707-2024")</f>
        <v/>
      </c>
      <c r="AE77">
        <f>HYPERLINK("https://klasma.github.io/Logging_2280/fåglar/A 46707-2024 prioriterade fågelarter.docx", "A 46707-2024")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46261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Älg</t>
        </is>
      </c>
      <c r="W78">
        <f>HYPERLINK("https://klasma.github.io/Logging_2280/artfynd/A 63724-2023 artfynd.xlsx", "A 63724-2023")</f>
        <v/>
      </c>
      <c r="X78">
        <f>HYPERLINK("https://klasma.github.io/Logging_2280/kartor/A 63724-2023 karta.png", "A 63724-2023")</f>
        <v/>
      </c>
      <c r="Y78">
        <f>HYPERLINK("https://klasma.github.io/Logging_2280/kartor_geotiff/A 63724-2023 georefererad karta.tif", "A 63724-2023")</f>
        <v/>
      </c>
      <c r="AA78">
        <f>HYPERLINK("https://klasma.github.io/Logging_2280/klagomål/A 63724-2023 FSC-klagomål.docx", "A 63724-2023")</f>
        <v/>
      </c>
      <c r="AB78">
        <f>HYPERLINK("https://klasma.github.io/Logging_2280/klagomålsmail/A 63724-2023 FSC-klagomål mail.docx", "A 63724-2023")</f>
        <v/>
      </c>
      <c r="AC78">
        <f>HYPERLINK("https://klasma.github.io/Logging_2280/tillsyn/A 63724-2023 tillsynsbegäran.docx", "A 63724-2023")</f>
        <v/>
      </c>
      <c r="AD78">
        <f>HYPERLINK("https://klasma.github.io/Logging_2280/tillsynsmail/A 63724-2023 tillsynsbegäran mail.docx", "A 63724-2023")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46261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13984-2023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46261</v>
      </c>
      <c r="F80" t="inlineStr">
        <is>
          <t>VÄSTERNORRLANDS LÄN</t>
        </is>
      </c>
      <c r="G80" t="inlineStr">
        <is>
          <t>HÄRNÖSAND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HYPERLINK("https://klasma.github.io/Logging_2280/artfynd/A 13984-2023 artfynd.xlsx", "A 13984-2023")</f>
        <v/>
      </c>
      <c r="X80">
        <f>HYPERLINK("https://klasma.github.io/Logging_2280/kartor/A 13984-2023 karta.png", "A 13984-2023")</f>
        <v/>
      </c>
      <c r="Y80">
        <f>HYPERLINK("https://klasma.github.io/Logging_2280/kartor_geotiff/A 13984-2023 georefererad karta.tif", "A 13984-2023")</f>
        <v/>
      </c>
      <c r="AA80">
        <f>HYPERLINK("https://klasma.github.io/Logging_2280/klagomål/A 13984-2023 FSC-klagomål.docx", "A 13984-2023")</f>
        <v/>
      </c>
      <c r="AB80">
        <f>HYPERLINK("https://klasma.github.io/Logging_2280/klagomålsmail/A 13984-2023 FSC-klagomål mail.docx", "A 13984-2023")</f>
        <v/>
      </c>
      <c r="AC80">
        <f>HYPERLINK("https://klasma.github.io/Logging_2280/tillsyn/A 13984-2023 tillsynsbegäran.docx", "A 13984-2023")</f>
        <v/>
      </c>
      <c r="AD80">
        <f>HYPERLINK("https://klasma.github.io/Logging_2280/tillsynsmail/A 13984-2023 tillsynsbegäran mail.docx", "A 13984-2023")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46261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46261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43541-2022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44837</v>
      </c>
      <c r="E83" s="1" t="n">
        <v>46261</v>
      </c>
      <c r="F83" t="inlineStr">
        <is>
          <t>VÄSTERNORRLANDS LÄN</t>
        </is>
      </c>
      <c r="G83" t="inlineStr">
        <is>
          <t>HÄRNÖSAND</t>
        </is>
      </c>
      <c r="I83" t="n">
        <v>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Sötgräs</t>
        </is>
      </c>
      <c r="W83">
        <f>HYPERLINK("https://klasma.github.io/Logging_2280/artfynd/A 43541-2022 artfynd.xlsx", "A 43541-2022")</f>
        <v/>
      </c>
      <c r="X83">
        <f>HYPERLINK("https://klasma.github.io/Logging_2280/kartor/A 43541-2022 karta.png", "A 43541-2022")</f>
        <v/>
      </c>
      <c r="Y83">
        <f>HYPERLINK("https://klasma.github.io/Logging_2280/kartor_geotiff/A 43541-2022 georefererad karta.tif", "A 43541-2022")</f>
        <v/>
      </c>
      <c r="AA83">
        <f>HYPERLINK("https://klasma.github.io/Logging_2280/klagomål/A 43541-2022 FSC-klagomål.docx", "A 43541-2022")</f>
        <v/>
      </c>
      <c r="AB83">
        <f>HYPERLINK("https://klasma.github.io/Logging_2280/klagomålsmail/A 43541-2022 FSC-klagomål mail.docx", "A 43541-2022")</f>
        <v/>
      </c>
      <c r="AC83">
        <f>HYPERLINK("https://klasma.github.io/Logging_2280/tillsyn/A 43541-2022 tillsynsbegäran.docx", "A 43541-2022")</f>
        <v/>
      </c>
      <c r="AD83">
        <f>HYPERLINK("https://klasma.github.io/Logging_2280/tillsynsmail/A 43541-2022 tillsynsbegäran mail.docx", "A 43541-2022")</f>
        <v/>
      </c>
    </row>
    <row r="84" ht="15" customHeight="1">
      <c r="A84" t="inlineStr">
        <is>
          <t>A 61828-2024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45649</v>
      </c>
      <c r="E84" s="1" t="n">
        <v>46261</v>
      </c>
      <c r="F84" t="inlineStr">
        <is>
          <t>VÄSTERNORRLANDS LÄN</t>
        </is>
      </c>
      <c r="G84" t="inlineStr">
        <is>
          <t>HÄRNÖSAND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Luddfingersvamp</t>
        </is>
      </c>
      <c r="W84">
        <f>HYPERLINK("https://klasma.github.io/Logging_2280/artfynd/A 61828-2024 artfynd.xlsx", "A 61828-2024")</f>
        <v/>
      </c>
      <c r="X84">
        <f>HYPERLINK("https://klasma.github.io/Logging_2280/kartor/A 61828-2024 karta.png", "A 61828-2024")</f>
        <v/>
      </c>
      <c r="Y84">
        <f>HYPERLINK("https://klasma.github.io/Logging_2280/kartor_geotiff/A 61828-2024 georefererad karta.tif", "A 61828-2024")</f>
        <v/>
      </c>
      <c r="AA84">
        <f>HYPERLINK("https://klasma.github.io/Logging_2280/klagomål/A 61828-2024 FSC-klagomål.docx", "A 61828-2024")</f>
        <v/>
      </c>
      <c r="AB84">
        <f>HYPERLINK("https://klasma.github.io/Logging_2280/klagomålsmail/A 61828-2024 FSC-klagomål mail.docx", "A 61828-2024")</f>
        <v/>
      </c>
      <c r="AC84">
        <f>HYPERLINK("https://klasma.github.io/Logging_2280/tillsyn/A 61828-2024 tillsynsbegäran.docx", "A 61828-2024")</f>
        <v/>
      </c>
      <c r="AD84">
        <f>HYPERLINK("https://klasma.github.io/Logging_2280/tillsynsmail/A 61828-2024 tillsynsbegäran mail.docx", "A 61828-2024")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46261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46261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8921-2024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45355</v>
      </c>
      <c r="E87" s="1" t="n">
        <v>46261</v>
      </c>
      <c r="F87" t="inlineStr">
        <is>
          <t>VÄSTERNORRLANDS LÄN</t>
        </is>
      </c>
      <c r="G87" t="inlineStr">
        <is>
          <t>HÄRNÖSAND</t>
        </is>
      </c>
      <c r="I87" t="n">
        <v>3.7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Apelsinticka</t>
        </is>
      </c>
      <c r="W87">
        <f>HYPERLINK("https://klasma.github.io/Logging_2280/artfynd/A 8921-2024 artfynd.xlsx", "A 8921-2024")</f>
        <v/>
      </c>
      <c r="X87">
        <f>HYPERLINK("https://klasma.github.io/Logging_2280/kartor/A 8921-2024 karta.png", "A 8921-2024")</f>
        <v/>
      </c>
      <c r="Y87">
        <f>HYPERLINK("https://klasma.github.io/Logging_2280/kartor_geotiff/A 8921-2024 georefererad karta.tif", "A 8921-2024")</f>
        <v/>
      </c>
      <c r="AA87">
        <f>HYPERLINK("https://klasma.github.io/Logging_2280/klagomål/A 8921-2024 FSC-klagomål.docx", "A 8921-2024")</f>
        <v/>
      </c>
      <c r="AB87">
        <f>HYPERLINK("https://klasma.github.io/Logging_2280/klagomålsmail/A 8921-2024 FSC-klagomål mail.docx", "A 8921-2024")</f>
        <v/>
      </c>
      <c r="AC87">
        <f>HYPERLINK("https://klasma.github.io/Logging_2280/tillsyn/A 8921-2024 tillsynsbegäran.docx", "A 8921-2024")</f>
        <v/>
      </c>
      <c r="AD87">
        <f>HYPERLINK("https://klasma.github.io/Logging_2280/tillsynsmail/A 8921-2024 tillsynsbegäran mail.docx", "A 8921-2024")</f>
        <v/>
      </c>
    </row>
    <row r="88" ht="15" customHeight="1">
      <c r="A88" t="inlineStr">
        <is>
          <t>A 7853-2024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46261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4.1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HYPERLINK("https://klasma.github.io/Logging_2280/artfynd/A 7853-2024 artfynd.xlsx", "A 7853-2024")</f>
        <v/>
      </c>
      <c r="X88">
        <f>HYPERLINK("https://klasma.github.io/Logging_2280/kartor/A 7853-2024 karta.png", "A 7853-2024")</f>
        <v/>
      </c>
      <c r="Y88">
        <f>HYPERLINK("https://klasma.github.io/Logging_2280/kartor_geotiff/A 7853-2024 georefererad karta.tif", "A 7853-2024")</f>
        <v/>
      </c>
      <c r="AA88">
        <f>HYPERLINK("https://klasma.github.io/Logging_2280/klagomål/A 7853-2024 FSC-klagomål.docx", "A 7853-2024")</f>
        <v/>
      </c>
      <c r="AB88">
        <f>HYPERLINK("https://klasma.github.io/Logging_2280/klagomålsmail/A 7853-2024 FSC-klagomål mail.docx", "A 7853-2024")</f>
        <v/>
      </c>
      <c r="AC88">
        <f>HYPERLINK("https://klasma.github.io/Logging_2280/tillsyn/A 7853-2024 tillsynsbegäran.docx", "A 7853-2024")</f>
        <v/>
      </c>
      <c r="AD88">
        <f>HYPERLINK("https://klasma.github.io/Logging_2280/tillsynsmail/A 7853-2024 tillsynsbegäran mail.docx", "A 7853-2024")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46261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24202-2024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46261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2</v>
      </c>
      <c r="V90" s="2" t="inlineStr">
        <is>
          <t>Garnlav</t>
        </is>
      </c>
      <c r="W90">
        <f>HYPERLINK("https://klasma.github.io/Logging_2280/artfynd/A 24202-2024 artfynd.xlsx", "A 24202-2024")</f>
        <v/>
      </c>
      <c r="X90">
        <f>HYPERLINK("https://klasma.github.io/Logging_2280/kartor/A 24202-2024 karta.png", "A 24202-2024")</f>
        <v/>
      </c>
      <c r="Y90">
        <f>HYPERLINK("https://klasma.github.io/Logging_2280/kartor_geotiff/A 24202-2024 georefererad karta.tif", "A 24202-2024")</f>
        <v/>
      </c>
      <c r="AA90">
        <f>HYPERLINK("https://klasma.github.io/Logging_2280/klagomål/A 24202-2024 FSC-klagomål.docx", "A 24202-2024")</f>
        <v/>
      </c>
      <c r="AB90">
        <f>HYPERLINK("https://klasma.github.io/Logging_2280/klagomålsmail/A 24202-2024 FSC-klagomål mail.docx", "A 24202-2024")</f>
        <v/>
      </c>
      <c r="AC90">
        <f>HYPERLINK("https://klasma.github.io/Logging_2280/tillsyn/A 24202-2024 tillsynsbegäran.docx", "A 24202-2024")</f>
        <v/>
      </c>
      <c r="AD90">
        <f>HYPERLINK("https://klasma.github.io/Logging_2280/tillsynsmail/A 24202-2024 tillsynsbegäran mail.docx", "A 24202-2024")</f>
        <v/>
      </c>
    </row>
    <row r="91" ht="15" customHeight="1">
      <c r="A91" t="inlineStr">
        <is>
          <t>A 40265-2024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46261</v>
      </c>
      <c r="F91" t="inlineStr">
        <is>
          <t>VÄSTERNORRLANDS LÄN</t>
        </is>
      </c>
      <c r="G91" t="inlineStr">
        <is>
          <t>HÄRNÖSAND</t>
        </is>
      </c>
      <c r="I91" t="n">
        <v>4.9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Stor aspticka</t>
        </is>
      </c>
      <c r="W91">
        <f>HYPERLINK("https://klasma.github.io/Logging_2280/artfynd/A 40265-2024 artfynd.xlsx", "A 40265-2024")</f>
        <v/>
      </c>
      <c r="X91">
        <f>HYPERLINK("https://klasma.github.io/Logging_2280/kartor/A 40265-2024 karta.png", "A 40265-2024")</f>
        <v/>
      </c>
      <c r="Y91">
        <f>HYPERLINK("https://klasma.github.io/Logging_2280/kartor_geotiff/A 40265-2024 georefererad karta.tif", "A 40265-2024")</f>
        <v/>
      </c>
      <c r="AA91">
        <f>HYPERLINK("https://klasma.github.io/Logging_2280/klagomål/A 40265-2024 FSC-klagomål.docx", "A 40265-2024")</f>
        <v/>
      </c>
      <c r="AB91">
        <f>HYPERLINK("https://klasma.github.io/Logging_2280/klagomålsmail/A 40265-2024 FSC-klagomål mail.docx", "A 40265-2024")</f>
        <v/>
      </c>
      <c r="AC91">
        <f>HYPERLINK("https://klasma.github.io/Logging_2280/tillsyn/A 40265-2024 tillsynsbegäran.docx", "A 40265-2024")</f>
        <v/>
      </c>
      <c r="AD91">
        <f>HYPERLINK("https://klasma.github.io/Logging_2280/tillsynsmail/A 40265-2024 tillsynsbegäran mail.docx", "A 40265-2024")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46261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46261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46261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46261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46261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46261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46261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46261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46261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46261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46261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46261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46261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46261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46261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46261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46261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44771-2021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44438</v>
      </c>
      <c r="E112" s="1" t="n">
        <v>46261</v>
      </c>
      <c r="F112" t="inlineStr">
        <is>
          <t>VÄSTERNORRLANDS LÄN</t>
        </is>
      </c>
      <c r="G112" t="inlineStr">
        <is>
          <t>HÄRNÖSAND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46261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55790-2021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44476</v>
      </c>
      <c r="E114" s="1" t="n">
        <v>46261</v>
      </c>
      <c r="F114" t="inlineStr">
        <is>
          <t>VÄSTERNORRLANDS LÄN</t>
        </is>
      </c>
      <c r="G114" t="inlineStr">
        <is>
          <t>HÄRNÖSAND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46261</v>
      </c>
      <c r="F115" t="inlineStr">
        <is>
          <t>VÄSTERNORRLANDS LÄN</t>
        </is>
      </c>
      <c r="G115" t="inlineStr">
        <is>
          <t>HÄRNÖSAND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46261</v>
      </c>
      <c r="F116" t="inlineStr">
        <is>
          <t>VÄSTERNORRLANDS LÄN</t>
        </is>
      </c>
      <c r="G116" t="inlineStr">
        <is>
          <t>HÄRNÖSAND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46261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46261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46261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46261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46261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46261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44469</v>
      </c>
      <c r="E123" s="1" t="n">
        <v>46261</v>
      </c>
      <c r="F123" t="inlineStr">
        <is>
          <t>VÄSTERNORRLANDS LÄN</t>
        </is>
      </c>
      <c r="G123" t="inlineStr">
        <is>
          <t>HÄRNÖSAND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46261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46261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46261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46261</v>
      </c>
      <c r="F127" t="inlineStr">
        <is>
          <t>VÄSTERNORRLANDS LÄN</t>
        </is>
      </c>
      <c r="G127" t="inlineStr">
        <is>
          <t>HÄRNÖSAND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46261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46261</v>
      </c>
      <c r="F129" t="inlineStr">
        <is>
          <t>VÄSTERNORRLANDS LÄN</t>
        </is>
      </c>
      <c r="G129" t="inlineStr">
        <is>
          <t>HÄRNÖSAND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70563-2021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44532</v>
      </c>
      <c r="E130" s="1" t="n">
        <v>46261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46261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44512</v>
      </c>
      <c r="E132" s="1" t="n">
        <v>46261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46261</v>
      </c>
      <c r="F133" t="inlineStr">
        <is>
          <t>VÄSTERNORRLANDS LÄN</t>
        </is>
      </c>
      <c r="G133" t="inlineStr">
        <is>
          <t>HÄRNÖSAND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46261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46261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46261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46261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45044</v>
      </c>
      <c r="E138" s="1" t="n">
        <v>46261</v>
      </c>
      <c r="F138" t="inlineStr">
        <is>
          <t>VÄSTERNORRLANDS LÄN</t>
        </is>
      </c>
      <c r="G138" t="inlineStr">
        <is>
          <t>HÄRNÖSAND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46261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46261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45409</v>
      </c>
      <c r="E141" s="1" t="n">
        <v>46261</v>
      </c>
      <c r="F141" t="inlineStr">
        <is>
          <t>VÄSTERNORRLANDS LÄN</t>
        </is>
      </c>
      <c r="G141" t="inlineStr">
        <is>
          <t>HÄRNÖSAND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46261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46261</v>
      </c>
      <c r="F143" t="inlineStr">
        <is>
          <t>VÄSTERNORRLANDS LÄN</t>
        </is>
      </c>
      <c r="G143" t="inlineStr">
        <is>
          <t>HÄRNÖSAND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46261</v>
      </c>
      <c r="F144" t="inlineStr">
        <is>
          <t>VÄSTERNORRLANDS LÄN</t>
        </is>
      </c>
      <c r="G144" t="inlineStr">
        <is>
          <t>HÄRNÖSAND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46261</v>
      </c>
      <c r="F145" t="inlineStr">
        <is>
          <t>VÄSTERNORRLANDS LÄN</t>
        </is>
      </c>
      <c r="G145" t="inlineStr">
        <is>
          <t>HÄRNÖSAND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46261</v>
      </c>
      <c r="F146" t="inlineStr">
        <is>
          <t>VÄSTERNORRLANDS LÄN</t>
        </is>
      </c>
      <c r="G146" t="inlineStr">
        <is>
          <t>HÄRNÖSAND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46261</v>
      </c>
      <c r="F147" t="inlineStr">
        <is>
          <t>VÄSTERNORRLANDS LÄN</t>
        </is>
      </c>
      <c r="G147" t="inlineStr">
        <is>
          <t>HÄRNÖSAND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46261</v>
      </c>
      <c r="F148" t="inlineStr">
        <is>
          <t>VÄSTERNORRLANDS LÄN</t>
        </is>
      </c>
      <c r="G148" t="inlineStr">
        <is>
          <t>HÄRNÖSAND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46261</v>
      </c>
      <c r="F149" t="inlineStr">
        <is>
          <t>VÄSTERNORRLANDS LÄN</t>
        </is>
      </c>
      <c r="G149" t="inlineStr">
        <is>
          <t>HÄRNÖSAND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46261</v>
      </c>
      <c r="F150" t="inlineStr">
        <is>
          <t>VÄSTERNORRLANDS LÄN</t>
        </is>
      </c>
      <c r="G150" t="inlineStr">
        <is>
          <t>HÄRNÖSAND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45433</v>
      </c>
      <c r="E151" s="1" t="n">
        <v>46261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46261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46261</v>
      </c>
      <c r="F153" t="inlineStr">
        <is>
          <t>VÄSTERNORRLANDS LÄN</t>
        </is>
      </c>
      <c r="G153" t="inlineStr">
        <is>
          <t>HÄRNÖSAND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46261</v>
      </c>
      <c r="F154" t="inlineStr">
        <is>
          <t>VÄSTERNORRLANDS LÄN</t>
        </is>
      </c>
      <c r="G154" t="inlineStr">
        <is>
          <t>HÄRNÖSAND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46261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46023</v>
      </c>
      <c r="E156" s="1" t="n">
        <v>46261</v>
      </c>
      <c r="F156" t="inlineStr">
        <is>
          <t>VÄSTERNORRLANDS LÄN</t>
        </is>
      </c>
      <c r="G156" t="inlineStr">
        <is>
          <t>HÄRNÖSAND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46024</v>
      </c>
      <c r="E157" s="1" t="n">
        <v>46261</v>
      </c>
      <c r="F157" t="inlineStr">
        <is>
          <t>VÄSTERNORRLANDS LÄN</t>
        </is>
      </c>
      <c r="G157" t="inlineStr">
        <is>
          <t>HÄRNÖSAND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46023</v>
      </c>
      <c r="E158" s="1" t="n">
        <v>46261</v>
      </c>
      <c r="F158" t="inlineStr">
        <is>
          <t>VÄSTERNORRLANDS LÄN</t>
        </is>
      </c>
      <c r="G158" t="inlineStr">
        <is>
          <t>HÄRNÖSAND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46023</v>
      </c>
      <c r="E159" s="1" t="n">
        <v>46261</v>
      </c>
      <c r="F159" t="inlineStr">
        <is>
          <t>VÄSTERNORRLANDS LÄN</t>
        </is>
      </c>
      <c r="G159" t="inlineStr">
        <is>
          <t>HÄRNÖSAND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46261</v>
      </c>
      <c r="F160" t="inlineStr">
        <is>
          <t>VÄSTERNORRLANDS LÄN</t>
        </is>
      </c>
      <c r="G160" t="inlineStr">
        <is>
          <t>HÄRNÖSAND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46261</v>
      </c>
      <c r="F161" t="inlineStr">
        <is>
          <t>VÄSTERNORRLANDS LÄN</t>
        </is>
      </c>
      <c r="G161" t="inlineStr">
        <is>
          <t>HÄRNÖSAND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46026</v>
      </c>
      <c r="E162" s="1" t="n">
        <v>46261</v>
      </c>
      <c r="F162" t="inlineStr">
        <is>
          <t>VÄSTERNORRLANDS LÄN</t>
        </is>
      </c>
      <c r="G162" t="inlineStr">
        <is>
          <t>HÄRNÖSAND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46261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46029</v>
      </c>
      <c r="E164" s="1" t="n">
        <v>46261</v>
      </c>
      <c r="F164" t="inlineStr">
        <is>
          <t>VÄSTERNORRLANDS LÄN</t>
        </is>
      </c>
      <c r="G164" t="inlineStr">
        <is>
          <t>HÄRNÖSAND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46261</v>
      </c>
      <c r="F165" t="inlineStr">
        <is>
          <t>VÄSTERNORRLANDS LÄN</t>
        </is>
      </c>
      <c r="G165" t="inlineStr">
        <is>
          <t>HÄRNÖSAND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46261</v>
      </c>
      <c r="F166" t="inlineStr">
        <is>
          <t>VÄSTERNORRLANDS LÄN</t>
        </is>
      </c>
      <c r="G166" t="inlineStr">
        <is>
          <t>HÄRNÖSAND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45793</v>
      </c>
      <c r="E167" s="1" t="n">
        <v>46261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46261</v>
      </c>
      <c r="F168" t="inlineStr">
        <is>
          <t>VÄSTERNORRLANDS LÄN</t>
        </is>
      </c>
      <c r="G168" t="inlineStr">
        <is>
          <t>HÄRNÖSAND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46030</v>
      </c>
      <c r="E169" s="1" t="n">
        <v>46261</v>
      </c>
      <c r="F169" t="inlineStr">
        <is>
          <t>VÄSTERNORRLANDS LÄN</t>
        </is>
      </c>
      <c r="G169" t="inlineStr">
        <is>
          <t>HÄRNÖSAND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45462</v>
      </c>
      <c r="E170" s="1" t="n">
        <v>46261</v>
      </c>
      <c r="F170" t="inlineStr">
        <is>
          <t>VÄSTERNORRLANDS LÄN</t>
        </is>
      </c>
      <c r="G170" t="inlineStr">
        <is>
          <t>HÄRNÖSAND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46261</v>
      </c>
      <c r="F171" t="inlineStr">
        <is>
          <t>VÄSTERNORRLANDS LÄN</t>
        </is>
      </c>
      <c r="G171" t="inlineStr">
        <is>
          <t>HÄRNÖSAND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45516</v>
      </c>
      <c r="E172" s="1" t="n">
        <v>46261</v>
      </c>
      <c r="F172" t="inlineStr">
        <is>
          <t>VÄSTERNORRLANDS LÄN</t>
        </is>
      </c>
      <c r="G172" t="inlineStr">
        <is>
          <t>HÄRNÖSAND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46261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46261</v>
      </c>
      <c r="F174" t="inlineStr">
        <is>
          <t>VÄSTERNORRLANDS LÄN</t>
        </is>
      </c>
      <c r="G174" t="inlineStr">
        <is>
          <t>HÄRNÖSAND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55583-2021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44475</v>
      </c>
      <c r="E175" s="1" t="n">
        <v>46261</v>
      </c>
      <c r="F175" t="inlineStr">
        <is>
          <t>VÄSTERNORRLANDS LÄN</t>
        </is>
      </c>
      <c r="G175" t="inlineStr">
        <is>
          <t>HÄRNÖSAND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46261</v>
      </c>
      <c r="F176" t="inlineStr">
        <is>
          <t>VÄSTERNORRLANDS LÄN</t>
        </is>
      </c>
      <c r="G176" t="inlineStr">
        <is>
          <t>HÄRNÖSAND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46261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46261</v>
      </c>
      <c r="F178" t="inlineStr">
        <is>
          <t>VÄSTERNORRLANDS LÄN</t>
        </is>
      </c>
      <c r="G178" t="inlineStr">
        <is>
          <t>HÄRNÖSAND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46261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46261</v>
      </c>
      <c r="F180" t="inlineStr">
        <is>
          <t>VÄSTERNORRLANDS LÄN</t>
        </is>
      </c>
      <c r="G180" t="inlineStr">
        <is>
          <t>HÄRNÖSAND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44952</v>
      </c>
      <c r="E181" s="1" t="n">
        <v>46261</v>
      </c>
      <c r="F181" t="inlineStr">
        <is>
          <t>VÄSTERNORRLANDS LÄN</t>
        </is>
      </c>
      <c r="G181" t="inlineStr">
        <is>
          <t>HÄRNÖSAND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46261</v>
      </c>
      <c r="F182" t="inlineStr">
        <is>
          <t>VÄSTERNORRLANDS LÄN</t>
        </is>
      </c>
      <c r="G182" t="inlineStr">
        <is>
          <t>HÄRNÖSAND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46261</v>
      </c>
      <c r="F183" t="inlineStr">
        <is>
          <t>VÄSTERNORRLANDS LÄN</t>
        </is>
      </c>
      <c r="G183" t="inlineStr">
        <is>
          <t>HÄRNÖSAND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46261</v>
      </c>
      <c r="F184" t="inlineStr">
        <is>
          <t>VÄSTERNORRLANDS LÄN</t>
        </is>
      </c>
      <c r="G184" t="inlineStr">
        <is>
          <t>HÄRNÖSAND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46261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46261</v>
      </c>
      <c r="F186" t="inlineStr">
        <is>
          <t>VÄSTERNORRLANDS LÄN</t>
        </is>
      </c>
      <c r="G186" t="inlineStr">
        <is>
          <t>HÄRNÖSAND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46261</v>
      </c>
      <c r="F187" t="inlineStr">
        <is>
          <t>VÄSTERNORRLANDS LÄN</t>
        </is>
      </c>
      <c r="G187" t="inlineStr">
        <is>
          <t>HÄRNÖSAND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45762</v>
      </c>
      <c r="E188" s="1" t="n">
        <v>46261</v>
      </c>
      <c r="F188" t="inlineStr">
        <is>
          <t>VÄSTERNORRLANDS LÄN</t>
        </is>
      </c>
      <c r="G188" t="inlineStr">
        <is>
          <t>HÄRNÖSAND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46261</v>
      </c>
      <c r="F189" t="inlineStr">
        <is>
          <t>VÄSTERNORRLANDS LÄN</t>
        </is>
      </c>
      <c r="G189" t="inlineStr">
        <is>
          <t>HÄRNÖSAND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46261</v>
      </c>
      <c r="F190" t="inlineStr">
        <is>
          <t>VÄSTERNORRLANDS LÄN</t>
        </is>
      </c>
      <c r="G190" t="inlineStr">
        <is>
          <t>HÄRNÖSAND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46261</v>
      </c>
      <c r="F191" t="inlineStr">
        <is>
          <t>VÄSTERNORRLANDS LÄN</t>
        </is>
      </c>
      <c r="G191" t="inlineStr">
        <is>
          <t>HÄRNÖSAND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46261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46261</v>
      </c>
      <c r="F193" t="inlineStr">
        <is>
          <t>VÄSTERNORRLANDS LÄN</t>
        </is>
      </c>
      <c r="G193" t="inlineStr">
        <is>
          <t>HÄRNÖSAND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46261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45205</v>
      </c>
      <c r="E195" s="1" t="n">
        <v>46261</v>
      </c>
      <c r="F195" t="inlineStr">
        <is>
          <t>VÄSTERNORRLANDS LÄN</t>
        </is>
      </c>
      <c r="G195" t="inlineStr">
        <is>
          <t>HÄRNÖSAND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46261</v>
      </c>
      <c r="F196" t="inlineStr">
        <is>
          <t>VÄSTERNORRLANDS LÄN</t>
        </is>
      </c>
      <c r="G196" t="inlineStr">
        <is>
          <t>HÄRNÖSAND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46261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46261</v>
      </c>
      <c r="F198" t="inlineStr">
        <is>
          <t>VÄSTERNORRLANDS LÄN</t>
        </is>
      </c>
      <c r="G198" t="inlineStr">
        <is>
          <t>HÄRNÖSAND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46261</v>
      </c>
      <c r="F199" t="inlineStr">
        <is>
          <t>VÄSTERNORRLANDS LÄN</t>
        </is>
      </c>
      <c r="G199" t="inlineStr">
        <is>
          <t>HÄRNÖSAND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46261</v>
      </c>
      <c r="F200" t="inlineStr">
        <is>
          <t>VÄSTERNORRLANDS LÄN</t>
        </is>
      </c>
      <c r="G200" t="inlineStr">
        <is>
          <t>HÄRNÖSAND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46261</v>
      </c>
      <c r="F201" t="inlineStr">
        <is>
          <t>VÄSTERNORRLANDS LÄN</t>
        </is>
      </c>
      <c r="G201" t="inlineStr">
        <is>
          <t>HÄRNÖSAND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46261</v>
      </c>
      <c r="F202" t="inlineStr">
        <is>
          <t>VÄSTERNORRLANDS LÄN</t>
        </is>
      </c>
      <c r="G202" t="inlineStr">
        <is>
          <t>HÄRNÖSAND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45511</v>
      </c>
      <c r="E203" s="1" t="n">
        <v>46261</v>
      </c>
      <c r="F203" t="inlineStr">
        <is>
          <t>VÄSTERNORRLANDS LÄN</t>
        </is>
      </c>
      <c r="G203" t="inlineStr">
        <is>
          <t>HÄRNÖSAND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46261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46261</v>
      </c>
      <c r="F205" t="inlineStr">
        <is>
          <t>VÄSTERNORRLANDS LÄN</t>
        </is>
      </c>
      <c r="G205" t="inlineStr">
        <is>
          <t>HÄRNÖSAND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46261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46054</v>
      </c>
      <c r="E207" s="1" t="n">
        <v>46261</v>
      </c>
      <c r="F207" t="inlineStr">
        <is>
          <t>VÄSTERNORRLANDS LÄN</t>
        </is>
      </c>
      <c r="G207" t="inlineStr">
        <is>
          <t>HÄRNÖSAND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46261</v>
      </c>
      <c r="F208" t="inlineStr">
        <is>
          <t>VÄSTERNORRLANDS LÄN</t>
        </is>
      </c>
      <c r="G208" t="inlineStr">
        <is>
          <t>HÄRNÖSAND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46261</v>
      </c>
      <c r="F209" t="inlineStr">
        <is>
          <t>VÄSTERNORRLANDS LÄN</t>
        </is>
      </c>
      <c r="G209" t="inlineStr">
        <is>
          <t>HÄRNÖSAND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46261</v>
      </c>
      <c r="F210" t="inlineStr">
        <is>
          <t>VÄSTERNORRLANDS LÄN</t>
        </is>
      </c>
      <c r="G210" t="inlineStr">
        <is>
          <t>HÄRNÖSAND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46261</v>
      </c>
      <c r="F211" t="inlineStr">
        <is>
          <t>VÄSTERNORRLANDS LÄN</t>
        </is>
      </c>
      <c r="G211" t="inlineStr">
        <is>
          <t>HÄRNÖSAND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46261</v>
      </c>
      <c r="F212" t="inlineStr">
        <is>
          <t>VÄSTERNORRLANDS LÄN</t>
        </is>
      </c>
      <c r="G212" t="inlineStr">
        <is>
          <t>HÄRNÖSAND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46261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46261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44881</v>
      </c>
      <c r="E215" s="1" t="n">
        <v>46261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50338-2022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44865</v>
      </c>
      <c r="E216" s="1" t="n">
        <v>46261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46261</v>
      </c>
      <c r="F217" t="inlineStr">
        <is>
          <t>VÄSTERNORRLANDS LÄN</t>
        </is>
      </c>
      <c r="G217" t="inlineStr">
        <is>
          <t>HÄRNÖSAND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46261</v>
      </c>
      <c r="F218" t="inlineStr">
        <is>
          <t>VÄSTERNORRLANDS LÄN</t>
        </is>
      </c>
      <c r="G218" t="inlineStr">
        <is>
          <t>HÄRNÖSAND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46261</v>
      </c>
      <c r="F219" t="inlineStr">
        <is>
          <t>VÄSTERNORRLANDS LÄN</t>
        </is>
      </c>
      <c r="G219" t="inlineStr">
        <is>
          <t>HÄRNÖSAND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46261</v>
      </c>
      <c r="F220" t="inlineStr">
        <is>
          <t>VÄSTERNORRLANDS LÄN</t>
        </is>
      </c>
      <c r="G220" t="inlineStr">
        <is>
          <t>HÄRNÖSAND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46261</v>
      </c>
      <c r="F221" t="inlineStr">
        <is>
          <t>VÄSTERNORRLANDS LÄN</t>
        </is>
      </c>
      <c r="G221" t="inlineStr">
        <is>
          <t>HÄRNÖSAND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46261</v>
      </c>
      <c r="F222" t="inlineStr">
        <is>
          <t>VÄSTERNORRLANDS LÄN</t>
        </is>
      </c>
      <c r="G222" t="inlineStr">
        <is>
          <t>HÄRNÖSAND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46261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Kyrkan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46065</v>
      </c>
      <c r="E224" s="1" t="n">
        <v>46261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Kyrkan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8414-2026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46065</v>
      </c>
      <c r="E225" s="1" t="n">
        <v>46261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46261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Kyrkan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46065</v>
      </c>
      <c r="E227" s="1" t="n">
        <v>46261</v>
      </c>
      <c r="F227" t="inlineStr">
        <is>
          <t>VÄSTERNORRLANDS LÄN</t>
        </is>
      </c>
      <c r="G227" t="inlineStr">
        <is>
          <t>HÄRNÖSAND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46065</v>
      </c>
      <c r="E228" s="1" t="n">
        <v>46261</v>
      </c>
      <c r="F228" t="inlineStr">
        <is>
          <t>VÄSTERNORRLANDS LÄN</t>
        </is>
      </c>
      <c r="G228" t="inlineStr">
        <is>
          <t>HÄRNÖSAND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46261</v>
      </c>
      <c r="F229" t="inlineStr">
        <is>
          <t>VÄSTERNORRLANDS LÄN</t>
        </is>
      </c>
      <c r="G229" t="inlineStr">
        <is>
          <t>HÄRNÖSAND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46070</v>
      </c>
      <c r="E230" s="1" t="n">
        <v>46261</v>
      </c>
      <c r="F230" t="inlineStr">
        <is>
          <t>VÄSTERNORRLANDS LÄN</t>
        </is>
      </c>
      <c r="G230" t="inlineStr">
        <is>
          <t>HÄRNÖSAND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46261</v>
      </c>
      <c r="F231" t="inlineStr">
        <is>
          <t>VÄSTERNORRLANDS LÄN</t>
        </is>
      </c>
      <c r="G231" t="inlineStr">
        <is>
          <t>HÄRNÖSAND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46261</v>
      </c>
      <c r="F232" t="inlineStr">
        <is>
          <t>VÄSTERNORRLANDS LÄN</t>
        </is>
      </c>
      <c r="G232" t="inlineStr">
        <is>
          <t>HÄRNÖSAND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46261</v>
      </c>
      <c r="F233" t="inlineStr">
        <is>
          <t>VÄSTERNORRLANDS LÄN</t>
        </is>
      </c>
      <c r="G233" t="inlineStr">
        <is>
          <t>HÄRNÖSAND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46261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46261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46261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46261</v>
      </c>
      <c r="F237" t="inlineStr">
        <is>
          <t>VÄSTERNORRLANDS LÄN</t>
        </is>
      </c>
      <c r="G237" t="inlineStr">
        <is>
          <t>HÄRNÖSAND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46261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46261</v>
      </c>
      <c r="F239" t="inlineStr">
        <is>
          <t>VÄSTERNORRLANDS LÄN</t>
        </is>
      </c>
      <c r="G239" t="inlineStr">
        <is>
          <t>HÄRNÖSAND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46261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46261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46261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46261</v>
      </c>
      <c r="F243" t="inlineStr">
        <is>
          <t>VÄSTERNORRLANDS LÄN</t>
        </is>
      </c>
      <c r="G243" t="inlineStr">
        <is>
          <t>HÄRNÖSAND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46261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46261</v>
      </c>
      <c r="F245" t="inlineStr">
        <is>
          <t>VÄSTERNORRLANDS LÄN</t>
        </is>
      </c>
      <c r="G245" t="inlineStr">
        <is>
          <t>HÄRNÖSAND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46261</v>
      </c>
      <c r="F246" t="inlineStr">
        <is>
          <t>VÄSTERNORRLANDS LÄN</t>
        </is>
      </c>
      <c r="G246" t="inlineStr">
        <is>
          <t>HÄRNÖSAND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45837</v>
      </c>
      <c r="E247" s="1" t="n">
        <v>46261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46261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46261</v>
      </c>
      <c r="F249" t="inlineStr">
        <is>
          <t>VÄSTERNORRLANDS LÄN</t>
        </is>
      </c>
      <c r="G249" t="inlineStr">
        <is>
          <t>HÄRNÖSAND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46261</v>
      </c>
      <c r="F250" t="inlineStr">
        <is>
          <t>VÄSTERNORRLANDS LÄN</t>
        </is>
      </c>
      <c r="G250" t="inlineStr">
        <is>
          <t>HÄRNÖSAND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46261</v>
      </c>
      <c r="F251" t="inlineStr">
        <is>
          <t>VÄSTERNORRLANDS LÄN</t>
        </is>
      </c>
      <c r="G251" t="inlineStr">
        <is>
          <t>HÄRNÖSAND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46261</v>
      </c>
      <c r="F252" t="inlineStr">
        <is>
          <t>VÄSTERNORRLANDS LÄN</t>
        </is>
      </c>
      <c r="G252" t="inlineStr">
        <is>
          <t>HÄRNÖSAND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46261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46261</v>
      </c>
      <c r="F254" t="inlineStr">
        <is>
          <t>VÄSTERNORRLANDS LÄN</t>
        </is>
      </c>
      <c r="G254" t="inlineStr">
        <is>
          <t>HÄRNÖSAND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45923</v>
      </c>
      <c r="E255" s="1" t="n">
        <v>46261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46261</v>
      </c>
      <c r="F256" t="inlineStr">
        <is>
          <t>VÄSTERNORRLANDS LÄN</t>
        </is>
      </c>
      <c r="G256" t="inlineStr">
        <is>
          <t>HÄRNÖSAND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46261</v>
      </c>
      <c r="F257" t="inlineStr">
        <is>
          <t>VÄSTERNORRLANDS LÄN</t>
        </is>
      </c>
      <c r="G257" t="inlineStr">
        <is>
          <t>HÄRNÖSAND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46261</v>
      </c>
      <c r="F258" t="inlineStr">
        <is>
          <t>VÄSTERNORRLANDS LÄN</t>
        </is>
      </c>
      <c r="G258" t="inlineStr">
        <is>
          <t>HÄRNÖSAND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46261</v>
      </c>
      <c r="F259" t="inlineStr">
        <is>
          <t>VÄSTERNORRLANDS LÄN</t>
        </is>
      </c>
      <c r="G259" t="inlineStr">
        <is>
          <t>HÄRNÖSAND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45981-2025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45924</v>
      </c>
      <c r="E260" s="1" t="n">
        <v>46261</v>
      </c>
      <c r="F260" t="inlineStr">
        <is>
          <t>VÄSTERNORRLANDS LÄN</t>
        </is>
      </c>
      <c r="G260" t="inlineStr">
        <is>
          <t>HÄRNÖSAND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46261</v>
      </c>
      <c r="F261" t="inlineStr">
        <is>
          <t>VÄSTERNORRLANDS LÄN</t>
        </is>
      </c>
      <c r="G261" t="inlineStr">
        <is>
          <t>HÄRNÖSAND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46261</v>
      </c>
      <c r="F262" t="inlineStr">
        <is>
          <t>VÄSTERNORRLANDS LÄN</t>
        </is>
      </c>
      <c r="G262" t="inlineStr">
        <is>
          <t>HÄRNÖSAND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11202-2026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46080</v>
      </c>
      <c r="E263" s="1" t="n">
        <v>46261</v>
      </c>
      <c r="F263" t="inlineStr">
        <is>
          <t>VÄSTERNORRLANDS LÄN</t>
        </is>
      </c>
      <c r="G263" t="inlineStr">
        <is>
          <t>HÄRNÖSAND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46261</v>
      </c>
      <c r="F264" t="inlineStr">
        <is>
          <t>VÄSTERNORRLANDS LÄN</t>
        </is>
      </c>
      <c r="G264" t="inlineStr">
        <is>
          <t>HÄRNÖSAND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46261</v>
      </c>
      <c r="F265" t="inlineStr">
        <is>
          <t>VÄSTERNORRLANDS LÄN</t>
        </is>
      </c>
      <c r="G265" t="inlineStr">
        <is>
          <t>HÄRNÖSAND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46261</v>
      </c>
      <c r="F266" t="inlineStr">
        <is>
          <t>VÄSTERNORRLANDS LÄN</t>
        </is>
      </c>
      <c r="G266" t="inlineStr">
        <is>
          <t>HÄRNÖSAND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46261</v>
      </c>
      <c r="F267" t="inlineStr">
        <is>
          <t>VÄSTERNORRLANDS LÄN</t>
        </is>
      </c>
      <c r="G267" t="inlineStr">
        <is>
          <t>HÄRNÖSAND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46087</v>
      </c>
      <c r="E268" s="1" t="n">
        <v>46261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Övriga statliga verk och myndigheter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12650-2026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46091</v>
      </c>
      <c r="E269" s="1" t="n">
        <v>46261</v>
      </c>
      <c r="F269" t="inlineStr">
        <is>
          <t>VÄSTERNORRLANDS LÄN</t>
        </is>
      </c>
      <c r="G269" t="inlineStr">
        <is>
          <t>HÄRNÖSAND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45848</v>
      </c>
      <c r="E270" s="1" t="n">
        <v>46261</v>
      </c>
      <c r="F270" t="inlineStr">
        <is>
          <t>VÄSTERNORRLANDS LÄN</t>
        </is>
      </c>
      <c r="G270" t="inlineStr">
        <is>
          <t>HÄRNÖSAND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34751-2025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45848</v>
      </c>
      <c r="E271" s="1" t="n">
        <v>46261</v>
      </c>
      <c r="F271" t="inlineStr">
        <is>
          <t>VÄSTERNORRLANDS LÄN</t>
        </is>
      </c>
      <c r="G271" t="inlineStr">
        <is>
          <t>HÄRNÖSAND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46261</v>
      </c>
      <c r="F272" t="inlineStr">
        <is>
          <t>VÄSTERNORRLANDS LÄN</t>
        </is>
      </c>
      <c r="G272" t="inlineStr">
        <is>
          <t>HÄRNÖSAND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45082-2025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46261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46261</v>
      </c>
      <c r="F274" t="inlineStr">
        <is>
          <t>VÄSTERNORRLANDS LÄN</t>
        </is>
      </c>
      <c r="G274" t="inlineStr">
        <is>
          <t>HÄRNÖSAND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46261</v>
      </c>
      <c r="F275" t="inlineStr">
        <is>
          <t>VÄSTERNORRLANDS LÄN</t>
        </is>
      </c>
      <c r="G275" t="inlineStr">
        <is>
          <t>HÄRNÖSAND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46091</v>
      </c>
      <c r="E276" s="1" t="n">
        <v>46261</v>
      </c>
      <c r="F276" t="inlineStr">
        <is>
          <t>VÄSTERNORRLANDS LÄN</t>
        </is>
      </c>
      <c r="G276" t="inlineStr">
        <is>
          <t>HÄRNÖSAND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46261</v>
      </c>
      <c r="F277" t="inlineStr">
        <is>
          <t>VÄSTERNORRLANDS LÄN</t>
        </is>
      </c>
      <c r="G277" t="inlineStr">
        <is>
          <t>HÄRNÖSAND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45749</v>
      </c>
      <c r="E278" s="1" t="n">
        <v>46261</v>
      </c>
      <c r="F278" t="inlineStr">
        <is>
          <t>VÄSTERNORRLANDS LÄN</t>
        </is>
      </c>
      <c r="G278" t="inlineStr">
        <is>
          <t>HÄRNÖSAND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46261</v>
      </c>
      <c r="F279" t="inlineStr">
        <is>
          <t>VÄSTERNORRLANDS LÄN</t>
        </is>
      </c>
      <c r="G279" t="inlineStr">
        <is>
          <t>HÄRNÖSAND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46261</v>
      </c>
      <c r="F280" t="inlineStr">
        <is>
          <t>VÄSTERNORRLANDS LÄN</t>
        </is>
      </c>
      <c r="G280" t="inlineStr">
        <is>
          <t>HÄRNÖSAND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61102-2021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44498</v>
      </c>
      <c r="E281" s="1" t="n">
        <v>46261</v>
      </c>
      <c r="F281" t="inlineStr">
        <is>
          <t>VÄSTERNORRLANDS LÄN</t>
        </is>
      </c>
      <c r="G281" t="inlineStr">
        <is>
          <t>HÄRNÖSAND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47550-2022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44853</v>
      </c>
      <c r="E282" s="1" t="n">
        <v>46261</v>
      </c>
      <c r="F282" t="inlineStr">
        <is>
          <t>VÄSTERNORRLANDS LÄN</t>
        </is>
      </c>
      <c r="G282" t="inlineStr">
        <is>
          <t>HÄRNÖSAND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45853</v>
      </c>
      <c r="E283" s="1" t="n">
        <v>46261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45793</v>
      </c>
      <c r="E284" s="1" t="n">
        <v>46261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46261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46261</v>
      </c>
      <c r="F286" t="inlineStr">
        <is>
          <t>VÄSTERNORRLANDS LÄN</t>
        </is>
      </c>
      <c r="G286" t="inlineStr">
        <is>
          <t>HÄRNÖSAND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45729</v>
      </c>
      <c r="E287" s="1" t="n">
        <v>46261</v>
      </c>
      <c r="F287" t="inlineStr">
        <is>
          <t>VÄSTERNORRLANDS LÄN</t>
        </is>
      </c>
      <c r="G287" t="inlineStr">
        <is>
          <t>HÄRNÖSAND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46261</v>
      </c>
      <c r="F288" t="inlineStr">
        <is>
          <t>VÄSTERNORRLANDS LÄN</t>
        </is>
      </c>
      <c r="G288" t="inlineStr">
        <is>
          <t>HÄRNÖSAND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46261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46261</v>
      </c>
      <c r="F290" t="inlineStr">
        <is>
          <t>VÄSTERNORRLANDS LÄN</t>
        </is>
      </c>
      <c r="G290" t="inlineStr">
        <is>
          <t>HÄRNÖSAND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46261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46261</v>
      </c>
      <c r="F292" t="inlineStr">
        <is>
          <t>VÄSTERNORRLANDS LÄN</t>
        </is>
      </c>
      <c r="G292" t="inlineStr">
        <is>
          <t>HÄRNÖSAND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46261</v>
      </c>
      <c r="F293" t="inlineStr">
        <is>
          <t>VÄSTERNORRLANDS LÄN</t>
        </is>
      </c>
      <c r="G293" t="inlineStr">
        <is>
          <t>HÄRNÖSAND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46261</v>
      </c>
      <c r="F294" t="inlineStr">
        <is>
          <t>VÄSTERNORRLANDS LÄN</t>
        </is>
      </c>
      <c r="G294" t="inlineStr">
        <is>
          <t>HÄRNÖSAND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46261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46261</v>
      </c>
      <c r="F296" t="inlineStr">
        <is>
          <t>VÄSTERNORRLANDS LÄN</t>
        </is>
      </c>
      <c r="G296" t="inlineStr">
        <is>
          <t>HÄRNÖSAND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46261</v>
      </c>
      <c r="F297" t="inlineStr">
        <is>
          <t>VÄSTERNORRLANDS LÄN</t>
        </is>
      </c>
      <c r="G297" t="inlineStr">
        <is>
          <t>HÄRNÖSAND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46261</v>
      </c>
      <c r="F298" t="inlineStr">
        <is>
          <t>VÄSTERNORRLANDS LÄN</t>
        </is>
      </c>
      <c r="G298" t="inlineStr">
        <is>
          <t>HÄRNÖSAND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46261</v>
      </c>
      <c r="F299" t="inlineStr">
        <is>
          <t>VÄSTERNORRLANDS LÄN</t>
        </is>
      </c>
      <c r="G299" t="inlineStr">
        <is>
          <t>HÄRNÖSAND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46261</v>
      </c>
      <c r="F300" t="inlineStr">
        <is>
          <t>VÄSTERNORRLANDS LÄN</t>
        </is>
      </c>
      <c r="G300" t="inlineStr">
        <is>
          <t>HÄRNÖSAND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46261</v>
      </c>
      <c r="F301" t="inlineStr">
        <is>
          <t>VÄSTERNORRLANDS LÄN</t>
        </is>
      </c>
      <c r="G301" t="inlineStr">
        <is>
          <t>HÄRNÖSAND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46261</v>
      </c>
      <c r="F302" t="inlineStr">
        <is>
          <t>VÄSTERNORRLANDS LÄN</t>
        </is>
      </c>
      <c r="G302" t="inlineStr">
        <is>
          <t>HÄRNÖSAND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46261</v>
      </c>
      <c r="F303" t="inlineStr">
        <is>
          <t>VÄSTERNORRLANDS LÄN</t>
        </is>
      </c>
      <c r="G303" t="inlineStr">
        <is>
          <t>HÄRNÖSAND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46261</v>
      </c>
      <c r="F304" t="inlineStr">
        <is>
          <t>VÄSTERNORRLANDS LÄN</t>
        </is>
      </c>
      <c r="G304" t="inlineStr">
        <is>
          <t>HÄRNÖSAND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46261</v>
      </c>
      <c r="F305" t="inlineStr">
        <is>
          <t>VÄSTERNORRLANDS LÄN</t>
        </is>
      </c>
      <c r="G305" t="inlineStr">
        <is>
          <t>HÄRNÖSAND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46261</v>
      </c>
      <c r="F306" t="inlineStr">
        <is>
          <t>VÄSTERNORRLANDS LÄN</t>
        </is>
      </c>
      <c r="G306" t="inlineStr">
        <is>
          <t>HÄRNÖSAND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45562</v>
      </c>
      <c r="E307" s="1" t="n">
        <v>46261</v>
      </c>
      <c r="F307" t="inlineStr">
        <is>
          <t>VÄSTERNORRLANDS LÄN</t>
        </is>
      </c>
      <c r="G307" t="inlineStr">
        <is>
          <t>HÄRNÖSAND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46261</v>
      </c>
      <c r="F308" t="inlineStr">
        <is>
          <t>VÄSTERNORRLANDS LÄN</t>
        </is>
      </c>
      <c r="G308" t="inlineStr">
        <is>
          <t>HÄRNÖSAND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46261</v>
      </c>
      <c r="F309" t="inlineStr">
        <is>
          <t>VÄSTERNORRLANDS LÄN</t>
        </is>
      </c>
      <c r="G309" t="inlineStr">
        <is>
          <t>HÄRNÖSAND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46261</v>
      </c>
      <c r="F310" t="inlineStr">
        <is>
          <t>VÄSTERNORRLANDS LÄN</t>
        </is>
      </c>
      <c r="G310" t="inlineStr">
        <is>
          <t>HÄRNÖSAND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69269-2021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44531</v>
      </c>
      <c r="E311" s="1" t="n">
        <v>46261</v>
      </c>
      <c r="F311" t="inlineStr">
        <is>
          <t>VÄSTERNORRLANDS LÄN</t>
        </is>
      </c>
      <c r="G311" t="inlineStr">
        <is>
          <t>HÄRNÖSAND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46261</v>
      </c>
      <c r="F312" t="inlineStr">
        <is>
          <t>VÄSTERNORRLANDS LÄN</t>
        </is>
      </c>
      <c r="G312" t="inlineStr">
        <is>
          <t>HÄRNÖSAND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46261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45884</v>
      </c>
      <c r="E314" s="1" t="n">
        <v>46261</v>
      </c>
      <c r="F314" t="inlineStr">
        <is>
          <t>VÄSTERNORRLANDS LÄN</t>
        </is>
      </c>
      <c r="G314" t="inlineStr">
        <is>
          <t>HÄRNÖSAND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46261</v>
      </c>
      <c r="F315" t="inlineStr">
        <is>
          <t>VÄSTERNORRLANDS LÄN</t>
        </is>
      </c>
      <c r="G315" t="inlineStr">
        <is>
          <t>HÄRNÖSAND</t>
        </is>
      </c>
      <c r="I315" t="n">
        <v>10.8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46261</v>
      </c>
      <c r="F316" t="inlineStr">
        <is>
          <t>VÄSTERNORRLANDS LÄN</t>
        </is>
      </c>
      <c r="G316" t="inlineStr">
        <is>
          <t>HÄRNÖSAND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49039-2023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45209</v>
      </c>
      <c r="E317" s="1" t="n">
        <v>46261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46261</v>
      </c>
      <c r="F318" t="inlineStr">
        <is>
          <t>VÄSTERNORRLANDS LÄN</t>
        </is>
      </c>
      <c r="G318" t="inlineStr">
        <is>
          <t>HÄRNÖSAND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46261</v>
      </c>
      <c r="F319" t="inlineStr">
        <is>
          <t>VÄSTERNORRLANDS LÄN</t>
        </is>
      </c>
      <c r="G319" t="inlineStr">
        <is>
          <t>HÄRNÖSAND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46261</v>
      </c>
      <c r="F320" t="inlineStr">
        <is>
          <t>VÄSTERNORRLANDS LÄN</t>
        </is>
      </c>
      <c r="G320" t="inlineStr">
        <is>
          <t>HÄRNÖSAND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46261</v>
      </c>
      <c r="F321" t="inlineStr">
        <is>
          <t>VÄSTERNORRLANDS LÄN</t>
        </is>
      </c>
      <c r="G321" t="inlineStr">
        <is>
          <t>HÄRNÖSAND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18393-2026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46261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31.9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46261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40716-2024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46261</v>
      </c>
      <c r="F324" t="inlineStr">
        <is>
          <t>VÄSTERNORRLANDS LÄN</t>
        </is>
      </c>
      <c r="G324" t="inlineStr">
        <is>
          <t>HÄRNÖSAND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46261</v>
      </c>
      <c r="F325" t="inlineStr">
        <is>
          <t>VÄSTERNORRLANDS LÄN</t>
        </is>
      </c>
      <c r="G325" t="inlineStr">
        <is>
          <t>HÄRNÖSAND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46261</v>
      </c>
      <c r="F326" t="inlineStr">
        <is>
          <t>VÄSTERNORRLANDS LÄN</t>
        </is>
      </c>
      <c r="G326" t="inlineStr">
        <is>
          <t>HÄRNÖSAND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45793</v>
      </c>
      <c r="E327" s="1" t="n">
        <v>46261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46133</v>
      </c>
      <c r="E328" s="1" t="n">
        <v>46261</v>
      </c>
      <c r="F328" t="inlineStr">
        <is>
          <t>VÄSTERNORRLANDS LÄN</t>
        </is>
      </c>
      <c r="G328" t="inlineStr">
        <is>
          <t>HÄRNÖSAND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54251-2022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44881</v>
      </c>
      <c r="E329" s="1" t="n">
        <v>46261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46261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46261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46261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46261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46261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57037-2025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46261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46261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46261</v>
      </c>
      <c r="F337" t="inlineStr">
        <is>
          <t>VÄSTERNORRLANDS LÄN</t>
        </is>
      </c>
      <c r="G337" t="inlineStr">
        <is>
          <t>HÄRNÖSAND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57099-2025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46261</v>
      </c>
      <c r="F338" t="inlineStr">
        <is>
          <t>VÄSTERNORRLANDS LÄN</t>
        </is>
      </c>
      <c r="G338" t="inlineStr">
        <is>
          <t>HÄRNÖSAND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46261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46261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46261</v>
      </c>
      <c r="F341" t="inlineStr">
        <is>
          <t>VÄSTERNORRLANDS LÄN</t>
        </is>
      </c>
      <c r="G341" t="inlineStr">
        <is>
          <t>HÄRNÖSAND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46261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46261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46261</v>
      </c>
      <c r="F344" t="inlineStr">
        <is>
          <t>VÄSTERNORRLANDS LÄN</t>
        </is>
      </c>
      <c r="G344" t="inlineStr">
        <is>
          <t>HÄRNÖSAND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58588-2022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44894</v>
      </c>
      <c r="E345" s="1" t="n">
        <v>46261</v>
      </c>
      <c r="F345" t="inlineStr">
        <is>
          <t>VÄSTERNORRLANDS LÄN</t>
        </is>
      </c>
      <c r="G345" t="inlineStr">
        <is>
          <t>HÄRNÖSAND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45526</v>
      </c>
      <c r="E346" s="1" t="n">
        <v>46261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8220-2022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44609</v>
      </c>
      <c r="E347" s="1" t="n">
        <v>46261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Övriga statliga verk och myndigheter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45987</v>
      </c>
      <c r="E348" s="1" t="n">
        <v>46261</v>
      </c>
      <c r="F348" t="inlineStr">
        <is>
          <t>VÄSTERNORRLANDS LÄN</t>
        </is>
      </c>
      <c r="G348" t="inlineStr">
        <is>
          <t>HÄRNÖSAND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46065</v>
      </c>
      <c r="E349" s="1" t="n">
        <v>46261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Kyrkan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45576</v>
      </c>
      <c r="E350" s="1" t="n">
        <v>46261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46261</v>
      </c>
      <c r="F351" t="inlineStr">
        <is>
          <t>VÄSTERNORRLANDS LÄN</t>
        </is>
      </c>
      <c r="G351" t="inlineStr">
        <is>
          <t>HÄRNÖSAND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46261</v>
      </c>
      <c r="F352" t="inlineStr">
        <is>
          <t>VÄSTERNORRLANDS LÄN</t>
        </is>
      </c>
      <c r="G352" t="inlineStr">
        <is>
          <t>HÄRNÖSAND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46261</v>
      </c>
      <c r="F353" t="inlineStr">
        <is>
          <t>VÄSTERNORRLANDS LÄN</t>
        </is>
      </c>
      <c r="G353" t="inlineStr">
        <is>
          <t>HÄRNÖSAND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46261</v>
      </c>
      <c r="F354" t="inlineStr">
        <is>
          <t>VÄSTERNORRLANDS LÄN</t>
        </is>
      </c>
      <c r="G354" t="inlineStr">
        <is>
          <t>HÄRNÖSAND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46261</v>
      </c>
      <c r="F355" t="inlineStr">
        <is>
          <t>VÄSTERNORRLANDS LÄN</t>
        </is>
      </c>
      <c r="G355" t="inlineStr">
        <is>
          <t>HÄRNÖSAND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46261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46261</v>
      </c>
      <c r="F357" t="inlineStr">
        <is>
          <t>VÄSTERNORRLANDS LÄN</t>
        </is>
      </c>
      <c r="G357" t="inlineStr">
        <is>
          <t>HÄRNÖSAND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46261</v>
      </c>
      <c r="F358" t="inlineStr">
        <is>
          <t>VÄSTERNORRLANDS LÄN</t>
        </is>
      </c>
      <c r="G358" t="inlineStr">
        <is>
          <t>HÄRNÖSAND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46261</v>
      </c>
      <c r="F359" t="inlineStr">
        <is>
          <t>VÄSTERNORRLANDS LÄN</t>
        </is>
      </c>
      <c r="G359" t="inlineStr">
        <is>
          <t>HÄRNÖSAND</t>
        </is>
      </c>
      <c r="I359" t="n">
        <v>12.5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46261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34011-2024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45523</v>
      </c>
      <c r="E361" s="1" t="n">
        <v>46261</v>
      </c>
      <c r="F361" t="inlineStr">
        <is>
          <t>VÄSTERNORRLANDS LÄN</t>
        </is>
      </c>
      <c r="G361" t="inlineStr">
        <is>
          <t>HÄRNÖSAND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46261</v>
      </c>
      <c r="F362" t="inlineStr">
        <is>
          <t>VÄSTERNORRLANDS LÄN</t>
        </is>
      </c>
      <c r="G362" t="inlineStr">
        <is>
          <t>HÄRNÖSAND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46261</v>
      </c>
      <c r="F363" t="inlineStr">
        <is>
          <t>VÄSTERNORRLANDS LÄN</t>
        </is>
      </c>
      <c r="G363" t="inlineStr">
        <is>
          <t>HÄRNÖSAND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45701</v>
      </c>
      <c r="E364" s="1" t="n">
        <v>46261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46261</v>
      </c>
      <c r="F365" t="inlineStr">
        <is>
          <t>VÄSTERNORRLANDS LÄN</t>
        </is>
      </c>
      <c r="G365" t="inlineStr">
        <is>
          <t>HÄRNÖSAND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46261</v>
      </c>
      <c r="F366" t="inlineStr">
        <is>
          <t>VÄSTERNORRLANDS LÄN</t>
        </is>
      </c>
      <c r="G366" t="inlineStr">
        <is>
          <t>HÄRNÖSAND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46261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64107-2025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46261</v>
      </c>
      <c r="F368" t="inlineStr">
        <is>
          <t>VÄSTERNORRLANDS LÄN</t>
        </is>
      </c>
      <c r="G368" t="inlineStr">
        <is>
          <t>HÄRNÖSAND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46261</v>
      </c>
      <c r="F369" t="inlineStr">
        <is>
          <t>VÄSTERNORRLANDS LÄN</t>
        </is>
      </c>
      <c r="G369" t="inlineStr">
        <is>
          <t>HÄRNÖSAND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45757</v>
      </c>
      <c r="E370" s="1" t="n">
        <v>46261</v>
      </c>
      <c r="F370" t="inlineStr">
        <is>
          <t>VÄSTERNORRLANDS LÄN</t>
        </is>
      </c>
      <c r="G370" t="inlineStr">
        <is>
          <t>HÄRNÖSAND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46261</v>
      </c>
      <c r="F371" t="inlineStr">
        <is>
          <t>VÄSTERNORRLANDS LÄN</t>
        </is>
      </c>
      <c r="G371" t="inlineStr">
        <is>
          <t>HÄRNÖSAND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45505</v>
      </c>
      <c r="E372" s="1" t="n">
        <v>46261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44755</v>
      </c>
      <c r="E373" s="1" t="n">
        <v>46261</v>
      </c>
      <c r="F373" t="inlineStr">
        <is>
          <t>VÄSTERNORRLANDS LÄN</t>
        </is>
      </c>
      <c r="G373" t="inlineStr">
        <is>
          <t>HÄRNÖSAND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46261</v>
      </c>
      <c r="F374" t="inlineStr">
        <is>
          <t>VÄSTERNORRLANDS LÄN</t>
        </is>
      </c>
      <c r="G374" t="inlineStr">
        <is>
          <t>HÄRNÖSAND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46261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44747</v>
      </c>
      <c r="E376" s="1" t="n">
        <v>46261</v>
      </c>
      <c r="F376" t="inlineStr">
        <is>
          <t>VÄSTERNORRLANDS LÄN</t>
        </is>
      </c>
      <c r="G376" t="inlineStr">
        <is>
          <t>HÄRNÖSAND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46261</v>
      </c>
      <c r="F377" t="inlineStr">
        <is>
          <t>VÄSTERNORRLANDS LÄN</t>
        </is>
      </c>
      <c r="G377" t="inlineStr">
        <is>
          <t>HÄRNÖSAND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46261</v>
      </c>
      <c r="F378" t="inlineStr">
        <is>
          <t>VÄSTERNORRLANDS LÄN</t>
        </is>
      </c>
      <c r="G378" t="inlineStr">
        <is>
          <t>HÄRNÖSAND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46261</v>
      </c>
      <c r="F379" t="inlineStr">
        <is>
          <t>VÄSTERNORRLANDS LÄN</t>
        </is>
      </c>
      <c r="G379" t="inlineStr">
        <is>
          <t>HÄRNÖSAND</t>
        </is>
      </c>
      <c r="I379" t="n">
        <v>16.7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46261</v>
      </c>
      <c r="F380" t="inlineStr">
        <is>
          <t>VÄSTERNORRLANDS LÄN</t>
        </is>
      </c>
      <c r="G380" t="inlineStr">
        <is>
          <t>HÄRNÖSAND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25430-2022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44732</v>
      </c>
      <c r="E381" s="1" t="n">
        <v>46261</v>
      </c>
      <c r="F381" t="inlineStr">
        <is>
          <t>VÄSTERNORRLANDS LÄN</t>
        </is>
      </c>
      <c r="G381" t="inlineStr">
        <is>
          <t>HÄRNÖSAND</t>
        </is>
      </c>
      <c r="I381" t="n">
        <v>18.7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46261</v>
      </c>
      <c r="F382" t="inlineStr">
        <is>
          <t>VÄSTERNORRLANDS LÄN</t>
        </is>
      </c>
      <c r="G382" t="inlineStr">
        <is>
          <t>HÄRNÖSAND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45293</v>
      </c>
      <c r="E383" s="1" t="n">
        <v>46261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56395-2022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46261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Kyrkan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46261</v>
      </c>
      <c r="F385" t="inlineStr">
        <is>
          <t>VÄSTERNORRLANDS LÄN</t>
        </is>
      </c>
      <c r="G385" t="inlineStr">
        <is>
          <t>HÄRNÖSAND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46261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46261</v>
      </c>
      <c r="F387" t="inlineStr">
        <is>
          <t>VÄSTERNORRLANDS LÄN</t>
        </is>
      </c>
      <c r="G387" t="inlineStr">
        <is>
          <t>HÄRNÖSAND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46261</v>
      </c>
      <c r="F388" t="inlineStr">
        <is>
          <t>VÄSTERNORRLANDS LÄN</t>
        </is>
      </c>
      <c r="G388" t="inlineStr">
        <is>
          <t>HÄRNÖSAND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46261</v>
      </c>
      <c r="F389" t="inlineStr">
        <is>
          <t>VÄSTERNORRLANDS LÄN</t>
        </is>
      </c>
      <c r="G389" t="inlineStr">
        <is>
          <t>HÄRNÖSAND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46261</v>
      </c>
      <c r="F390" t="inlineStr">
        <is>
          <t>VÄSTERNORRLANDS LÄN</t>
        </is>
      </c>
      <c r="G390" t="inlineStr">
        <is>
          <t>HÄRNÖSAND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46261</v>
      </c>
      <c r="F391" t="inlineStr">
        <is>
          <t>VÄSTERNORRLANDS LÄN</t>
        </is>
      </c>
      <c r="G391" t="inlineStr">
        <is>
          <t>HÄRNÖSAND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46261</v>
      </c>
      <c r="F392" t="inlineStr">
        <is>
          <t>VÄSTERNORRLANDS LÄN</t>
        </is>
      </c>
      <c r="G392" t="inlineStr">
        <is>
          <t>HÄRNÖSAND</t>
        </is>
      </c>
      <c r="I392" t="n">
        <v>9.199999999999999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46261</v>
      </c>
      <c r="F393" t="inlineStr">
        <is>
          <t>VÄSTERNORRLANDS LÄN</t>
        </is>
      </c>
      <c r="G393" t="inlineStr">
        <is>
          <t>HÄRNÖSAND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46261</v>
      </c>
      <c r="F394" t="inlineStr">
        <is>
          <t>VÄSTERNORRLANDS LÄN</t>
        </is>
      </c>
      <c r="G394" t="inlineStr">
        <is>
          <t>HÄRNÖSAND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46161</v>
      </c>
      <c r="E395" s="1" t="n">
        <v>46261</v>
      </c>
      <c r="F395" t="inlineStr">
        <is>
          <t>VÄSTERNORRLANDS LÄN</t>
        </is>
      </c>
      <c r="G395" t="inlineStr">
        <is>
          <t>HÄRNÖSAND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46261</v>
      </c>
      <c r="F396" t="inlineStr">
        <is>
          <t>VÄSTERNORRLANDS LÄN</t>
        </is>
      </c>
      <c r="G396" t="inlineStr">
        <is>
          <t>HÄRNÖSAND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46261</v>
      </c>
      <c r="F397" t="inlineStr">
        <is>
          <t>VÄSTERNORRLANDS LÄN</t>
        </is>
      </c>
      <c r="G397" t="inlineStr">
        <is>
          <t>HÄRNÖSAND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45786</v>
      </c>
      <c r="E398" s="1" t="n">
        <v>46261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31.8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45813</v>
      </c>
      <c r="E399" s="1" t="n">
        <v>46261</v>
      </c>
      <c r="F399" t="inlineStr">
        <is>
          <t>VÄSTERNORRLANDS LÄN</t>
        </is>
      </c>
      <c r="G399" t="inlineStr">
        <is>
          <t>HÄRNÖSAND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46261</v>
      </c>
      <c r="F400" t="inlineStr">
        <is>
          <t>VÄSTERNORRLANDS LÄN</t>
        </is>
      </c>
      <c r="G400" t="inlineStr">
        <is>
          <t>HÄRNÖSAND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46261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31.8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46261</v>
      </c>
      <c r="F402" t="inlineStr">
        <is>
          <t>VÄSTERNORRLANDS LÄN</t>
        </is>
      </c>
      <c r="G402" t="inlineStr">
        <is>
          <t>HÄRNÖSAND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46261</v>
      </c>
      <c r="F403" t="inlineStr">
        <is>
          <t>VÄSTERNORRLANDS LÄN</t>
        </is>
      </c>
      <c r="G403" t="inlineStr">
        <is>
          <t>HÄRNÖSAND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46261</v>
      </c>
      <c r="F404" t="inlineStr">
        <is>
          <t>VÄSTERNORRLANDS LÄN</t>
        </is>
      </c>
      <c r="G404" t="inlineStr">
        <is>
          <t>HÄRNÖSAND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44971</v>
      </c>
      <c r="E405" s="1" t="n">
        <v>46261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59408-2024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45638</v>
      </c>
      <c r="E406" s="1" t="n">
        <v>46261</v>
      </c>
      <c r="F406" t="inlineStr">
        <is>
          <t>VÄSTERNORRLANDS LÄN</t>
        </is>
      </c>
      <c r="G406" t="inlineStr">
        <is>
          <t>HÄRNÖSAND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46261</v>
      </c>
      <c r="F407" t="inlineStr">
        <is>
          <t>VÄSTERNORRLANDS LÄN</t>
        </is>
      </c>
      <c r="G407" t="inlineStr">
        <is>
          <t>HÄRNÖSAND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46261</v>
      </c>
      <c r="F408" t="inlineStr">
        <is>
          <t>VÄSTERNORRLANDS LÄN</t>
        </is>
      </c>
      <c r="G408" t="inlineStr">
        <is>
          <t>HÄRNÖSAND</t>
        </is>
      </c>
      <c r="I408" t="n">
        <v>12.3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46261</v>
      </c>
      <c r="F409" t="inlineStr">
        <is>
          <t>VÄSTERNORRLANDS LÄN</t>
        </is>
      </c>
      <c r="G409" t="inlineStr">
        <is>
          <t>HÄRNÖSAND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46261</v>
      </c>
      <c r="F410" t="inlineStr">
        <is>
          <t>VÄSTERNORRLANDS LÄN</t>
        </is>
      </c>
      <c r="G410" t="inlineStr">
        <is>
          <t>HÄRNÖSAND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46261</v>
      </c>
      <c r="F411" t="inlineStr">
        <is>
          <t>VÄSTERNORRLANDS LÄN</t>
        </is>
      </c>
      <c r="G411" t="inlineStr">
        <is>
          <t>HÄRNÖSAND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46261</v>
      </c>
      <c r="F412" t="inlineStr">
        <is>
          <t>VÄSTERNORRLANDS LÄN</t>
        </is>
      </c>
      <c r="G412" t="inlineStr">
        <is>
          <t>HÄRNÖSAND</t>
        </is>
      </c>
      <c r="I412" t="n">
        <v>13.8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44743</v>
      </c>
      <c r="E413" s="1" t="n">
        <v>46261</v>
      </c>
      <c r="F413" t="inlineStr">
        <is>
          <t>VÄSTERNORRLANDS LÄN</t>
        </is>
      </c>
      <c r="G413" t="inlineStr">
        <is>
          <t>HÄRNÖSAND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46165</v>
      </c>
      <c r="E414" s="1" t="n">
        <v>46261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46261</v>
      </c>
      <c r="F415" t="inlineStr">
        <is>
          <t>VÄSTERNORRLANDS LÄN</t>
        </is>
      </c>
      <c r="G415" t="inlineStr">
        <is>
          <t>HÄRNÖSAND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46320-2022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44847</v>
      </c>
      <c r="E416" s="1" t="n">
        <v>46261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Kyrkan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45910</v>
      </c>
      <c r="E417" s="1" t="n">
        <v>46261</v>
      </c>
      <c r="F417" t="inlineStr">
        <is>
          <t>VÄSTERNORRLANDS LÄN</t>
        </is>
      </c>
      <c r="G417" t="inlineStr">
        <is>
          <t>HÄRNÖSAND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46261</v>
      </c>
      <c r="F418" t="inlineStr">
        <is>
          <t>VÄSTERNORRLANDS LÄN</t>
        </is>
      </c>
      <c r="G418" t="inlineStr">
        <is>
          <t>HÄRNÖSAND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45667</v>
      </c>
      <c r="E419" s="1" t="n">
        <v>46261</v>
      </c>
      <c r="F419" t="inlineStr">
        <is>
          <t>VÄSTERNORRLANDS LÄN</t>
        </is>
      </c>
      <c r="G419" t="inlineStr">
        <is>
          <t>HÄRNÖSAND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46261</v>
      </c>
      <c r="F420" t="inlineStr">
        <is>
          <t>VÄSTERNORRLANDS LÄN</t>
        </is>
      </c>
      <c r="G420" t="inlineStr">
        <is>
          <t>HÄRNÖSAND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46261</v>
      </c>
      <c r="F421" t="inlineStr">
        <is>
          <t>VÄSTERNORRLANDS LÄN</t>
        </is>
      </c>
      <c r="G421" t="inlineStr">
        <is>
          <t>HÄRNÖSAND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46261</v>
      </c>
      <c r="F422" t="inlineStr">
        <is>
          <t>VÄSTERNORRLANDS LÄN</t>
        </is>
      </c>
      <c r="G422" t="inlineStr">
        <is>
          <t>HÄRNÖSAND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46261</v>
      </c>
      <c r="F423" t="inlineStr">
        <is>
          <t>VÄSTERNORRLANDS LÄN</t>
        </is>
      </c>
      <c r="G423" t="inlineStr">
        <is>
          <t>HÄRNÖSAND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46261</v>
      </c>
      <c r="F424" t="inlineStr">
        <is>
          <t>VÄSTERNORRLANDS LÄN</t>
        </is>
      </c>
      <c r="G424" t="inlineStr">
        <is>
          <t>HÄRNÖSAND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46261</v>
      </c>
      <c r="F425" t="inlineStr">
        <is>
          <t>VÄSTERNORRLANDS LÄN</t>
        </is>
      </c>
      <c r="G425" t="inlineStr">
        <is>
          <t>HÄRNÖSAND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40452-2023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46261</v>
      </c>
      <c r="F426" t="inlineStr">
        <is>
          <t>VÄSTERNORRLANDS LÄN</t>
        </is>
      </c>
      <c r="G426" t="inlineStr">
        <is>
          <t>HÄRNÖSAND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47939-2022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44853</v>
      </c>
      <c r="E427" s="1" t="n">
        <v>46261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46261</v>
      </c>
      <c r="F428" t="inlineStr">
        <is>
          <t>VÄSTERNORRLANDS LÄN</t>
        </is>
      </c>
      <c r="G428" t="inlineStr">
        <is>
          <t>HÄRNÖSAND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45138</v>
      </c>
      <c r="E429" s="1" t="n">
        <v>46261</v>
      </c>
      <c r="F429" t="inlineStr">
        <is>
          <t>VÄSTERNORRLANDS LÄN</t>
        </is>
      </c>
      <c r="G429" t="inlineStr">
        <is>
          <t>HÄRNÖSAND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46261</v>
      </c>
      <c r="F430" t="inlineStr">
        <is>
          <t>VÄSTERNORRLANDS LÄN</t>
        </is>
      </c>
      <c r="G430" t="inlineStr">
        <is>
          <t>HÄRNÖSAND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46261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25452-2026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46177</v>
      </c>
      <c r="E432" s="1" t="n">
        <v>46261</v>
      </c>
      <c r="F432" t="inlineStr">
        <is>
          <t>VÄSTERNORRLANDS LÄN</t>
        </is>
      </c>
      <c r="G432" t="inlineStr">
        <is>
          <t>HÄRNÖSAND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46177</v>
      </c>
      <c r="E433" s="1" t="n">
        <v>46261</v>
      </c>
      <c r="F433" t="inlineStr">
        <is>
          <t>VÄSTERNORRLANDS LÄN</t>
        </is>
      </c>
      <c r="G433" t="inlineStr">
        <is>
          <t>HÄRNÖSAND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46261</v>
      </c>
      <c r="F434" t="inlineStr">
        <is>
          <t>VÄSTERNORRLANDS LÄN</t>
        </is>
      </c>
      <c r="G434" t="inlineStr">
        <is>
          <t>HÄRNÖSAND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46261</v>
      </c>
      <c r="F435" t="inlineStr">
        <is>
          <t>VÄSTERNORRLANDS LÄN</t>
        </is>
      </c>
      <c r="G435" t="inlineStr">
        <is>
          <t>HÄRNÖSAND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46219</v>
      </c>
      <c r="E436" s="1" t="n">
        <v>46261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46261</v>
      </c>
      <c r="F437" t="inlineStr">
        <is>
          <t>VÄSTERNORRLANDS LÄN</t>
        </is>
      </c>
      <c r="G437" t="inlineStr">
        <is>
          <t>HÄRNÖSAND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46219</v>
      </c>
      <c r="E438" s="1" t="n">
        <v>46261</v>
      </c>
      <c r="F438" t="inlineStr">
        <is>
          <t>VÄSTERNORRLANDS LÄN</t>
        </is>
      </c>
      <c r="G438" t="inlineStr">
        <is>
          <t>HÄRNÖSAND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46219</v>
      </c>
      <c r="E439" s="1" t="n">
        <v>46261</v>
      </c>
      <c r="F439" t="inlineStr">
        <is>
          <t>VÄSTERNORRLANDS LÄN</t>
        </is>
      </c>
      <c r="G439" t="inlineStr">
        <is>
          <t>HÄRNÖSAND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46261</v>
      </c>
      <c r="F440" t="inlineStr">
        <is>
          <t>VÄSTERNORRLANDS LÄN</t>
        </is>
      </c>
      <c r="G440" t="inlineStr">
        <is>
          <t>HÄRNÖSAND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46261</v>
      </c>
      <c r="F441" t="inlineStr">
        <is>
          <t>VÄSTERNORRLANDS LÄN</t>
        </is>
      </c>
      <c r="G441" t="inlineStr">
        <is>
          <t>HÄRNÖSAND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46261</v>
      </c>
      <c r="F442" t="inlineStr">
        <is>
          <t>VÄSTERNORRLANDS LÄN</t>
        </is>
      </c>
      <c r="G442" t="inlineStr">
        <is>
          <t>HÄRNÖSAND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46261</v>
      </c>
      <c r="F443" t="inlineStr">
        <is>
          <t>VÄSTERNORRLANDS LÄN</t>
        </is>
      </c>
      <c r="G443" t="inlineStr">
        <is>
          <t>HÄRNÖSAND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45678</v>
      </c>
      <c r="E444" s="1" t="n">
        <v>46261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46261</v>
      </c>
      <c r="F445" t="inlineStr">
        <is>
          <t>VÄSTERNORRLANDS LÄN</t>
        </is>
      </c>
      <c r="G445" t="inlineStr">
        <is>
          <t>HÄRNÖSAND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26667-2026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46184</v>
      </c>
      <c r="E446" s="1" t="n">
        <v>46261</v>
      </c>
      <c r="F446" t="inlineStr">
        <is>
          <t>VÄSTERNORRLANDS LÄN</t>
        </is>
      </c>
      <c r="G446" t="inlineStr">
        <is>
          <t>HÄRNÖSAND</t>
        </is>
      </c>
      <c r="I446" t="n">
        <v>9.1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45764</v>
      </c>
      <c r="E447" s="1" t="n">
        <v>46261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SCA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46261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46261</v>
      </c>
      <c r="F449" t="inlineStr">
        <is>
          <t>VÄSTERNORRLANDS LÄN</t>
        </is>
      </c>
      <c r="G449" t="inlineStr">
        <is>
          <t>HÄRNÖSAND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46261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46261</v>
      </c>
      <c r="F451" t="inlineStr">
        <is>
          <t>VÄSTERNORRLANDS LÄN</t>
        </is>
      </c>
      <c r="G451" t="inlineStr">
        <is>
          <t>HÄRNÖSAND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45685</v>
      </c>
      <c r="E452" s="1" t="n">
        <v>46261</v>
      </c>
      <c r="F452" t="inlineStr">
        <is>
          <t>VÄSTERNORRLANDS LÄN</t>
        </is>
      </c>
      <c r="G452" t="inlineStr">
        <is>
          <t>HÄRNÖSAND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25745-2025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45800</v>
      </c>
      <c r="E453" s="1" t="n">
        <v>46261</v>
      </c>
      <c r="F453" t="inlineStr">
        <is>
          <t>VÄSTERNORRLANDS LÄN</t>
        </is>
      </c>
      <c r="G453" t="inlineStr">
        <is>
          <t>HÄRNÖSAND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46261</v>
      </c>
      <c r="F454" t="inlineStr">
        <is>
          <t>VÄSTERNORRLANDS LÄN</t>
        </is>
      </c>
      <c r="G454" t="inlineStr">
        <is>
          <t>HÄRNÖSAND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31956-2026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46232</v>
      </c>
      <c r="E455" s="1" t="n">
        <v>46261</v>
      </c>
      <c r="F455" t="inlineStr">
        <is>
          <t>VÄSTERNORRLANDS LÄN</t>
        </is>
      </c>
      <c r="G455" t="inlineStr">
        <is>
          <t>HÄRNÖSAND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46189</v>
      </c>
      <c r="E456" s="1" t="n">
        <v>46261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46261</v>
      </c>
      <c r="F457" t="inlineStr">
        <is>
          <t>VÄSTERNORRLANDS LÄN</t>
        </is>
      </c>
      <c r="G457" t="inlineStr">
        <is>
          <t>HÄRNÖSAND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46261</v>
      </c>
      <c r="F458" t="inlineStr">
        <is>
          <t>VÄSTERNORRLANDS LÄN</t>
        </is>
      </c>
      <c r="G458" t="inlineStr">
        <is>
          <t>HÄRNÖSAND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46261</v>
      </c>
      <c r="F459" t="inlineStr">
        <is>
          <t>VÄSTERNORRLANDS LÄN</t>
        </is>
      </c>
      <c r="G459" t="inlineStr">
        <is>
          <t>HÄRNÖSAND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45749</v>
      </c>
      <c r="E460" s="1" t="n">
        <v>46261</v>
      </c>
      <c r="F460" t="inlineStr">
        <is>
          <t>VÄSTERNORRLANDS LÄN</t>
        </is>
      </c>
      <c r="G460" t="inlineStr">
        <is>
          <t>HÄRNÖSAND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27461-2026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46189</v>
      </c>
      <c r="E461" s="1" t="n">
        <v>46261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45749</v>
      </c>
      <c r="E462" s="1" t="n">
        <v>46261</v>
      </c>
      <c r="F462" t="inlineStr">
        <is>
          <t>VÄSTERNORRLANDS LÄN</t>
        </is>
      </c>
      <c r="G462" t="inlineStr">
        <is>
          <t>HÄRNÖSAND</t>
        </is>
      </c>
      <c r="I462" t="n">
        <v>9.300000000000001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46261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44603</v>
      </c>
      <c r="E464" s="1" t="n">
        <v>46261</v>
      </c>
      <c r="F464" t="inlineStr">
        <is>
          <t>VÄSTERNORRLANDS LÄN</t>
        </is>
      </c>
      <c r="G464" t="inlineStr">
        <is>
          <t>HÄRNÖSAND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47702-2021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44448</v>
      </c>
      <c r="E465" s="1" t="n">
        <v>46261</v>
      </c>
      <c r="F465" t="inlineStr">
        <is>
          <t>VÄSTERNORRLANDS LÄN</t>
        </is>
      </c>
      <c r="G465" t="inlineStr">
        <is>
          <t>HÄRNÖSAND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45044</v>
      </c>
      <c r="E466" s="1" t="n">
        <v>46261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12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45203</v>
      </c>
      <c r="E467" s="1" t="n">
        <v>46261</v>
      </c>
      <c r="F467" t="inlineStr">
        <is>
          <t>VÄSTERNORRLANDS LÄN</t>
        </is>
      </c>
      <c r="G467" t="inlineStr">
        <is>
          <t>HÄRNÖSAND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46261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29613-2023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46261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45714</v>
      </c>
      <c r="E470" s="1" t="n">
        <v>46261</v>
      </c>
      <c r="F470" t="inlineStr">
        <is>
          <t>VÄSTERNORRLANDS LÄN</t>
        </is>
      </c>
      <c r="G470" t="inlineStr">
        <is>
          <t>HÄRNÖSAND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46261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46261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46261</v>
      </c>
      <c r="F473" t="inlineStr">
        <is>
          <t>VÄSTERNORRLANDS LÄN</t>
        </is>
      </c>
      <c r="G473" t="inlineStr">
        <is>
          <t>HÄRNÖSAND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32293-2026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46237</v>
      </c>
      <c r="E474" s="1" t="n">
        <v>46261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46273-2021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44442</v>
      </c>
      <c r="E475" s="1" t="n">
        <v>46261</v>
      </c>
      <c r="F475" t="inlineStr">
        <is>
          <t>VÄSTERNORRLANDS LÄN</t>
        </is>
      </c>
      <c r="G475" t="inlineStr">
        <is>
          <t>HÄRNÖSAND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46261</v>
      </c>
      <c r="F476" t="inlineStr">
        <is>
          <t>VÄSTERNORRLANDS LÄN</t>
        </is>
      </c>
      <c r="G476" t="inlineStr">
        <is>
          <t>HÄRNÖSAND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46261</v>
      </c>
      <c r="F477" t="inlineStr">
        <is>
          <t>VÄSTERNORRLANDS LÄN</t>
        </is>
      </c>
      <c r="G477" t="inlineStr">
        <is>
          <t>HÄRNÖSAND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46261</v>
      </c>
      <c r="F478" t="inlineStr">
        <is>
          <t>VÄSTERNORRLANDS LÄN</t>
        </is>
      </c>
      <c r="G478" t="inlineStr">
        <is>
          <t>HÄRNÖSAND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46239</v>
      </c>
      <c r="E479" s="1" t="n">
        <v>46261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46261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Övriga statliga verk och myndigheter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46261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46261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Kyrkan</t>
        </is>
      </c>
      <c r="I482" t="n">
        <v>24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45723</v>
      </c>
      <c r="E483" s="1" t="n">
        <v>46261</v>
      </c>
      <c r="F483" t="inlineStr">
        <is>
          <t>VÄSTERNORRLANDS LÄN</t>
        </is>
      </c>
      <c r="G483" t="inlineStr">
        <is>
          <t>HÄRNÖSAND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46261</v>
      </c>
      <c r="F484" t="inlineStr">
        <is>
          <t>VÄSTERNORRLANDS LÄN</t>
        </is>
      </c>
      <c r="G484" t="inlineStr">
        <is>
          <t>HÄRNÖSAND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42197-2024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45562</v>
      </c>
      <c r="E485" s="1" t="n">
        <v>46261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44991</v>
      </c>
      <c r="E486" s="1" t="n">
        <v>46261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46261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46261</v>
      </c>
      <c r="F488" t="inlineStr">
        <is>
          <t>VÄSTERNORRLANDS LÄN</t>
        </is>
      </c>
      <c r="G488" t="inlineStr">
        <is>
          <t>HÄRNÖSAND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46261</v>
      </c>
      <c r="F489" t="inlineStr">
        <is>
          <t>VÄSTERNORRLANDS LÄN</t>
        </is>
      </c>
      <c r="G489" t="inlineStr">
        <is>
          <t>HÄRNÖSAND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45293</v>
      </c>
      <c r="E490" s="1" t="n">
        <v>46261</v>
      </c>
      <c r="F490" t="inlineStr">
        <is>
          <t>VÄSTERNORRLANDS LÄN</t>
        </is>
      </c>
      <c r="G490" t="inlineStr">
        <is>
          <t>HÄRNÖSAND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46261</v>
      </c>
      <c r="F491" t="inlineStr">
        <is>
          <t>VÄSTERNORRLANDS LÄN</t>
        </is>
      </c>
      <c r="G491" t="inlineStr">
        <is>
          <t>HÄRNÖSAND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46261</v>
      </c>
      <c r="F492" t="inlineStr">
        <is>
          <t>VÄSTERNORRLANDS LÄN</t>
        </is>
      </c>
      <c r="G492" t="inlineStr">
        <is>
          <t>HÄRNÖSAND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61574-2021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44497</v>
      </c>
      <c r="E493" s="1" t="n">
        <v>46261</v>
      </c>
      <c r="F493" t="inlineStr">
        <is>
          <t>VÄSTERNORRLANDS LÄN</t>
        </is>
      </c>
      <c r="G493" t="inlineStr">
        <is>
          <t>HÄRNÖSAND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45329</v>
      </c>
      <c r="E494" s="1" t="n">
        <v>46261</v>
      </c>
      <c r="F494" t="inlineStr">
        <is>
          <t>VÄSTERNORRLANDS LÄN</t>
        </is>
      </c>
      <c r="G494" t="inlineStr">
        <is>
          <t>HÄRNÖSAND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46261</v>
      </c>
      <c r="F495" t="inlineStr">
        <is>
          <t>VÄSTERNORRLANDS LÄN</t>
        </is>
      </c>
      <c r="G495" t="inlineStr">
        <is>
          <t>HÄRNÖSAND</t>
        </is>
      </c>
      <c r="I495" t="n">
        <v>14.6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46261</v>
      </c>
      <c r="F496" t="inlineStr">
        <is>
          <t>VÄSTERNORRLANDS LÄN</t>
        </is>
      </c>
      <c r="G496" t="inlineStr">
        <is>
          <t>HÄRNÖSAND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46261</v>
      </c>
      <c r="F497" t="inlineStr">
        <is>
          <t>VÄSTERNORRLANDS LÄN</t>
        </is>
      </c>
      <c r="G497" t="inlineStr">
        <is>
          <t>HÄRNÖSAND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46319-2022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44847</v>
      </c>
      <c r="E498" s="1" t="n">
        <v>46261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Kyrkan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46261</v>
      </c>
      <c r="F499" t="inlineStr">
        <is>
          <t>VÄSTERNORRLANDS LÄN</t>
        </is>
      </c>
      <c r="G499" t="inlineStr">
        <is>
          <t>HÄRNÖSAND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46248</v>
      </c>
      <c r="E500" s="1" t="n">
        <v>46261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46261</v>
      </c>
      <c r="F501" t="inlineStr">
        <is>
          <t>VÄSTERNORRLANDS LÄN</t>
        </is>
      </c>
      <c r="G501" t="inlineStr">
        <is>
          <t>HÄRNÖSAND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46261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45800</v>
      </c>
      <c r="E503" s="1" t="n">
        <v>46261</v>
      </c>
      <c r="F503" t="inlineStr">
        <is>
          <t>VÄSTERNORRLANDS LÄN</t>
        </is>
      </c>
      <c r="G503" t="inlineStr">
        <is>
          <t>HÄRNÖSAND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46261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46261</v>
      </c>
      <c r="F505" t="inlineStr">
        <is>
          <t>VÄSTERNORRLANDS LÄN</t>
        </is>
      </c>
      <c r="G505" t="inlineStr">
        <is>
          <t>HÄRNÖSAND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46261</v>
      </c>
      <c r="F506" t="inlineStr">
        <is>
          <t>VÄSTERNORRLANDS LÄN</t>
        </is>
      </c>
      <c r="G506" t="inlineStr">
        <is>
          <t>HÄRNÖSAND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46261</v>
      </c>
      <c r="F507" t="inlineStr">
        <is>
          <t>VÄSTERNORRLANDS LÄN</t>
        </is>
      </c>
      <c r="G507" t="inlineStr">
        <is>
          <t>HÄRNÖSAND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45265</v>
      </c>
      <c r="E508" s="1" t="n">
        <v>46261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46261</v>
      </c>
      <c r="F509" t="inlineStr">
        <is>
          <t>VÄSTERNORRLANDS LÄN</t>
        </is>
      </c>
      <c r="G509" t="inlineStr">
        <is>
          <t>HÄRNÖSAND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46261</v>
      </c>
      <c r="F510" t="inlineStr">
        <is>
          <t>VÄSTERNORRLANDS LÄN</t>
        </is>
      </c>
      <c r="G510" t="inlineStr">
        <is>
          <t>HÄRNÖSAND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46261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46261</v>
      </c>
      <c r="F512" t="inlineStr">
        <is>
          <t>VÄSTERNORRLANDS LÄN</t>
        </is>
      </c>
      <c r="G512" t="inlineStr">
        <is>
          <t>HÄRNÖSAND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46261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46261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46211</v>
      </c>
      <c r="E515" s="1" t="n">
        <v>46261</v>
      </c>
      <c r="F515" t="inlineStr">
        <is>
          <t>VÄSTERNORRLANDS LÄN</t>
        </is>
      </c>
      <c r="G515" t="inlineStr">
        <is>
          <t>HÄRNÖSAND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45409</v>
      </c>
      <c r="E516" s="1" t="n">
        <v>46261</v>
      </c>
      <c r="F516" t="inlineStr">
        <is>
          <t>VÄSTERNORRLANDS LÄN</t>
        </is>
      </c>
      <c r="G516" t="inlineStr">
        <is>
          <t>HÄRNÖSAND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39954-2022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44819</v>
      </c>
      <c r="E517" s="1" t="n">
        <v>46261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46261</v>
      </c>
      <c r="F518" t="inlineStr">
        <is>
          <t>VÄSTERNORRLANDS LÄN</t>
        </is>
      </c>
      <c r="G518" t="inlineStr">
        <is>
          <t>HÄRNÖSAND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64023-2023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45278</v>
      </c>
      <c r="E519" s="1" t="n">
        <v>46261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45502</v>
      </c>
      <c r="E520" s="1" t="n">
        <v>46261</v>
      </c>
      <c r="F520" t="inlineStr">
        <is>
          <t>VÄSTERNORRLANDS LÄN</t>
        </is>
      </c>
      <c r="G520" t="inlineStr">
        <is>
          <t>HÄRNÖSAND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46261</v>
      </c>
      <c r="F521" t="inlineStr">
        <is>
          <t>VÄSTERNORRLANDS LÄN</t>
        </is>
      </c>
      <c r="G521" t="inlineStr">
        <is>
          <t>HÄRNÖSAND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46261</v>
      </c>
      <c r="F522" t="inlineStr">
        <is>
          <t>VÄSTERNORRLANDS LÄN</t>
        </is>
      </c>
      <c r="G522" t="inlineStr">
        <is>
          <t>HÄRNÖSAND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46213</v>
      </c>
      <c r="E523" s="1" t="n">
        <v>46261</v>
      </c>
      <c r="F523" t="inlineStr">
        <is>
          <t>VÄSTERNORRLANDS LÄN</t>
        </is>
      </c>
      <c r="G523" t="inlineStr">
        <is>
          <t>HÄRNÖSAND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7793-2024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46261</v>
      </c>
      <c r="F524" t="inlineStr">
        <is>
          <t>VÄSTERNORRLANDS LÄN</t>
        </is>
      </c>
      <c r="G524" t="inlineStr">
        <is>
          <t>HÄRNÖSAND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46261</v>
      </c>
      <c r="F525" t="inlineStr">
        <is>
          <t>VÄSTERNORRLANDS LÄN</t>
        </is>
      </c>
      <c r="G525" t="inlineStr">
        <is>
          <t>HÄRNÖSAND</t>
        </is>
      </c>
      <c r="I525" t="n">
        <v>13.6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46213</v>
      </c>
      <c r="E526" s="1" t="n">
        <v>46261</v>
      </c>
      <c r="F526" t="inlineStr">
        <is>
          <t>VÄSTERNORRLANDS LÄN</t>
        </is>
      </c>
      <c r="G526" t="inlineStr">
        <is>
          <t>HÄRNÖSAND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44791</v>
      </c>
      <c r="E527" s="1" t="n">
        <v>46261</v>
      </c>
      <c r="F527" t="inlineStr">
        <is>
          <t>VÄSTERNORRLANDS LÄN</t>
        </is>
      </c>
      <c r="G527" t="inlineStr">
        <is>
          <t>HÄRNÖSAND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45418</v>
      </c>
      <c r="E528" s="1" t="n">
        <v>46261</v>
      </c>
      <c r="F528" t="inlineStr">
        <is>
          <t>VÄSTERNORRLANDS LÄN</t>
        </is>
      </c>
      <c r="G528" t="inlineStr">
        <is>
          <t>HÄRNÖSAND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46215</v>
      </c>
      <c r="E529" s="1" t="n">
        <v>46261</v>
      </c>
      <c r="F529" t="inlineStr">
        <is>
          <t>VÄSTERNORRLANDS LÄN</t>
        </is>
      </c>
      <c r="G529" t="inlineStr">
        <is>
          <t>HÄRNÖSAND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46215</v>
      </c>
      <c r="E530" s="1" t="n">
        <v>46261</v>
      </c>
      <c r="F530" t="inlineStr">
        <is>
          <t>VÄSTERNORRLANDS LÄN</t>
        </is>
      </c>
      <c r="G530" t="inlineStr">
        <is>
          <t>HÄRNÖSAND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62333-2021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44502</v>
      </c>
      <c r="E531" s="1" t="n">
        <v>46261</v>
      </c>
      <c r="F531" t="inlineStr">
        <is>
          <t>VÄSTERNORRLANDS LÄN</t>
        </is>
      </c>
      <c r="G531" t="inlineStr">
        <is>
          <t>HÄRNÖSAND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46261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45228</v>
      </c>
      <c r="E533" s="1" t="n">
        <v>46261</v>
      </c>
      <c r="F533" t="inlineStr">
        <is>
          <t>VÄSTERNORRLANDS LÄN</t>
        </is>
      </c>
      <c r="G533" t="inlineStr">
        <is>
          <t>HÄRNÖSAND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45161</v>
      </c>
      <c r="E534" s="1" t="n">
        <v>46261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45390</v>
      </c>
      <c r="E535" s="1" t="n">
        <v>46261</v>
      </c>
      <c r="F535" t="inlineStr">
        <is>
          <t>VÄSTERNORRLANDS LÄN</t>
        </is>
      </c>
      <c r="G535" t="inlineStr">
        <is>
          <t>HÄRNÖSAND</t>
        </is>
      </c>
      <c r="I535" t="n">
        <v>14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45148</v>
      </c>
      <c r="E536" s="1" t="n">
        <v>46261</v>
      </c>
      <c r="F536" t="inlineStr">
        <is>
          <t>VÄSTERNORRLANDS LÄN</t>
        </is>
      </c>
      <c r="G536" t="inlineStr">
        <is>
          <t>HÄRNÖSAND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46261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41147-2023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46261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46261</v>
      </c>
      <c r="F539" t="inlineStr">
        <is>
          <t>VÄSTERNORRLANDS LÄN</t>
        </is>
      </c>
      <c r="G539" t="inlineStr">
        <is>
          <t>HÄRNÖSAND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60970-2021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44496</v>
      </c>
      <c r="E540" s="1" t="n">
        <v>46261</v>
      </c>
      <c r="F540" t="inlineStr">
        <is>
          <t>VÄSTERNORRLANDS LÄN</t>
        </is>
      </c>
      <c r="G540" t="inlineStr">
        <is>
          <t>HÄRNÖSAND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45405</v>
      </c>
      <c r="E541" s="1" t="n">
        <v>46261</v>
      </c>
      <c r="F541" t="inlineStr">
        <is>
          <t>VÄSTERNORRLANDS LÄN</t>
        </is>
      </c>
      <c r="G541" t="inlineStr">
        <is>
          <t>HÄRNÖSAND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45409</v>
      </c>
      <c r="E542" s="1" t="n">
        <v>46261</v>
      </c>
      <c r="F542" t="inlineStr">
        <is>
          <t>VÄSTERNORRLANDS LÄN</t>
        </is>
      </c>
      <c r="G542" t="inlineStr">
        <is>
          <t>HÄRNÖSAND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45334</v>
      </c>
      <c r="E543" s="1" t="n">
        <v>46261</v>
      </c>
      <c r="F543" t="inlineStr">
        <is>
          <t>VÄSTERNORRLANDS LÄN</t>
        </is>
      </c>
      <c r="G543" t="inlineStr">
        <is>
          <t>HÄRNÖSAND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57236-2024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45628</v>
      </c>
      <c r="E544" s="1" t="n">
        <v>46261</v>
      </c>
      <c r="F544" t="inlineStr">
        <is>
          <t>VÄSTERNORRLANDS LÄN</t>
        </is>
      </c>
      <c r="G544" t="inlineStr">
        <is>
          <t>HÄRNÖSAND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12750-2022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44641</v>
      </c>
      <c r="E545" s="1" t="n">
        <v>46261</v>
      </c>
      <c r="F545" t="inlineStr">
        <is>
          <t>VÄSTERNORRLANDS LÄN</t>
        </is>
      </c>
      <c r="G545" t="inlineStr">
        <is>
          <t>HÄRNÖSAND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45168</v>
      </c>
      <c r="E546" s="1" t="n">
        <v>46261</v>
      </c>
      <c r="F546" t="inlineStr">
        <is>
          <t>VÄSTERNORRLANDS LÄN</t>
        </is>
      </c>
      <c r="G546" t="inlineStr">
        <is>
          <t>HÄRNÖSAND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45512</v>
      </c>
      <c r="E547" s="1" t="n">
        <v>46261</v>
      </c>
      <c r="F547" t="inlineStr">
        <is>
          <t>VÄSTERNORRLANDS LÄN</t>
        </is>
      </c>
      <c r="G547" t="inlineStr">
        <is>
          <t>HÄRNÖSAND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59715-2024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46261</v>
      </c>
      <c r="F548" t="inlineStr">
        <is>
          <t>VÄSTERNORRLANDS LÄN</t>
        </is>
      </c>
      <c r="G548" t="inlineStr">
        <is>
          <t>HÄRNÖSAND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46261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49346-2024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45595</v>
      </c>
      <c r="E550" s="1" t="n">
        <v>46261</v>
      </c>
      <c r="F550" t="inlineStr">
        <is>
          <t>VÄSTERNORRLANDS LÄN</t>
        </is>
      </c>
      <c r="G550" t="inlineStr">
        <is>
          <t>HÄRNÖSAND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46261</v>
      </c>
      <c r="F551" t="inlineStr">
        <is>
          <t>VÄSTERNORRLANDS LÄN</t>
        </is>
      </c>
      <c r="G551" t="inlineStr">
        <is>
          <t>HÄRNÖSAND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54091-2024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45616</v>
      </c>
      <c r="E552" s="1" t="n">
        <v>46261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16979-2022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44676</v>
      </c>
      <c r="E553" s="1" t="n">
        <v>46261</v>
      </c>
      <c r="F553" t="inlineStr">
        <is>
          <t>VÄSTERNORRLANDS LÄN</t>
        </is>
      </c>
      <c r="G553" t="inlineStr">
        <is>
          <t>HÄRNÖSAND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19827-2022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44694</v>
      </c>
      <c r="E554" s="1" t="n">
        <v>46261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46261</v>
      </c>
      <c r="F555" t="inlineStr">
        <is>
          <t>VÄSTERNORRLANDS LÄN</t>
        </is>
      </c>
      <c r="G555" t="inlineStr">
        <is>
          <t>HÄRNÖSAND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18348-2025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45762</v>
      </c>
      <c r="E556" s="1" t="n">
        <v>46261</v>
      </c>
      <c r="F556" t="inlineStr">
        <is>
          <t>VÄSTERNORRLANDS LÄN</t>
        </is>
      </c>
      <c r="G556" t="inlineStr">
        <is>
          <t>HÄRNÖSAND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9727-2022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44617</v>
      </c>
      <c r="E557" s="1" t="n">
        <v>46261</v>
      </c>
      <c r="F557" t="inlineStr">
        <is>
          <t>VÄSTERNORRLANDS LÄN</t>
        </is>
      </c>
      <c r="G557" t="inlineStr">
        <is>
          <t>HÄRNÖSAND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19122-2024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45428</v>
      </c>
      <c r="E558" s="1" t="n">
        <v>46261</v>
      </c>
      <c r="F558" t="inlineStr">
        <is>
          <t>VÄSTERNORRLANDS LÄN</t>
        </is>
      </c>
      <c r="G558" t="inlineStr">
        <is>
          <t>HÄRNÖSAND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39044-2023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45163</v>
      </c>
      <c r="E559" s="1" t="n">
        <v>46261</v>
      </c>
      <c r="F559" t="inlineStr">
        <is>
          <t>VÄSTERNORRLANDS LÄN</t>
        </is>
      </c>
      <c r="G559" t="inlineStr">
        <is>
          <t>HÄRNÖSAND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36496-2023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45152</v>
      </c>
      <c r="E560" s="1" t="n">
        <v>46261</v>
      </c>
      <c r="F560" t="inlineStr">
        <is>
          <t>VÄSTERNORRLANDS LÄN</t>
        </is>
      </c>
      <c r="G560" t="inlineStr">
        <is>
          <t>HÄRNÖSAND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46261</v>
      </c>
      <c r="F561" t="inlineStr">
        <is>
          <t>VÄSTERNORRLANDS LÄN</t>
        </is>
      </c>
      <c r="G561" t="inlineStr">
        <is>
          <t>HÄRNÖSAND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39433-2023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46261</v>
      </c>
      <c r="F562" t="inlineStr">
        <is>
          <t>VÄSTERNORRLANDS LÄN</t>
        </is>
      </c>
      <c r="G562" t="inlineStr">
        <is>
          <t>HÄRNÖSAND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21471-2022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44706</v>
      </c>
      <c r="E563" s="1" t="n">
        <v>46261</v>
      </c>
      <c r="F563" t="inlineStr">
        <is>
          <t>VÄSTERNORRLANDS LÄN</t>
        </is>
      </c>
      <c r="G563" t="inlineStr">
        <is>
          <t>HÄRNÖSAND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46261</v>
      </c>
      <c r="F564" t="inlineStr">
        <is>
          <t>VÄSTERNORRLANDS LÄN</t>
        </is>
      </c>
      <c r="G564" t="inlineStr">
        <is>
          <t>HÄRNÖSAND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42646-2023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45181</v>
      </c>
      <c r="E565" s="1" t="n">
        <v>46261</v>
      </c>
      <c r="F565" t="inlineStr">
        <is>
          <t>VÄSTERNORRLANDS LÄN</t>
        </is>
      </c>
      <c r="G565" t="inlineStr">
        <is>
          <t>HÄRNÖSAND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25007-2022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44728</v>
      </c>
      <c r="E566" s="1" t="n">
        <v>46261</v>
      </c>
      <c r="F566" t="inlineStr">
        <is>
          <t>VÄSTERNORRLANDS LÄN</t>
        </is>
      </c>
      <c r="G566" t="inlineStr">
        <is>
          <t>HÄRNÖSAND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45189</v>
      </c>
      <c r="E567" s="1" t="n">
        <v>46261</v>
      </c>
      <c r="F567" t="inlineStr">
        <is>
          <t>VÄSTERNORRLANDS LÄN</t>
        </is>
      </c>
      <c r="G567" t="inlineStr">
        <is>
          <t>HÄRNÖSAND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45699</v>
      </c>
      <c r="E568" s="1" t="n">
        <v>46261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45168</v>
      </c>
      <c r="E569" s="1" t="n">
        <v>46261</v>
      </c>
      <c r="F569" t="inlineStr">
        <is>
          <t>VÄSTERNORRLANDS LÄN</t>
        </is>
      </c>
      <c r="G569" t="inlineStr">
        <is>
          <t>HÄRNÖSAND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44726</v>
      </c>
      <c r="E570" s="1" t="n">
        <v>46261</v>
      </c>
      <c r="F570" t="inlineStr">
        <is>
          <t>VÄSTERNORRLANDS LÄN</t>
        </is>
      </c>
      <c r="G570" t="inlineStr">
        <is>
          <t>HÄRNÖSAND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45723</v>
      </c>
      <c r="E571" s="1" t="n">
        <v>46261</v>
      </c>
      <c r="F571" t="inlineStr">
        <is>
          <t>VÄSTERNORRLANDS LÄN</t>
        </is>
      </c>
      <c r="G571" t="inlineStr">
        <is>
          <t>HÄRNÖSAND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46261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46261</v>
      </c>
      <c r="F573" t="inlineStr">
        <is>
          <t>VÄSTERNORRLANDS LÄN</t>
        </is>
      </c>
      <c r="G573" t="inlineStr">
        <is>
          <t>HÄRNÖSAND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45350</v>
      </c>
      <c r="E574" s="1" t="n">
        <v>46261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45293</v>
      </c>
      <c r="E575" s="1" t="n">
        <v>46261</v>
      </c>
      <c r="F575" t="inlineStr">
        <is>
          <t>VÄSTERNORRLANDS LÄN</t>
        </is>
      </c>
      <c r="G575" t="inlineStr">
        <is>
          <t>HÄRNÖSAND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45320</v>
      </c>
      <c r="E576" s="1" t="n">
        <v>46261</v>
      </c>
      <c r="F576" t="inlineStr">
        <is>
          <t>VÄSTERNORRLANDS LÄN</t>
        </is>
      </c>
      <c r="G576" t="inlineStr">
        <is>
          <t>HÄRNÖSAND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55276-2023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45231</v>
      </c>
      <c r="E577" s="1" t="n">
        <v>46261</v>
      </c>
      <c r="F577" t="inlineStr">
        <is>
          <t>VÄSTERNORRLANDS LÄN</t>
        </is>
      </c>
      <c r="G577" t="inlineStr">
        <is>
          <t>HÄRNÖSAND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44747</v>
      </c>
      <c r="E578" s="1" t="n">
        <v>46261</v>
      </c>
      <c r="F578" t="inlineStr">
        <is>
          <t>VÄSTERNORRLANDS LÄN</t>
        </is>
      </c>
      <c r="G578" t="inlineStr">
        <is>
          <t>HÄRNÖSAND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45072</v>
      </c>
      <c r="E579" s="1" t="n">
        <v>46261</v>
      </c>
      <c r="F579" t="inlineStr">
        <is>
          <t>VÄSTERNORRLANDS LÄN</t>
        </is>
      </c>
      <c r="G579" t="inlineStr">
        <is>
          <t>HÄRNÖSAND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45313</v>
      </c>
      <c r="E580" s="1" t="n">
        <v>46261</v>
      </c>
      <c r="F580" t="inlineStr">
        <is>
          <t>VÄSTERNORRLANDS LÄN</t>
        </is>
      </c>
      <c r="G580" t="inlineStr">
        <is>
          <t>HÄRNÖSAND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10549-2024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45366</v>
      </c>
      <c r="E581" s="1" t="n">
        <v>46261</v>
      </c>
      <c r="F581" t="inlineStr">
        <is>
          <t>VÄSTERNORRLANDS LÄN</t>
        </is>
      </c>
      <c r="G581" t="inlineStr">
        <is>
          <t>HÄRNÖSAND</t>
        </is>
      </c>
      <c r="I581" t="n">
        <v>8.4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47944-2022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44853</v>
      </c>
      <c r="E582" s="1" t="n">
        <v>46261</v>
      </c>
      <c r="F582" t="inlineStr">
        <is>
          <t>VÄSTERNORRLANDS LÄN</t>
        </is>
      </c>
      <c r="G582" t="inlineStr">
        <is>
          <t>HÄRNÖSAND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16246-2025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45749</v>
      </c>
      <c r="E583" s="1" t="n">
        <v>46261</v>
      </c>
      <c r="F583" t="inlineStr">
        <is>
          <t>VÄSTERNORRLANDS LÄN</t>
        </is>
      </c>
      <c r="G583" t="inlineStr">
        <is>
          <t>HÄRNÖSAND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45757</v>
      </c>
      <c r="E584" s="1" t="n">
        <v>46261</v>
      </c>
      <c r="F584" t="inlineStr">
        <is>
          <t>VÄSTERNORRLANDS LÄN</t>
        </is>
      </c>
      <c r="G584" t="inlineStr">
        <is>
          <t>HÄRNÖSAND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34513-2022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44792</v>
      </c>
      <c r="E585" s="1" t="n">
        <v>46261</v>
      </c>
      <c r="F585" t="inlineStr">
        <is>
          <t>VÄSTERNORRLANDS LÄN</t>
        </is>
      </c>
      <c r="G585" t="inlineStr">
        <is>
          <t>HÄRNÖSAND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45733</v>
      </c>
      <c r="E586" s="1" t="n">
        <v>46261</v>
      </c>
      <c r="F586" t="inlineStr">
        <is>
          <t>VÄSTERNORRLANDS LÄN</t>
        </is>
      </c>
      <c r="G586" t="inlineStr">
        <is>
          <t>HÄRNÖSAND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45496</v>
      </c>
      <c r="E587" s="1" t="n">
        <v>46261</v>
      </c>
      <c r="F587" t="inlineStr">
        <is>
          <t>VÄSTERNORRLANDS LÄN</t>
        </is>
      </c>
      <c r="G587" t="inlineStr">
        <is>
          <t>HÄRNÖSAND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8411-2024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45352</v>
      </c>
      <c r="E588" s="1" t="n">
        <v>46261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45091</v>
      </c>
      <c r="E589" s="1" t="n">
        <v>46261</v>
      </c>
      <c r="F589" t="inlineStr">
        <is>
          <t>VÄSTERNORRLANDS LÄN</t>
        </is>
      </c>
      <c r="G589" t="inlineStr">
        <is>
          <t>HÄRNÖSAND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64377-2023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45280</v>
      </c>
      <c r="E590" s="1" t="n">
        <v>46261</v>
      </c>
      <c r="F590" t="inlineStr">
        <is>
          <t>VÄSTERNORRLANDS LÄN</t>
        </is>
      </c>
      <c r="G590" t="inlineStr">
        <is>
          <t>HÄRNÖSAND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45462</v>
      </c>
      <c r="E591" s="1" t="n">
        <v>46261</v>
      </c>
      <c r="F591" t="inlineStr">
        <is>
          <t>VÄSTERNORRLANDS LÄN</t>
        </is>
      </c>
      <c r="G591" t="inlineStr">
        <is>
          <t>HÄRNÖSAND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52987-2022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44875</v>
      </c>
      <c r="E592" s="1" t="n">
        <v>46261</v>
      </c>
      <c r="F592" t="inlineStr">
        <is>
          <t>VÄSTERNORRLANDS LÄN</t>
        </is>
      </c>
      <c r="G592" t="inlineStr">
        <is>
          <t>HÄRNÖSAND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29279-2024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45482</v>
      </c>
      <c r="E593" s="1" t="n">
        <v>46261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30762-2024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45496</v>
      </c>
      <c r="E594" s="1" t="n">
        <v>46261</v>
      </c>
      <c r="F594" t="inlineStr">
        <is>
          <t>VÄSTERNORRLANDS LÄN</t>
        </is>
      </c>
      <c r="G594" t="inlineStr">
        <is>
          <t>HÄRNÖSAND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44957</v>
      </c>
      <c r="E595" s="1" t="n">
        <v>46261</v>
      </c>
      <c r="F595" t="inlineStr">
        <is>
          <t>VÄSTERNORRLANDS LÄN</t>
        </is>
      </c>
      <c r="G595" t="inlineStr">
        <is>
          <t>HÄRNÖSAND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59034-2022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44903</v>
      </c>
      <c r="E596" s="1" t="n">
        <v>46261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44945</v>
      </c>
      <c r="E597" s="1" t="n">
        <v>46261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46261</v>
      </c>
      <c r="F598" t="inlineStr">
        <is>
          <t>VÄSTERNORRLANDS LÄN</t>
        </is>
      </c>
      <c r="G598" t="inlineStr">
        <is>
          <t>HÄRNÖSAND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56165-2022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44889</v>
      </c>
      <c r="E599" s="1" t="n">
        <v>46261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65224-2023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45289</v>
      </c>
      <c r="E600" s="1" t="n">
        <v>46261</v>
      </c>
      <c r="F600" t="inlineStr">
        <is>
          <t>VÄSTERNORRLANDS LÄN</t>
        </is>
      </c>
      <c r="G600" t="inlineStr">
        <is>
          <t>HÄRNÖSAND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44845</v>
      </c>
      <c r="E601" s="1" t="n">
        <v>46261</v>
      </c>
      <c r="F601" t="inlineStr">
        <is>
          <t>VÄSTERNORRLANDS LÄN</t>
        </is>
      </c>
      <c r="G601" t="inlineStr">
        <is>
          <t>HÄRNÖSAND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22875-2023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45072</v>
      </c>
      <c r="E602" s="1" t="n">
        <v>46261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Kyrkan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46508-2023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45194</v>
      </c>
      <c r="E603" s="1" t="n">
        <v>46261</v>
      </c>
      <c r="F603" t="inlineStr">
        <is>
          <t>VÄSTERNORRLANDS LÄN</t>
        </is>
      </c>
      <c r="G603" t="inlineStr">
        <is>
          <t>HÄRNÖSAND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65222-2023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45289</v>
      </c>
      <c r="E604" s="1" t="n">
        <v>46261</v>
      </c>
      <c r="F604" t="inlineStr">
        <is>
          <t>VÄSTERNORRLANDS LÄN</t>
        </is>
      </c>
      <c r="G604" t="inlineStr">
        <is>
          <t>HÄRNÖSAND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44580</v>
      </c>
      <c r="E605" s="1" t="n">
        <v>46261</v>
      </c>
      <c r="F605" t="inlineStr">
        <is>
          <t>VÄSTERNORRLANDS LÄN</t>
        </is>
      </c>
      <c r="G605" t="inlineStr">
        <is>
          <t>HÄRNÖSAND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45476</v>
      </c>
      <c r="E606" s="1" t="n">
        <v>46261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13611-2023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45006</v>
      </c>
      <c r="E607" s="1" t="n">
        <v>46261</v>
      </c>
      <c r="F607" t="inlineStr">
        <is>
          <t>VÄSTERNORRLANDS LÄN</t>
        </is>
      </c>
      <c r="G607" t="inlineStr">
        <is>
          <t>HÄRNÖSAND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45300</v>
      </c>
      <c r="E608" s="1" t="n">
        <v>46261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45035</v>
      </c>
      <c r="E609" s="1" t="n">
        <v>46261</v>
      </c>
      <c r="F609" t="inlineStr">
        <is>
          <t>VÄSTERNORRLANDS LÄN</t>
        </is>
      </c>
      <c r="G609" t="inlineStr">
        <is>
          <t>HÄRNÖSAND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44987</v>
      </c>
      <c r="E610" s="1" t="n">
        <v>46261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52237-2022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44869</v>
      </c>
      <c r="E611" s="1" t="n">
        <v>46261</v>
      </c>
      <c r="F611" t="inlineStr">
        <is>
          <t>VÄSTERNORRLANDS LÄN</t>
        </is>
      </c>
      <c r="G611" t="inlineStr">
        <is>
          <t>HÄRNÖSAND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46261</v>
      </c>
      <c r="F612" t="inlineStr">
        <is>
          <t>VÄSTERNORRLANDS LÄN</t>
        </is>
      </c>
      <c r="G612" t="inlineStr">
        <is>
          <t>HÄRNÖSAND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12533-2023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45000</v>
      </c>
      <c r="E613" s="1" t="n">
        <v>46261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12543-2023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45000</v>
      </c>
      <c r="E614" s="1" t="n">
        <v>46261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58869-2023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45250</v>
      </c>
      <c r="E615" s="1" t="n">
        <v>46261</v>
      </c>
      <c r="F615" t="inlineStr">
        <is>
          <t>VÄSTERNORRLANDS LÄN</t>
        </is>
      </c>
      <c r="G615" t="inlineStr">
        <is>
          <t>HÄRNÖSAND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45044</v>
      </c>
      <c r="E616" s="1" t="n">
        <v>46261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46261</v>
      </c>
      <c r="F617" t="inlineStr">
        <is>
          <t>VÄSTERNORRLANDS LÄN</t>
        </is>
      </c>
      <c r="G617" t="inlineStr">
        <is>
          <t>HÄRNÖSAND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18345-2025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46261</v>
      </c>
      <c r="F618" t="inlineStr">
        <is>
          <t>VÄSTERNORRLANDS LÄN</t>
        </is>
      </c>
      <c r="G618" t="inlineStr">
        <is>
          <t>HÄRNÖSAND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43248-2023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45180</v>
      </c>
      <c r="E619" s="1" t="n">
        <v>46261</v>
      </c>
      <c r="F619" t="inlineStr">
        <is>
          <t>VÄSTERNORRLANDS LÄN</t>
        </is>
      </c>
      <c r="G619" t="inlineStr">
        <is>
          <t>HÄRNÖSAND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45921-2024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45580</v>
      </c>
      <c r="E620" s="1" t="n">
        <v>46261</v>
      </c>
      <c r="F620" t="inlineStr">
        <is>
          <t>VÄSTERNORRLANDS LÄN</t>
        </is>
      </c>
      <c r="G620" t="inlineStr">
        <is>
          <t>HÄRNÖSAND</t>
        </is>
      </c>
      <c r="I620" t="n">
        <v>14.2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46261</v>
      </c>
      <c r="F621" t="inlineStr">
        <is>
          <t>VÄSTERNORRLANDS LÄN</t>
        </is>
      </c>
      <c r="G621" t="inlineStr">
        <is>
          <t>HÄRNÖSAND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59121-2023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46261</v>
      </c>
      <c r="F622" t="inlineStr">
        <is>
          <t>VÄSTERNORRLANDS LÄN</t>
        </is>
      </c>
      <c r="G622" t="inlineStr">
        <is>
          <t>HÄRNÖSAND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29255-2024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45482</v>
      </c>
      <c r="E623" s="1" t="n">
        <v>46261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45769</v>
      </c>
      <c r="E624" s="1" t="n">
        <v>46261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45646</v>
      </c>
      <c r="E625" s="1" t="n">
        <v>46261</v>
      </c>
      <c r="F625" t="inlineStr">
        <is>
          <t>VÄSTERNORRLANDS LÄN</t>
        </is>
      </c>
      <c r="G625" t="inlineStr">
        <is>
          <t>HÄRNÖSAND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45107</v>
      </c>
      <c r="E626" s="1" t="n">
        <v>46261</v>
      </c>
      <c r="F626" t="inlineStr">
        <is>
          <t>VÄSTERNORRLANDS LÄN</t>
        </is>
      </c>
      <c r="G626" t="inlineStr">
        <is>
          <t>HÄRNÖSAND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11045-2025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45723</v>
      </c>
      <c r="E627" s="1" t="n">
        <v>46261</v>
      </c>
      <c r="F627" t="inlineStr">
        <is>
          <t>VÄSTERNORRLANDS LÄN</t>
        </is>
      </c>
      <c r="G627" t="inlineStr">
        <is>
          <t>HÄRNÖSAND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45097</v>
      </c>
      <c r="E628" s="1" t="n">
        <v>46261</v>
      </c>
      <c r="F628" t="inlineStr">
        <is>
          <t>VÄSTERNORRLANDS LÄN</t>
        </is>
      </c>
      <c r="G628" t="inlineStr">
        <is>
          <t>HÄRNÖSAND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48047-2022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44855</v>
      </c>
      <c r="E629" s="1" t="n">
        <v>46261</v>
      </c>
      <c r="F629" t="inlineStr">
        <is>
          <t>VÄSTERNORRLANDS LÄN</t>
        </is>
      </c>
      <c r="G629" t="inlineStr">
        <is>
          <t>HÄRNÖSAND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57154-2024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45629</v>
      </c>
      <c r="E630" s="1" t="n">
        <v>46261</v>
      </c>
      <c r="F630" t="inlineStr">
        <is>
          <t>VÄSTERNORRLANDS LÄN</t>
        </is>
      </c>
      <c r="G630" t="inlineStr">
        <is>
          <t>HÄRNÖSAND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45323</v>
      </c>
      <c r="E631" s="1" t="n">
        <v>46261</v>
      </c>
      <c r="F631" t="inlineStr">
        <is>
          <t>VÄSTERNORRLANDS LÄN</t>
        </is>
      </c>
      <c r="G631" t="inlineStr">
        <is>
          <t>HÄRNÖSAND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45500-2024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45578</v>
      </c>
      <c r="E632" s="1" t="n">
        <v>46261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45504-2024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45578</v>
      </c>
      <c r="E633" s="1" t="n">
        <v>46261</v>
      </c>
      <c r="F633" t="inlineStr">
        <is>
          <t>VÄSTERNORRLANDS LÄN</t>
        </is>
      </c>
      <c r="G633" t="inlineStr">
        <is>
          <t>HÄRNÖSAND</t>
        </is>
      </c>
      <c r="I633" t="n">
        <v>10.3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44951</v>
      </c>
      <c r="E634" s="1" t="n">
        <v>46261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35387-2024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46261</v>
      </c>
      <c r="F635" t="inlineStr">
        <is>
          <t>VÄSTERNORRLANDS LÄN</t>
        </is>
      </c>
      <c r="G635" t="inlineStr">
        <is>
          <t>HÄRNÖSAND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32418-2024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45512</v>
      </c>
      <c r="E636" s="1" t="n">
        <v>46261</v>
      </c>
      <c r="F636" t="inlineStr">
        <is>
          <t>VÄSTERNORRLANDS LÄN</t>
        </is>
      </c>
      <c r="G636" t="inlineStr">
        <is>
          <t>HÄRNÖSAND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51001-2022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44867</v>
      </c>
      <c r="E637" s="1" t="n">
        <v>46261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46261</v>
      </c>
      <c r="F638" t="inlineStr">
        <is>
          <t>VÄSTERNORRLANDS LÄN</t>
        </is>
      </c>
      <c r="G638" t="inlineStr">
        <is>
          <t>HÄRNÖSAND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11903-2024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45376</v>
      </c>
      <c r="E639" s="1" t="n">
        <v>46261</v>
      </c>
      <c r="F639" t="inlineStr">
        <is>
          <t>VÄSTERNORRLANDS LÄN</t>
        </is>
      </c>
      <c r="G639" t="inlineStr">
        <is>
          <t>HÄRNÖSAND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45730</v>
      </c>
      <c r="E640" s="1" t="n">
        <v>46261</v>
      </c>
      <c r="F640" t="inlineStr">
        <is>
          <t>VÄSTERNORRLANDS LÄN</t>
        </is>
      </c>
      <c r="G640" t="inlineStr">
        <is>
          <t>HÄRNÖSAND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4147-2025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45685</v>
      </c>
      <c r="E641" s="1" t="n">
        <v>46261</v>
      </c>
      <c r="F641" t="inlineStr">
        <is>
          <t>VÄSTERNORRLANDS LÄN</t>
        </is>
      </c>
      <c r="G641" t="inlineStr">
        <is>
          <t>HÄRNÖSAND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46261</v>
      </c>
      <c r="F642" t="inlineStr">
        <is>
          <t>VÄSTERNORRLANDS LÄN</t>
        </is>
      </c>
      <c r="G642" t="inlineStr">
        <is>
          <t>HÄRNÖSAND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46261</v>
      </c>
      <c r="F643" t="inlineStr">
        <is>
          <t>VÄSTERNORRLANDS LÄN</t>
        </is>
      </c>
      <c r="G643" t="inlineStr">
        <is>
          <t>HÄRNÖSAND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46261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46261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42343-2024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46261</v>
      </c>
      <c r="F646" t="inlineStr">
        <is>
          <t>VÄSTERNORRLANDS LÄN</t>
        </is>
      </c>
      <c r="G646" t="inlineStr">
        <is>
          <t>HÄRNÖSAND</t>
        </is>
      </c>
      <c r="I646" t="n">
        <v>15.6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45578</v>
      </c>
      <c r="E647" s="1" t="n">
        <v>46261</v>
      </c>
      <c r="F647" t="inlineStr">
        <is>
          <t>VÄSTERNORRLANDS LÄN</t>
        </is>
      </c>
      <c r="G647" t="inlineStr">
        <is>
          <t>HÄRNÖSAND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45791</v>
      </c>
      <c r="E648" s="1" t="n">
        <v>46261</v>
      </c>
      <c r="F648" t="inlineStr">
        <is>
          <t>VÄSTERNORRLANDS LÄN</t>
        </is>
      </c>
      <c r="G648" t="inlineStr">
        <is>
          <t>HÄRNÖSAND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46261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46261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46261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46261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46261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46261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46261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46261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46261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2026-08-27T01:49:17Z</dcterms:created>
  <dcterms:modified xmlns:dcterms="http://purl.org/dc/terms/" xmlns:xsi="http://www.w3.org/2001/XMLSchema-instance" xsi:type="dcterms:W3CDTF">2026-08-27T01:49:18Z</dcterms:modified>
</cp:coreProperties>
</file>