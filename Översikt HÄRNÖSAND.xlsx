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46286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46286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46286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47711-2024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45588</v>
      </c>
      <c r="E5" s="1" t="n">
        <v>46286</v>
      </c>
      <c r="F5" t="inlineStr">
        <is>
          <t>VÄSTERNORRLANDS LÄN</t>
        </is>
      </c>
      <c r="G5" t="inlineStr">
        <is>
          <t>HÄRNÖSAND</t>
        </is>
      </c>
      <c r="I5" t="n">
        <v>39.5</v>
      </c>
      <c r="J5" t="n">
        <v>3</v>
      </c>
      <c r="K5" t="n">
        <v>3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15</v>
      </c>
      <c r="T5" t="n">
        <v>49</v>
      </c>
      <c r="U5" t="n">
        <v>35</v>
      </c>
      <c r="V5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5">
        <f>HYPERLINK("https://klasma.github.io/Logging_2280/artfynd/A 47711-2024 artfynd.xlsx", "A 47711-2024")</f>
        <v/>
      </c>
      <c r="X5">
        <f>HYPERLINK("https://klasma.github.io/Logging_2280/kartor/A 47711-2024 karta.png", "A 47711-2024")</f>
        <v/>
      </c>
      <c r="Y5">
        <f>HYPERLINK("https://klasma.github.io/Logging_2280/kartor_geotiff/A 47711-2024 georefererad karta.tif", "A 47711-2024")</f>
        <v/>
      </c>
      <c r="Z5">
        <f>HYPERLINK("https://klasma.github.io/Logging_2280/knärot/A 47711-2024 karta knärot.png", "A 47711-2024")</f>
        <v/>
      </c>
      <c r="AA5">
        <f>HYPERLINK("https://klasma.github.io/Logging_2280/klagomål/A 47711-2024 FSC-klagomål.docx", "A 47711-2024")</f>
        <v/>
      </c>
      <c r="AB5">
        <f>HYPERLINK("https://klasma.github.io/Logging_2280/klagomålsmail/A 47711-2024 FSC-klagomål mail.docx", "A 47711-2024")</f>
        <v/>
      </c>
      <c r="AC5">
        <f>HYPERLINK("https://klasma.github.io/Logging_2280/tillsyn/A 47711-2024 tillsynsbegäran.docx", "A 47711-2024")</f>
        <v/>
      </c>
      <c r="AD5">
        <f>HYPERLINK("https://klasma.github.io/Logging_2280/tillsynsmail/A 47711-2024 tillsynsbegäran mail.docx", "A 47711-2024")</f>
        <v/>
      </c>
      <c r="AE5">
        <f>HYPERLINK("https://klasma.github.io/Logging_2280/fåglar/A 47711-2024 prioriterade fågelarter.docx", "A 47711-2024")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46286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46286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46286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46286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46286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46286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46286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46286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46286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46286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46286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46286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46286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46286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46286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46286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46286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46286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46286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t="n">
        <v>9</v>
      </c>
      <c r="V24" s="2" t="inlineStr">
        <is>
          <t>Aspgelélav
Knärot
Liten aspgelélav
Apelsinticka
Lunglav</t>
        </is>
      </c>
      <c r="W24">
        <f>HYPERLINK("https://klasma.github.io/Logging_2280/artfynd/A 8412-2024 artfynd.xlsx", "A 8412-2024")</f>
        <v/>
      </c>
      <c r="X24">
        <f>HYPERLINK("https://klasma.github.io/Logging_2280/kartor/A 8412-2024 karta.png", "A 8412-2024")</f>
        <v/>
      </c>
      <c r="Y24">
        <f>HYPERLINK("https://klasma.github.io/Logging_2280/kartor_geotiff/A 8412-2024 georefererad karta.tif", "A 8412-2024")</f>
        <v/>
      </c>
      <c r="Z24">
        <f>HYPERLINK("https://klasma.github.io/Logging_2280/knärot/A 8412-2024 karta knärot.png", "A 8412-2024")</f>
        <v/>
      </c>
      <c r="AA24">
        <f>HYPERLINK("https://klasma.github.io/Logging_2280/klagomål/A 8412-2024 FSC-klagomål.docx", "A 8412-2024")</f>
        <v/>
      </c>
      <c r="AB24">
        <f>HYPERLINK("https://klasma.github.io/Logging_2280/klagomålsmail/A 8412-2024 FSC-klagomål mail.docx", "A 8412-2024")</f>
        <v/>
      </c>
      <c r="AC24">
        <f>HYPERLINK("https://klasma.github.io/Logging_2280/tillsyn/A 8412-2024 tillsynsbegäran.docx", "A 8412-2024")</f>
        <v/>
      </c>
      <c r="AD24">
        <f>HYPERLINK("https://klasma.github.io/Logging_2280/tillsynsmail/A 8412-2024 tillsynsbegäran mail.docx", "A 8412-2024")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46286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44401-2023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46286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5.9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4</v>
      </c>
      <c r="V26" s="2" t="inlineStr">
        <is>
          <t>Gammelgransskål
Rynkskinn
Tretåig hackspett
Ullticka
Spillkråka</t>
        </is>
      </c>
      <c r="W26">
        <f>HYPERLINK("https://klasma.github.io/Logging_2280/artfynd/A 44401-2023 artfynd.xlsx", "A 44401-2023")</f>
        <v/>
      </c>
      <c r="X26">
        <f>HYPERLINK("https://klasma.github.io/Logging_2280/kartor/A 44401-2023 karta.png", "A 44401-2023")</f>
        <v/>
      </c>
      <c r="Y26">
        <f>HYPERLINK("https://klasma.github.io/Logging_2280/kartor_geotiff/A 44401-2023 georefererad karta.tif", "A 44401-2023")</f>
        <v/>
      </c>
      <c r="AA26">
        <f>HYPERLINK("https://klasma.github.io/Logging_2280/klagomål/A 44401-2023 FSC-klagomål.docx", "A 44401-2023")</f>
        <v/>
      </c>
      <c r="AB26">
        <f>HYPERLINK("https://klasma.github.io/Logging_2280/klagomålsmail/A 44401-2023 FSC-klagomål mail.docx", "A 44401-2023")</f>
        <v/>
      </c>
      <c r="AC26">
        <f>HYPERLINK("https://klasma.github.io/Logging_2280/tillsyn/A 44401-2023 tillsynsbegäran.docx", "A 44401-2023")</f>
        <v/>
      </c>
      <c r="AD26">
        <f>HYPERLINK("https://klasma.github.io/Logging_2280/tillsynsmail/A 44401-2023 tillsynsbegäran mail.docx", "A 44401-2023")</f>
        <v/>
      </c>
      <c r="AE26">
        <f>HYPERLINK("https://klasma.github.io/Logging_2280/fåglar/A 44401-2023 prioriterade fågelarter.docx", "A 44401-2023")</f>
        <v/>
      </c>
    </row>
    <row r="27" ht="15" customHeight="1">
      <c r="A27" t="inlineStr">
        <is>
          <t>A 48831-2024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46286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7.4</v>
      </c>
      <c r="J27" t="n">
        <v>2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Garnlav
Lunglav
Ullticka
Tvåblad
Blåsippa</t>
        </is>
      </c>
      <c r="W27">
        <f>HYPERLINK("https://klasma.github.io/Logging_2280/artfynd/A 48831-2024 artfynd.xlsx", "A 48831-2024")</f>
        <v/>
      </c>
      <c r="X27">
        <f>HYPERLINK("https://klasma.github.io/Logging_2280/kartor/A 48831-2024 karta.png", "A 48831-2024")</f>
        <v/>
      </c>
      <c r="Y27">
        <f>HYPERLINK("https://klasma.github.io/Logging_2280/kartor_geotiff/A 48831-2024 georefererad karta.tif", "A 48831-2024")</f>
        <v/>
      </c>
      <c r="AA27">
        <f>HYPERLINK("https://klasma.github.io/Logging_2280/klagomål/A 48831-2024 FSC-klagomål.docx", "A 48831-2024")</f>
        <v/>
      </c>
      <c r="AB27">
        <f>HYPERLINK("https://klasma.github.io/Logging_2280/klagomålsmail/A 48831-2024 FSC-klagomål mail.docx", "A 48831-2024")</f>
        <v/>
      </c>
      <c r="AC27">
        <f>HYPERLINK("https://klasma.github.io/Logging_2280/tillsyn/A 48831-2024 tillsynsbegäran.docx", "A 48831-2024")</f>
        <v/>
      </c>
      <c r="AD27">
        <f>HYPERLINK("https://klasma.github.io/Logging_2280/tillsynsmail/A 48831-2024 tillsynsbegäran mail.docx", "A 48831-2024")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46286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39049-2024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45548</v>
      </c>
      <c r="E29" s="1" t="n">
        <v>46286</v>
      </c>
      <c r="F29" t="inlineStr">
        <is>
          <t>VÄSTERNORRLANDS LÄN</t>
        </is>
      </c>
      <c r="G29" t="inlineStr">
        <is>
          <t>HÄRNÖSAND</t>
        </is>
      </c>
      <c r="I29" t="n">
        <v>12.5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7</v>
      </c>
      <c r="U29" t="n">
        <v>7</v>
      </c>
      <c r="V29" s="2" t="inlineStr">
        <is>
          <t>Garnlav
Gränsticka
Kötticka
Ullticka
Vedticka</t>
        </is>
      </c>
      <c r="W29">
        <f>HYPERLINK("https://klasma.github.io/Logging_2280/artfynd/A 39049-2024 artfynd.xlsx", "A 39049-2024")</f>
        <v/>
      </c>
      <c r="X29">
        <f>HYPERLINK("https://klasma.github.io/Logging_2280/kartor/A 39049-2024 karta.png", "A 39049-2024")</f>
        <v/>
      </c>
      <c r="Y29">
        <f>HYPERLINK("https://klasma.github.io/Logging_2280/kartor_geotiff/A 39049-2024 georefererad karta.tif", "A 39049-2024")</f>
        <v/>
      </c>
      <c r="AA29">
        <f>HYPERLINK("https://klasma.github.io/Logging_2280/klagomål/A 39049-2024 FSC-klagomål.docx", "A 39049-2024")</f>
        <v/>
      </c>
      <c r="AB29">
        <f>HYPERLINK("https://klasma.github.io/Logging_2280/klagomålsmail/A 39049-2024 FSC-klagomål mail.docx", "A 39049-2024")</f>
        <v/>
      </c>
      <c r="AC29">
        <f>HYPERLINK("https://klasma.github.io/Logging_2280/tillsyn/A 39049-2024 tillsynsbegäran.docx", "A 39049-2024")</f>
        <v/>
      </c>
      <c r="AD29">
        <f>HYPERLINK("https://klasma.github.io/Logging_2280/tillsynsmail/A 39049-2024 tillsynsbegäran mail.docx", "A 39049-2024")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46286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t="n">
        <v>0</v>
      </c>
      <c r="V30" s="2" t="inlineStr">
        <is>
          <t>Garnlav
Sötgräs
Ullticka
Strutbräken
Tibast</t>
        </is>
      </c>
      <c r="W30">
        <f>HYPERLINK("https://klasma.github.io/Logging_2280/artfynd/A 42961-2024 artfynd.xlsx", "A 42961-2024")</f>
        <v/>
      </c>
      <c r="X30">
        <f>HYPERLINK("https://klasma.github.io/Logging_2280/kartor/A 42961-2024 karta.png", "A 42961-2024")</f>
        <v/>
      </c>
      <c r="Y30">
        <f>HYPERLINK("https://klasma.github.io/Logging_2280/kartor_geotiff/A 42961-2024 georefererad karta.tif", "A 42961-2024")</f>
        <v/>
      </c>
      <c r="AA30">
        <f>HYPERLINK("https://klasma.github.io/Logging_2280/klagomål/A 42961-2024 FSC-klagomål.docx", "A 42961-2024")</f>
        <v/>
      </c>
      <c r="AB30">
        <f>HYPERLINK("https://klasma.github.io/Logging_2280/klagomålsmail/A 42961-2024 FSC-klagomål mail.docx", "A 42961-2024")</f>
        <v/>
      </c>
      <c r="AC30">
        <f>HYPERLINK("https://klasma.github.io/Logging_2280/tillsyn/A 42961-2024 tillsynsbegäran.docx", "A 42961-2024")</f>
        <v/>
      </c>
      <c r="AD30">
        <f>HYPERLINK("https://klasma.github.io/Logging_2280/tillsynsmail/A 42961-2024 tillsynsbegäran mail.docx", "A 42961-2024")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46286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46286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2795-2024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46286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Kyrkan</t>
        </is>
      </c>
      <c r="I33" t="n">
        <v>2.5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Rosenticka
Rynkskinn
Ullticka
Trådticka</t>
        </is>
      </c>
      <c r="W33">
        <f>HYPERLINK("https://klasma.github.io/Logging_2280/artfynd/A 2795-2024 artfynd.xlsx", "A 2795-2024")</f>
        <v/>
      </c>
      <c r="X33">
        <f>HYPERLINK("https://klasma.github.io/Logging_2280/kartor/A 2795-2024 karta.png", "A 2795-2024")</f>
        <v/>
      </c>
      <c r="Y33">
        <f>HYPERLINK("https://klasma.github.io/Logging_2280/kartor_geotiff/A 2795-2024 georefererad karta.tif", "A 2795-2024")</f>
        <v/>
      </c>
      <c r="AA33">
        <f>HYPERLINK("https://klasma.github.io/Logging_2280/klagomål/A 2795-2024 FSC-klagomål.docx", "A 2795-2024")</f>
        <v/>
      </c>
      <c r="AB33">
        <f>HYPERLINK("https://klasma.github.io/Logging_2280/klagomålsmail/A 2795-2024 FSC-klagomål mail.docx", "A 2795-2024")</f>
        <v/>
      </c>
      <c r="AC33">
        <f>HYPERLINK("https://klasma.github.io/Logging_2280/tillsyn/A 2795-2024 tillsynsbegäran.docx", "A 2795-2024")</f>
        <v/>
      </c>
      <c r="AD33">
        <f>HYPERLINK("https://klasma.github.io/Logging_2280/tillsynsmail/A 2795-2024 tillsynsbegäran mail.docx", "A 2795-2024")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46286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32639-2024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45513</v>
      </c>
      <c r="E35" s="1" t="n">
        <v>46286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1.3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4</v>
      </c>
      <c r="V35" s="2" t="inlineStr">
        <is>
          <t>Garnlav
Ullticka
Vitgrynig nållav
Skinnlav</t>
        </is>
      </c>
      <c r="W35">
        <f>HYPERLINK("https://klasma.github.io/Logging_2280/artfynd/A 32639-2024 artfynd.xlsx", "A 32639-2024")</f>
        <v/>
      </c>
      <c r="X35">
        <f>HYPERLINK("https://klasma.github.io/Logging_2280/kartor/A 32639-2024 karta.png", "A 32639-2024")</f>
        <v/>
      </c>
      <c r="Y35">
        <f>HYPERLINK("https://klasma.github.io/Logging_2280/kartor_geotiff/A 32639-2024 georefererad karta.tif", "A 32639-2024")</f>
        <v/>
      </c>
      <c r="AA35">
        <f>HYPERLINK("https://klasma.github.io/Logging_2280/klagomål/A 32639-2024 FSC-klagomål.docx", "A 32639-2024")</f>
        <v/>
      </c>
      <c r="AB35">
        <f>HYPERLINK("https://klasma.github.io/Logging_2280/klagomålsmail/A 32639-2024 FSC-klagomål mail.docx", "A 32639-2024")</f>
        <v/>
      </c>
      <c r="AC35">
        <f>HYPERLINK("https://klasma.github.io/Logging_2280/tillsyn/A 32639-2024 tillsynsbegäran.docx", "A 32639-2024")</f>
        <v/>
      </c>
      <c r="AD35">
        <f>HYPERLINK("https://klasma.github.io/Logging_2280/tillsynsmail/A 32639-2024 tillsynsbegäran mail.docx", "A 32639-2024")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46286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46286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6</v>
      </c>
      <c r="V37" s="2" t="inlineStr">
        <is>
          <t>Garnlav
Ullticka
Vedflamlav
Stuplav</t>
        </is>
      </c>
      <c r="W37">
        <f>HYPERLINK("https://klasma.github.io/Logging_2280/artfynd/A 41592-2024 artfynd.xlsx", "A 41592-2024")</f>
        <v/>
      </c>
      <c r="X37">
        <f>HYPERLINK("https://klasma.github.io/Logging_2280/kartor/A 41592-2024 karta.png", "A 41592-2024")</f>
        <v/>
      </c>
      <c r="Y37">
        <f>HYPERLINK("https://klasma.github.io/Logging_2280/kartor_geotiff/A 41592-2024 georefererad karta.tif", "A 41592-2024")</f>
        <v/>
      </c>
      <c r="AA37">
        <f>HYPERLINK("https://klasma.github.io/Logging_2280/klagomål/A 41592-2024 FSC-klagomål.docx", "A 41592-2024")</f>
        <v/>
      </c>
      <c r="AB37">
        <f>HYPERLINK("https://klasma.github.io/Logging_2280/klagomålsmail/A 41592-2024 FSC-klagomål mail.docx", "A 41592-2024")</f>
        <v/>
      </c>
      <c r="AC37">
        <f>HYPERLINK("https://klasma.github.io/Logging_2280/tillsyn/A 41592-2024 tillsynsbegäran.docx", "A 41592-2024")</f>
        <v/>
      </c>
      <c r="AD37">
        <f>HYPERLINK("https://klasma.github.io/Logging_2280/tillsynsmail/A 41592-2024 tillsynsbegäran mail.docx", "A 41592-2024")</f>
        <v/>
      </c>
    </row>
    <row r="38" ht="15" customHeight="1">
      <c r="A38" t="inlineStr">
        <is>
          <t>A 33828-2026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46286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1.9</v>
      </c>
      <c r="J38" t="n">
        <v>1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Rosenticka
Ullticka
Stor aspticka
Blåsippa</t>
        </is>
      </c>
      <c r="W38">
        <f>HYPERLINK("https://klasma.github.io/Logging_2280/artfynd/A 33828-2026 artfynd.xlsx", "A 33828-2026")</f>
        <v/>
      </c>
      <c r="X38">
        <f>HYPERLINK("https://klasma.github.io/Logging_2280/kartor/A 33828-2026 karta.png", "A 33828-2026")</f>
        <v/>
      </c>
      <c r="Y38">
        <f>HYPERLINK("https://klasma.github.io/Logging_2280/kartor_geotiff/A 33828-2026 georefererad karta.tif", "A 33828-2026")</f>
        <v/>
      </c>
      <c r="AA38">
        <f>HYPERLINK("https://klasma.github.io/Logging_2280/klagomål/A 33828-2026 FSC-klagomål.docx", "A 33828-2026")</f>
        <v/>
      </c>
      <c r="AB38">
        <f>HYPERLINK("https://klasma.github.io/Logging_2280/klagomålsmail/A 33828-2026 FSC-klagomål mail.docx", "A 33828-2026")</f>
        <v/>
      </c>
      <c r="AC38">
        <f>HYPERLINK("https://klasma.github.io/Logging_2280/tillsyn/A 33828-2026 tillsynsbegäran.docx", "A 33828-2026")</f>
        <v/>
      </c>
      <c r="AD38">
        <f>HYPERLINK("https://klasma.github.io/Logging_2280/tillsynsmail/A 33828-2026 tillsynsbegäran mail.docx", "A 33828-2026")</f>
        <v/>
      </c>
    </row>
    <row r="39" ht="15" customHeight="1">
      <c r="A39" t="inlineStr">
        <is>
          <t>A 34647-2025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45848</v>
      </c>
      <c r="E39" s="1" t="n">
        <v>46286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4.7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5</v>
      </c>
      <c r="U39" t="n">
        <v>3</v>
      </c>
      <c r="V39" s="2" t="inlineStr">
        <is>
          <t>Garnlav
Kolflarnlav
Lunglav
Korallblylav</t>
        </is>
      </c>
      <c r="W39">
        <f>HYPERLINK("https://klasma.github.io/Logging_2280/artfynd/A 34647-2025 artfynd.xlsx", "A 34647-2025")</f>
        <v/>
      </c>
      <c r="X39">
        <f>HYPERLINK("https://klasma.github.io/Logging_2280/kartor/A 34647-2025 karta.png", "A 34647-2025")</f>
        <v/>
      </c>
      <c r="Y39">
        <f>HYPERLINK("https://klasma.github.io/Logging_2280/kartor_geotiff/A 34647-2025 georefererad karta.tif", "A 34647-2025")</f>
        <v/>
      </c>
      <c r="AA39">
        <f>HYPERLINK("https://klasma.github.io/Logging_2280/klagomål/A 34647-2025 FSC-klagomål.docx", "A 34647-2025")</f>
        <v/>
      </c>
      <c r="AB39">
        <f>HYPERLINK("https://klasma.github.io/Logging_2280/klagomålsmail/A 34647-2025 FSC-klagomål mail.docx", "A 34647-2025")</f>
        <v/>
      </c>
      <c r="AC39">
        <f>HYPERLINK("https://klasma.github.io/Logging_2280/tillsyn/A 34647-2025 tillsynsbegäran.docx", "A 34647-2025")</f>
        <v/>
      </c>
      <c r="AD39">
        <f>HYPERLINK("https://klasma.github.io/Logging_2280/tillsynsmail/A 34647-2025 tillsynsbegäran mail.docx", "A 34647-2025")</f>
        <v/>
      </c>
    </row>
    <row r="40" ht="15" customHeight="1">
      <c r="A40" t="inlineStr">
        <is>
          <t>S 314-2024</t>
        </is>
      </c>
      <c r="B40" t="inlineStr">
        <is>
          <t>samrådsanmälan</t>
        </is>
      </c>
      <c r="C40" t="inlineStr">
        <is>
          <t>Skogsgödsling</t>
        </is>
      </c>
      <c r="D40" s="1" t="n">
        <v>45323</v>
      </c>
      <c r="E40" s="1" t="n">
        <v>46286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231.6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Lavskrika
Tibast
Blåsippa
Gråspett</t>
        </is>
      </c>
      <c r="W40">
        <f>HYPERLINK("https://klasma.github.io/Logging_2280/artfynd/S 314-2024 artfynd.xlsx", "S 314-2024")</f>
        <v/>
      </c>
      <c r="X40">
        <f>HYPERLINK("https://klasma.github.io/Logging_2280/kartor/S 314-2024 karta.png", "S 314-2024")</f>
        <v/>
      </c>
      <c r="Y40">
        <f>HYPERLINK("https://klasma.github.io/Logging_2280/kartor_geotiff/S 314-2024 georefererad karta.tif", "S 314-2024")</f>
        <v/>
      </c>
      <c r="AA40">
        <f>HYPERLINK("https://klasma.github.io/Logging_2280/klagomål/S 314-2024 FSC-klagomål.docx", "S 314-2024")</f>
        <v/>
      </c>
      <c r="AB40">
        <f>HYPERLINK("https://klasma.github.io/Logging_2280/klagomålsmail/S 314-2024 FSC-klagomål mail.docx", "S 314-2024")</f>
        <v/>
      </c>
      <c r="AC40">
        <f>HYPERLINK("https://klasma.github.io/Logging_2280/tillsyn/S 314-2024 tillsynsbegäran.docx", "S 314-2024")</f>
        <v/>
      </c>
      <c r="AD40">
        <f>HYPERLINK("https://klasma.github.io/Logging_2280/tillsynsmail/S 314-2024 tillsynsbegäran mail.docx", "S 314-2024")</f>
        <v/>
      </c>
      <c r="AE40">
        <f>HYPERLINK("https://klasma.github.io/Logging_2280/fåglar/S 314-2024 prioriterade fågelarter.docx", "S 314-2024")</f>
        <v/>
      </c>
    </row>
    <row r="41" ht="15" customHeight="1">
      <c r="A41" t="inlineStr">
        <is>
          <t>S 1508-2025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45790</v>
      </c>
      <c r="E41" s="1" t="n">
        <v>46286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384.2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Lappticka
Dropptaggsvamp
Korallblylav
Kopparödla</t>
        </is>
      </c>
      <c r="W41">
        <f>HYPERLINK("https://klasma.github.io/Logging_2280/artfynd/S 1508-2025 artfynd.xlsx", "S 1508-2025")</f>
        <v/>
      </c>
      <c r="X41">
        <f>HYPERLINK("https://klasma.github.io/Logging_2280/kartor/S 1508-2025 karta.png", "S 1508-2025")</f>
        <v/>
      </c>
      <c r="Y41">
        <f>HYPERLINK("https://klasma.github.io/Logging_2280/kartor_geotiff/S 1508-2025 georefererad karta.tif", "S 1508-2025")</f>
        <v/>
      </c>
      <c r="AA41">
        <f>HYPERLINK("https://klasma.github.io/Logging_2280/klagomål/S 1508-2025 FSC-klagomål.docx", "S 1508-2025")</f>
        <v/>
      </c>
      <c r="AB41">
        <f>HYPERLINK("https://klasma.github.io/Logging_2280/klagomålsmail/S 1508-2025 FSC-klagomål mail.docx", "S 1508-2025")</f>
        <v/>
      </c>
      <c r="AC41">
        <f>HYPERLINK("https://klasma.github.io/Logging_2280/tillsyn/S 1508-2025 tillsynsbegäran.docx", "S 1508-2025")</f>
        <v/>
      </c>
      <c r="AD41">
        <f>HYPERLINK("https://klasma.github.io/Logging_2280/tillsynsmail/S 1508-2025 tillsynsbegäran mail.docx", "S 1508-2025")</f>
        <v/>
      </c>
    </row>
    <row r="42" ht="15" customHeight="1">
      <c r="A42" t="inlineStr">
        <is>
          <t>A 18555-2022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46286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4.5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Garnlav
Knärot
Lunglav</t>
        </is>
      </c>
      <c r="W42">
        <f>HYPERLINK("https://klasma.github.io/Logging_2280/artfynd/A 18555-2022 artfynd.xlsx", "A 18555-2022")</f>
        <v/>
      </c>
      <c r="X42">
        <f>HYPERLINK("https://klasma.github.io/Logging_2280/kartor/A 18555-2022 karta.png", "A 18555-2022")</f>
        <v/>
      </c>
      <c r="Y42">
        <f>HYPERLINK("https://klasma.github.io/Logging_2280/kartor_geotiff/A 18555-2022 georefererad karta.tif", "A 18555-2022")</f>
        <v/>
      </c>
      <c r="Z42">
        <f>HYPERLINK("https://klasma.github.io/Logging_2280/knärot/A 18555-2022 karta knärot.png", "A 18555-2022")</f>
        <v/>
      </c>
      <c r="AA42">
        <f>HYPERLINK("https://klasma.github.io/Logging_2280/klagomål/A 18555-2022 FSC-klagomål.docx", "A 18555-2022")</f>
        <v/>
      </c>
      <c r="AB42">
        <f>HYPERLINK("https://klasma.github.io/Logging_2280/klagomålsmail/A 18555-2022 FSC-klagomål mail.docx", "A 18555-2022")</f>
        <v/>
      </c>
      <c r="AC42">
        <f>HYPERLINK("https://klasma.github.io/Logging_2280/tillsyn/A 18555-2022 tillsynsbegäran.docx", "A 18555-2022")</f>
        <v/>
      </c>
      <c r="AD42">
        <f>HYPERLINK("https://klasma.github.io/Logging_2280/tillsynsmail/A 18555-2022 tillsynsbegäran mail.docx", "A 18555-2022")</f>
        <v/>
      </c>
    </row>
    <row r="43" ht="15" customHeight="1">
      <c r="A43" t="inlineStr">
        <is>
          <t>A 29814-2022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44755</v>
      </c>
      <c r="E43" s="1" t="n">
        <v>46286</v>
      </c>
      <c r="F43" t="inlineStr">
        <is>
          <t>VÄSTERNORRLANDS LÄN</t>
        </is>
      </c>
      <c r="G43" t="inlineStr">
        <is>
          <t>HÄRNÖSAND</t>
        </is>
      </c>
      <c r="I43" t="n">
        <v>2.7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Sotvaxskivling
Sotriska
Svavelriska</t>
        </is>
      </c>
      <c r="W43">
        <f>HYPERLINK("https://klasma.github.io/Logging_2280/artfynd/A 29814-2022 artfynd.xlsx", "A 29814-2022")</f>
        <v/>
      </c>
      <c r="X43">
        <f>HYPERLINK("https://klasma.github.io/Logging_2280/kartor/A 29814-2022 karta.png", "A 29814-2022")</f>
        <v/>
      </c>
      <c r="Y43">
        <f>HYPERLINK("https://klasma.github.io/Logging_2280/kartor_geotiff/A 29814-2022 georefererad karta.tif", "A 29814-2022")</f>
        <v/>
      </c>
      <c r="AA43">
        <f>HYPERLINK("https://klasma.github.io/Logging_2280/klagomål/A 29814-2022 FSC-klagomål.docx", "A 29814-2022")</f>
        <v/>
      </c>
      <c r="AB43">
        <f>HYPERLINK("https://klasma.github.io/Logging_2280/klagomålsmail/A 29814-2022 FSC-klagomål mail.docx", "A 29814-2022")</f>
        <v/>
      </c>
      <c r="AC43">
        <f>HYPERLINK("https://klasma.github.io/Logging_2280/tillsyn/A 29814-2022 tillsynsbegäran.docx", "A 29814-2022")</f>
        <v/>
      </c>
      <c r="AD43">
        <f>HYPERLINK("https://klasma.github.io/Logging_2280/tillsynsmail/A 29814-2022 tillsynsbegäran mail.docx", "A 29814-2022")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46286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46286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Rynkskinn
Ullticka
Blåsippa</t>
        </is>
      </c>
      <c r="W45">
        <f>HYPERLINK("https://klasma.github.io/Logging_2280/artfynd/A 34689-2024 artfynd.xlsx", "A 34689-2024")</f>
        <v/>
      </c>
      <c r="X45">
        <f>HYPERLINK("https://klasma.github.io/Logging_2280/kartor/A 34689-2024 karta.png", "A 34689-2024")</f>
        <v/>
      </c>
      <c r="Y45">
        <f>HYPERLINK("https://klasma.github.io/Logging_2280/kartor_geotiff/A 34689-2024 georefererad karta.tif", "A 34689-2024")</f>
        <v/>
      </c>
      <c r="AA45">
        <f>HYPERLINK("https://klasma.github.io/Logging_2280/klagomål/A 34689-2024 FSC-klagomål.docx", "A 34689-2024")</f>
        <v/>
      </c>
      <c r="AB45">
        <f>HYPERLINK("https://klasma.github.io/Logging_2280/klagomålsmail/A 34689-2024 FSC-klagomål mail.docx", "A 34689-2024")</f>
        <v/>
      </c>
      <c r="AC45">
        <f>HYPERLINK("https://klasma.github.io/Logging_2280/tillsyn/A 34689-2024 tillsynsbegäran.docx", "A 34689-2024")</f>
        <v/>
      </c>
      <c r="AD45">
        <f>HYPERLINK("https://klasma.github.io/Logging_2280/tillsynsmail/A 34689-2024 tillsynsbegäran mail.docx", "A 34689-2024")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46286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46286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46286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32846-2026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46244</v>
      </c>
      <c r="E49" s="1" t="n">
        <v>46286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1.5</v>
      </c>
      <c r="J49" t="n">
        <v>1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Garnlav
Tretåig hackspett
Vitgrynig nållav</t>
        </is>
      </c>
      <c r="W49">
        <f>HYPERLINK("https://klasma.github.io/Logging_2280/artfynd/A 32846-2026 artfynd.xlsx", "A 32846-2026")</f>
        <v/>
      </c>
      <c r="X49">
        <f>HYPERLINK("https://klasma.github.io/Logging_2280/kartor/A 32846-2026 karta.png", "A 32846-2026")</f>
        <v/>
      </c>
      <c r="Y49">
        <f>HYPERLINK("https://klasma.github.io/Logging_2280/kartor_geotiff/A 32846-2026 georefererad karta.tif", "A 32846-2026")</f>
        <v/>
      </c>
      <c r="AA49">
        <f>HYPERLINK("https://klasma.github.io/Logging_2280/klagomål/A 32846-2026 FSC-klagomål.docx", "A 32846-2026")</f>
        <v/>
      </c>
      <c r="AB49">
        <f>HYPERLINK("https://klasma.github.io/Logging_2280/klagomålsmail/A 32846-2026 FSC-klagomål mail.docx", "A 32846-2026")</f>
        <v/>
      </c>
      <c r="AC49">
        <f>HYPERLINK("https://klasma.github.io/Logging_2280/tillsyn/A 32846-2026 tillsynsbegäran.docx", "A 32846-2026")</f>
        <v/>
      </c>
      <c r="AD49">
        <f>HYPERLINK("https://klasma.github.io/Logging_2280/tillsynsmail/A 32846-2026 tillsynsbegäran mail.docx", "A 32846-2026")</f>
        <v/>
      </c>
      <c r="AE49">
        <f>HYPERLINK("https://klasma.github.io/Logging_2280/fåglar/A 32846-2026 prioriterade fågelarter.docx", "A 32846-2026")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46286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46286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46286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54894-2024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46286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2.5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Lunglav</t>
        </is>
      </c>
      <c r="W53">
        <f>HYPERLINK("https://klasma.github.io/Logging_2280/artfynd/A 54894-2024 artfynd.xlsx", "A 54894-2024")</f>
        <v/>
      </c>
      <c r="X53">
        <f>HYPERLINK("https://klasma.github.io/Logging_2280/kartor/A 54894-2024 karta.png", "A 54894-2024")</f>
        <v/>
      </c>
      <c r="Y53">
        <f>HYPERLINK("https://klasma.github.io/Logging_2280/kartor_geotiff/A 54894-2024 georefererad karta.tif", "A 54894-2024")</f>
        <v/>
      </c>
      <c r="AA53">
        <f>HYPERLINK("https://klasma.github.io/Logging_2280/klagomål/A 54894-2024 FSC-klagomål.docx", "A 54894-2024")</f>
        <v/>
      </c>
      <c r="AB53">
        <f>HYPERLINK("https://klasma.github.io/Logging_2280/klagomålsmail/A 54894-2024 FSC-klagomål mail.docx", "A 54894-2024")</f>
        <v/>
      </c>
      <c r="AC53">
        <f>HYPERLINK("https://klasma.github.io/Logging_2280/tillsyn/A 54894-2024 tillsynsbegäran.docx", "A 54894-2024")</f>
        <v/>
      </c>
      <c r="AD53">
        <f>HYPERLINK("https://klasma.github.io/Logging_2280/tillsynsmail/A 54894-2024 tillsynsbegäran mail.docx", "A 54894-2024")</f>
        <v/>
      </c>
    </row>
    <row r="54" ht="15" customHeight="1">
      <c r="A54" t="inlineStr">
        <is>
          <t>A 11973-2024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46286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7.9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Violettgrå tagellav</t>
        </is>
      </c>
      <c r="W54">
        <f>HYPERLINK("https://klasma.github.io/Logging_2280/artfynd/A 11973-2024 artfynd.xlsx", "A 11973-2024")</f>
        <v/>
      </c>
      <c r="X54">
        <f>HYPERLINK("https://klasma.github.io/Logging_2280/kartor/A 11973-2024 karta.png", "A 11973-2024")</f>
        <v/>
      </c>
      <c r="Y54">
        <f>HYPERLINK("https://klasma.github.io/Logging_2280/kartor_geotiff/A 11973-2024 georefererad karta.tif", "A 11973-2024")</f>
        <v/>
      </c>
      <c r="AA54">
        <f>HYPERLINK("https://klasma.github.io/Logging_2280/klagomål/A 11973-2024 FSC-klagomål.docx", "A 11973-2024")</f>
        <v/>
      </c>
      <c r="AB54">
        <f>HYPERLINK("https://klasma.github.io/Logging_2280/klagomålsmail/A 11973-2024 FSC-klagomål mail.docx", "A 11973-2024")</f>
        <v/>
      </c>
      <c r="AC54">
        <f>HYPERLINK("https://klasma.github.io/Logging_2280/tillsyn/A 11973-2024 tillsynsbegäran.docx", "A 11973-2024")</f>
        <v/>
      </c>
      <c r="AD54">
        <f>HYPERLINK("https://klasma.github.io/Logging_2280/tillsynsmail/A 11973-2024 tillsynsbegäran mail.docx", "A 11973-2024")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46286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Tjäder</t>
        </is>
      </c>
      <c r="W55">
        <f>HYPERLINK("https://klasma.github.io/Logging_2280/artfynd/A 47487-2025 artfynd.xlsx", "A 47487-2025")</f>
        <v/>
      </c>
      <c r="X55">
        <f>HYPERLINK("https://klasma.github.io/Logging_2280/kartor/A 47487-2025 karta.png", "A 47487-2025")</f>
        <v/>
      </c>
      <c r="Y55">
        <f>HYPERLINK("https://klasma.github.io/Logging_2280/kartor_geotiff/A 47487-2025 georefererad karta.tif", "A 47487-2025")</f>
        <v/>
      </c>
      <c r="AA55">
        <f>HYPERLINK("https://klasma.github.io/Logging_2280/klagomål/A 47487-2025 FSC-klagomål.docx", "A 47487-2025")</f>
        <v/>
      </c>
      <c r="AB55">
        <f>HYPERLINK("https://klasma.github.io/Logging_2280/klagomålsmail/A 47487-2025 FSC-klagomål mail.docx", "A 47487-2025")</f>
        <v/>
      </c>
      <c r="AC55">
        <f>HYPERLINK("https://klasma.github.io/Logging_2280/tillsyn/A 47487-2025 tillsynsbegäran.docx", "A 47487-2025")</f>
        <v/>
      </c>
      <c r="AD55">
        <f>HYPERLINK("https://klasma.github.io/Logging_2280/tillsynsmail/A 47487-2025 tillsynsbegäran mail.docx", "A 47487-2025")</f>
        <v/>
      </c>
      <c r="AE55">
        <f>HYPERLINK("https://klasma.github.io/Logging_2280/fåglar/A 47487-2025 prioriterade fågelarter.docx", "A 47487-2025")</f>
        <v/>
      </c>
    </row>
    <row r="56" ht="15" customHeight="1">
      <c r="A56" t="inlineStr">
        <is>
          <t>A 43251-2025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45910</v>
      </c>
      <c r="E56" s="1" t="n">
        <v>46286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4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Gammelgransskål</t>
        </is>
      </c>
      <c r="W56">
        <f>HYPERLINK("https://klasma.github.io/Logging_2280/artfynd/A 43251-2025 artfynd.xlsx", "A 43251-2025")</f>
        <v/>
      </c>
      <c r="X56">
        <f>HYPERLINK("https://klasma.github.io/Logging_2280/kartor/A 43251-2025 karta.png", "A 43251-2025")</f>
        <v/>
      </c>
      <c r="Y56">
        <f>HYPERLINK("https://klasma.github.io/Logging_2280/kartor_geotiff/A 43251-2025 georefererad karta.tif", "A 43251-2025")</f>
        <v/>
      </c>
      <c r="AA56">
        <f>HYPERLINK("https://klasma.github.io/Logging_2280/klagomål/A 43251-2025 FSC-klagomål.docx", "A 43251-2025")</f>
        <v/>
      </c>
      <c r="AB56">
        <f>HYPERLINK("https://klasma.github.io/Logging_2280/klagomålsmail/A 43251-2025 FSC-klagomål mail.docx", "A 43251-2025")</f>
        <v/>
      </c>
      <c r="AC56">
        <f>HYPERLINK("https://klasma.github.io/Logging_2280/tillsyn/A 43251-2025 tillsynsbegäran.docx", "A 43251-2025")</f>
        <v/>
      </c>
      <c r="AD56">
        <f>HYPERLINK("https://klasma.github.io/Logging_2280/tillsynsmail/A 43251-2025 tillsynsbegäran mail.docx", "A 43251-2025")</f>
        <v/>
      </c>
    </row>
    <row r="57" ht="15" customHeight="1">
      <c r="A57" t="inlineStr">
        <is>
          <t>A 44901-2024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45575</v>
      </c>
      <c r="E57" s="1" t="n">
        <v>46286</v>
      </c>
      <c r="F57" t="inlineStr">
        <is>
          <t>VÄSTERNORRLANDS LÄN</t>
        </is>
      </c>
      <c r="G57" t="inlineStr">
        <is>
          <t>HÄRNÖSAND</t>
        </is>
      </c>
      <c r="I57" t="n">
        <v>3.3</v>
      </c>
      <c r="J57" t="n">
        <v>0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3</v>
      </c>
      <c r="U57" t="n">
        <v>3</v>
      </c>
      <c r="V57" s="2" t="inlineStr">
        <is>
          <t>Garnlav
Vedticka</t>
        </is>
      </c>
      <c r="W57">
        <f>HYPERLINK("https://klasma.github.io/Logging_2280/artfynd/A 44901-2024 artfynd.xlsx", "A 44901-2024")</f>
        <v/>
      </c>
      <c r="X57">
        <f>HYPERLINK("https://klasma.github.io/Logging_2280/kartor/A 44901-2024 karta.png", "A 44901-2024")</f>
        <v/>
      </c>
      <c r="Y57">
        <f>HYPERLINK("https://klasma.github.io/Logging_2280/kartor_geotiff/A 44901-2024 georefererad karta.tif", "A 44901-2024")</f>
        <v/>
      </c>
      <c r="AA57">
        <f>HYPERLINK("https://klasma.github.io/Logging_2280/klagomål/A 44901-2024 FSC-klagomål.docx", "A 44901-2024")</f>
        <v/>
      </c>
      <c r="AB57">
        <f>HYPERLINK("https://klasma.github.io/Logging_2280/klagomålsmail/A 44901-2024 FSC-klagomål mail.docx", "A 44901-2024")</f>
        <v/>
      </c>
      <c r="AC57">
        <f>HYPERLINK("https://klasma.github.io/Logging_2280/tillsyn/A 44901-2024 tillsynsbegäran.docx", "A 44901-2024")</f>
        <v/>
      </c>
      <c r="AD57">
        <f>HYPERLINK("https://klasma.github.io/Logging_2280/tillsynsmail/A 44901-2024 tillsynsbegäran mail.docx", "A 44901-2024")</f>
        <v/>
      </c>
    </row>
    <row r="58" ht="15" customHeight="1">
      <c r="A58" t="inlineStr">
        <is>
          <t>A 54964-2025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45967</v>
      </c>
      <c r="E58" s="1" t="n">
        <v>46286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7.2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54964-2025 artfynd.xlsx", "A 54964-2025")</f>
        <v/>
      </c>
      <c r="X58">
        <f>HYPERLINK("https://klasma.github.io/Logging_2280/kartor/A 54964-2025 karta.png", "A 54964-2025")</f>
        <v/>
      </c>
      <c r="Y58">
        <f>HYPERLINK("https://klasma.github.io/Logging_2280/kartor_geotiff/A 54964-2025 georefererad karta.tif", "A 54964-2025")</f>
        <v/>
      </c>
      <c r="AA58">
        <f>HYPERLINK("https://klasma.github.io/Logging_2280/klagomål/A 54964-2025 FSC-klagomål.docx", "A 54964-2025")</f>
        <v/>
      </c>
      <c r="AB58">
        <f>HYPERLINK("https://klasma.github.io/Logging_2280/klagomålsmail/A 54964-2025 FSC-klagomål mail.docx", "A 54964-2025")</f>
        <v/>
      </c>
      <c r="AC58">
        <f>HYPERLINK("https://klasma.github.io/Logging_2280/tillsyn/A 54964-2025 tillsynsbegäran.docx", "A 54964-2025")</f>
        <v/>
      </c>
      <c r="AD58">
        <f>HYPERLINK("https://klasma.github.io/Logging_2280/tillsynsmail/A 54964-2025 tillsynsbegäran mail.docx", "A 54964-2025")</f>
        <v/>
      </c>
    </row>
    <row r="59" ht="15" customHeight="1">
      <c r="A59" t="inlineStr">
        <is>
          <t>A 20771-2026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46141</v>
      </c>
      <c r="E59" s="1" t="n">
        <v>46286</v>
      </c>
      <c r="F59" t="inlineStr">
        <is>
          <t>VÄSTERNORRLANDS LÄN</t>
        </is>
      </c>
      <c r="G59" t="inlineStr">
        <is>
          <t>HÄRNÖSAND</t>
        </is>
      </c>
      <c r="I59" t="n">
        <v>1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Nordfladdermus
Tajgafladdermus</t>
        </is>
      </c>
      <c r="W59">
        <f>HYPERLINK("https://klasma.github.io/Logging_2280/artfynd/A 20771-2026 artfynd.xlsx", "A 20771-2026")</f>
        <v/>
      </c>
      <c r="X59">
        <f>HYPERLINK("https://klasma.github.io/Logging_2280/kartor/A 20771-2026 karta.png", "A 20771-2026")</f>
        <v/>
      </c>
      <c r="Y59">
        <f>HYPERLINK("https://klasma.github.io/Logging_2280/kartor_geotiff/A 20771-2026 georefererad karta.tif", "A 20771-2026")</f>
        <v/>
      </c>
      <c r="AA59">
        <f>HYPERLINK("https://klasma.github.io/Logging_2280/klagomål/A 20771-2026 FSC-klagomål.docx", "A 20771-2026")</f>
        <v/>
      </c>
      <c r="AB59">
        <f>HYPERLINK("https://klasma.github.io/Logging_2280/klagomålsmail/A 20771-2026 FSC-klagomål mail.docx", "A 20771-2026")</f>
        <v/>
      </c>
      <c r="AC59">
        <f>HYPERLINK("https://klasma.github.io/Logging_2280/tillsyn/A 20771-2026 tillsynsbegäran.docx", "A 20771-2026")</f>
        <v/>
      </c>
      <c r="AD59">
        <f>HYPERLINK("https://klasma.github.io/Logging_2280/tillsynsmail/A 20771-2026 tillsynsbegäran mail.docx", "A 20771-2026")</f>
        <v/>
      </c>
    </row>
    <row r="60" ht="15" customHeight="1">
      <c r="A60" t="inlineStr">
        <is>
          <t>A 52727-2022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46286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3.4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Korallblylav
Skinnlav</t>
        </is>
      </c>
      <c r="W60">
        <f>HYPERLINK("https://klasma.github.io/Logging_2280/artfynd/A 52727-2022 artfynd.xlsx", "A 52727-2022")</f>
        <v/>
      </c>
      <c r="X60">
        <f>HYPERLINK("https://klasma.github.io/Logging_2280/kartor/A 52727-2022 karta.png", "A 52727-2022")</f>
        <v/>
      </c>
      <c r="Y60">
        <f>HYPERLINK("https://klasma.github.io/Logging_2280/kartor_geotiff/A 52727-2022 georefererad karta.tif", "A 52727-2022")</f>
        <v/>
      </c>
      <c r="AA60">
        <f>HYPERLINK("https://klasma.github.io/Logging_2280/klagomål/A 52727-2022 FSC-klagomål.docx", "A 52727-2022")</f>
        <v/>
      </c>
      <c r="AB60">
        <f>HYPERLINK("https://klasma.github.io/Logging_2280/klagomålsmail/A 52727-2022 FSC-klagomål mail.docx", "A 52727-2022")</f>
        <v/>
      </c>
      <c r="AC60">
        <f>HYPERLINK("https://klasma.github.io/Logging_2280/tillsyn/A 52727-2022 tillsynsbegäran.docx", "A 52727-2022")</f>
        <v/>
      </c>
      <c r="AD60">
        <f>HYPERLINK("https://klasma.github.io/Logging_2280/tillsynsmail/A 52727-2022 tillsynsbegäran mail.docx", "A 52727-2022")</f>
        <v/>
      </c>
    </row>
    <row r="61" ht="15" customHeight="1">
      <c r="A61" t="inlineStr">
        <is>
          <t>A 32644-2024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45513</v>
      </c>
      <c r="E61" s="1" t="n">
        <v>46286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Ullticka
Skinnlav</t>
        </is>
      </c>
      <c r="W61">
        <f>HYPERLINK("https://klasma.github.io/Logging_2280/artfynd/A 32644-2024 artfynd.xlsx", "A 32644-2024")</f>
        <v/>
      </c>
      <c r="X61">
        <f>HYPERLINK("https://klasma.github.io/Logging_2280/kartor/A 32644-2024 karta.png", "A 32644-2024")</f>
        <v/>
      </c>
      <c r="Y61">
        <f>HYPERLINK("https://klasma.github.io/Logging_2280/kartor_geotiff/A 32644-2024 georefererad karta.tif", "A 32644-2024")</f>
        <v/>
      </c>
      <c r="AA61">
        <f>HYPERLINK("https://klasma.github.io/Logging_2280/klagomål/A 32644-2024 FSC-klagomål.docx", "A 32644-2024")</f>
        <v/>
      </c>
      <c r="AB61">
        <f>HYPERLINK("https://klasma.github.io/Logging_2280/klagomålsmail/A 32644-2024 FSC-klagomål mail.docx", "A 32644-2024")</f>
        <v/>
      </c>
      <c r="AC61">
        <f>HYPERLINK("https://klasma.github.io/Logging_2280/tillsyn/A 32644-2024 tillsynsbegäran.docx", "A 32644-2024")</f>
        <v/>
      </c>
      <c r="AD61">
        <f>HYPERLINK("https://klasma.github.io/Logging_2280/tillsynsmail/A 32644-2024 tillsynsbegäran mail.docx", "A 32644-2024")</f>
        <v/>
      </c>
    </row>
    <row r="62" ht="15" customHeight="1">
      <c r="A62" t="inlineStr">
        <is>
          <t>A 62351-2023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45267</v>
      </c>
      <c r="E62" s="1" t="n">
        <v>46286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2</v>
      </c>
      <c r="V62" s="2" t="inlineStr">
        <is>
          <t>Garnlav
Lunglav</t>
        </is>
      </c>
      <c r="W62">
        <f>HYPERLINK("https://klasma.github.io/Logging_2280/artfynd/A 62351-2023 artfynd.xlsx", "A 62351-2023")</f>
        <v/>
      </c>
      <c r="X62">
        <f>HYPERLINK("https://klasma.github.io/Logging_2280/kartor/A 62351-2023 karta.png", "A 62351-2023")</f>
        <v/>
      </c>
      <c r="Y62">
        <f>HYPERLINK("https://klasma.github.io/Logging_2280/kartor_geotiff/A 62351-2023 georefererad karta.tif", "A 62351-2023")</f>
        <v/>
      </c>
      <c r="AA62">
        <f>HYPERLINK("https://klasma.github.io/Logging_2280/klagomål/A 62351-2023 FSC-klagomål.docx", "A 62351-2023")</f>
        <v/>
      </c>
      <c r="AB62">
        <f>HYPERLINK("https://klasma.github.io/Logging_2280/klagomålsmail/A 62351-2023 FSC-klagomål mail.docx", "A 62351-2023")</f>
        <v/>
      </c>
      <c r="AC62">
        <f>HYPERLINK("https://klasma.github.io/Logging_2280/tillsyn/A 62351-2023 tillsynsbegäran.docx", "A 62351-2023")</f>
        <v/>
      </c>
      <c r="AD62">
        <f>HYPERLINK("https://klasma.github.io/Logging_2280/tillsynsmail/A 62351-2023 tillsynsbegäran mail.docx", "A 62351-2023")</f>
        <v/>
      </c>
    </row>
    <row r="63" ht="15" customHeight="1">
      <c r="A63" t="inlineStr">
        <is>
          <t>A 32857-2026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46244</v>
      </c>
      <c r="E63" s="1" t="n">
        <v>46286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1.9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Rynkskinn
Ullticka</t>
        </is>
      </c>
      <c r="W63">
        <f>HYPERLINK("https://klasma.github.io/Logging_2280/artfynd/A 32857-2026 artfynd.xlsx", "A 32857-2026")</f>
        <v/>
      </c>
      <c r="X63">
        <f>HYPERLINK("https://klasma.github.io/Logging_2280/kartor/A 32857-2026 karta.png", "A 32857-2026")</f>
        <v/>
      </c>
      <c r="Y63">
        <f>HYPERLINK("https://klasma.github.io/Logging_2280/kartor_geotiff/A 32857-2026 georefererad karta.tif", "A 32857-2026")</f>
        <v/>
      </c>
      <c r="AA63">
        <f>HYPERLINK("https://klasma.github.io/Logging_2280/klagomål/A 32857-2026 FSC-klagomål.docx", "A 32857-2026")</f>
        <v/>
      </c>
      <c r="AB63">
        <f>HYPERLINK("https://klasma.github.io/Logging_2280/klagomålsmail/A 32857-2026 FSC-klagomål mail.docx", "A 32857-2026")</f>
        <v/>
      </c>
      <c r="AC63">
        <f>HYPERLINK("https://klasma.github.io/Logging_2280/tillsyn/A 32857-2026 tillsynsbegäran.docx", "A 32857-2026")</f>
        <v/>
      </c>
      <c r="AD63">
        <f>HYPERLINK("https://klasma.github.io/Logging_2280/tillsynsmail/A 32857-2026 tillsynsbegäran mail.docx", "A 32857-2026")</f>
        <v/>
      </c>
    </row>
    <row r="64" ht="15" customHeight="1">
      <c r="A64" t="inlineStr">
        <is>
          <t>A 34545-2025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45847</v>
      </c>
      <c r="E64" s="1" t="n">
        <v>46286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Kyrkan</t>
        </is>
      </c>
      <c r="I64" t="n">
        <v>9.699999999999999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Tretåig hackspett
Korallblylav</t>
        </is>
      </c>
      <c r="W64">
        <f>HYPERLINK("https://klasma.github.io/Logging_2280/artfynd/A 34545-2025 artfynd.xlsx", "A 34545-2025")</f>
        <v/>
      </c>
      <c r="X64">
        <f>HYPERLINK("https://klasma.github.io/Logging_2280/kartor/A 34545-2025 karta.png", "A 34545-2025")</f>
        <v/>
      </c>
      <c r="Y64">
        <f>HYPERLINK("https://klasma.github.io/Logging_2280/kartor_geotiff/A 34545-2025 georefererad karta.tif", "A 34545-2025")</f>
        <v/>
      </c>
      <c r="AA64">
        <f>HYPERLINK("https://klasma.github.io/Logging_2280/klagomål/A 34545-2025 FSC-klagomål.docx", "A 34545-2025")</f>
        <v/>
      </c>
      <c r="AB64">
        <f>HYPERLINK("https://klasma.github.io/Logging_2280/klagomålsmail/A 34545-2025 FSC-klagomål mail.docx", "A 34545-2025")</f>
        <v/>
      </c>
      <c r="AC64">
        <f>HYPERLINK("https://klasma.github.io/Logging_2280/tillsyn/A 34545-2025 tillsynsbegäran.docx", "A 34545-2025")</f>
        <v/>
      </c>
      <c r="AD64">
        <f>HYPERLINK("https://klasma.github.io/Logging_2280/tillsynsmail/A 34545-2025 tillsynsbegäran mail.docx", "A 34545-2025")</f>
        <v/>
      </c>
      <c r="AE64">
        <f>HYPERLINK("https://klasma.github.io/Logging_2280/fåglar/A 34545-2025 prioriterade fågelarter.docx", "A 34545-2025")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46286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46286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46286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46286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40265-2024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46286</v>
      </c>
      <c r="F69" t="inlineStr">
        <is>
          <t>VÄSTERNORRLANDS LÄN</t>
        </is>
      </c>
      <c r="G69" t="inlineStr">
        <is>
          <t>HÄRNÖSAND</t>
        </is>
      </c>
      <c r="I69" t="n">
        <v>4.9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Stor aspticka</t>
        </is>
      </c>
      <c r="W69">
        <f>HYPERLINK("https://klasma.github.io/Logging_2280/artfynd/A 40265-2024 artfynd.xlsx", "A 40265-2024")</f>
        <v/>
      </c>
      <c r="X69">
        <f>HYPERLINK("https://klasma.github.io/Logging_2280/kartor/A 40265-2024 karta.png", "A 40265-2024")</f>
        <v/>
      </c>
      <c r="Y69">
        <f>HYPERLINK("https://klasma.github.io/Logging_2280/kartor_geotiff/A 40265-2024 georefererad karta.tif", "A 40265-2024")</f>
        <v/>
      </c>
      <c r="AA69">
        <f>HYPERLINK("https://klasma.github.io/Logging_2280/klagomål/A 40265-2024 FSC-klagomål.docx", "A 40265-2024")</f>
        <v/>
      </c>
      <c r="AB69">
        <f>HYPERLINK("https://klasma.github.io/Logging_2280/klagomålsmail/A 40265-2024 FSC-klagomål mail.docx", "A 40265-2024")</f>
        <v/>
      </c>
      <c r="AC69">
        <f>HYPERLINK("https://klasma.github.io/Logging_2280/tillsyn/A 40265-2024 tillsynsbegäran.docx", "A 40265-2024")</f>
        <v/>
      </c>
      <c r="AD69">
        <f>HYPERLINK("https://klasma.github.io/Logging_2280/tillsynsmail/A 40265-2024 tillsynsbegäran mail.docx", "A 40265-2024")</f>
        <v/>
      </c>
    </row>
    <row r="70" ht="15" customHeight="1">
      <c r="A70" t="inlineStr">
        <is>
          <t>A 24202-2024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46286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Garnlav</t>
        </is>
      </c>
      <c r="W70">
        <f>HYPERLINK("https://klasma.github.io/Logging_2280/artfynd/A 24202-2024 artfynd.xlsx", "A 24202-2024")</f>
        <v/>
      </c>
      <c r="X70">
        <f>HYPERLINK("https://klasma.github.io/Logging_2280/kartor/A 24202-2024 karta.png", "A 24202-2024")</f>
        <v/>
      </c>
      <c r="Y70">
        <f>HYPERLINK("https://klasma.github.io/Logging_2280/kartor_geotiff/A 24202-2024 georefererad karta.tif", "A 24202-2024")</f>
        <v/>
      </c>
      <c r="AA70">
        <f>HYPERLINK("https://klasma.github.io/Logging_2280/klagomål/A 24202-2024 FSC-klagomål.docx", "A 24202-2024")</f>
        <v/>
      </c>
      <c r="AB70">
        <f>HYPERLINK("https://klasma.github.io/Logging_2280/klagomålsmail/A 24202-2024 FSC-klagomål mail.docx", "A 24202-2024")</f>
        <v/>
      </c>
      <c r="AC70">
        <f>HYPERLINK("https://klasma.github.io/Logging_2280/tillsyn/A 24202-2024 tillsynsbegäran.docx", "A 24202-2024")</f>
        <v/>
      </c>
      <c r="AD70">
        <f>HYPERLINK("https://klasma.github.io/Logging_2280/tillsynsmail/A 24202-2024 tillsynsbegäran mail.docx", "A 24202-2024")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46286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46707-2024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46286</v>
      </c>
      <c r="F72" t="inlineStr">
        <is>
          <t>VÄSTERNORRLANDS LÄN</t>
        </is>
      </c>
      <c r="G72" t="inlineStr">
        <is>
          <t>HÄRNÖSAND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Tretåig hackspett</t>
        </is>
      </c>
      <c r="W72">
        <f>HYPERLINK("https://klasma.github.io/Logging_2280/artfynd/A 46707-2024 artfynd.xlsx", "A 46707-2024")</f>
        <v/>
      </c>
      <c r="X72">
        <f>HYPERLINK("https://klasma.github.io/Logging_2280/kartor/A 46707-2024 karta.png", "A 46707-2024")</f>
        <v/>
      </c>
      <c r="Y72">
        <f>HYPERLINK("https://klasma.github.io/Logging_2280/kartor_geotiff/A 46707-2024 georefererad karta.tif", "A 46707-2024")</f>
        <v/>
      </c>
      <c r="AA72">
        <f>HYPERLINK("https://klasma.github.io/Logging_2280/klagomål/A 46707-2024 FSC-klagomål.docx", "A 46707-2024")</f>
        <v/>
      </c>
      <c r="AB72">
        <f>HYPERLINK("https://klasma.github.io/Logging_2280/klagomålsmail/A 46707-2024 FSC-klagomål mail.docx", "A 46707-2024")</f>
        <v/>
      </c>
      <c r="AC72">
        <f>HYPERLINK("https://klasma.github.io/Logging_2280/tillsyn/A 46707-2024 tillsynsbegäran.docx", "A 46707-2024")</f>
        <v/>
      </c>
      <c r="AD72">
        <f>HYPERLINK("https://klasma.github.io/Logging_2280/tillsynsmail/A 46707-2024 tillsynsbegäran mail.docx", "A 46707-2024")</f>
        <v/>
      </c>
      <c r="AE72">
        <f>HYPERLINK("https://klasma.github.io/Logging_2280/fåglar/A 46707-2024 prioriterade fågelarter.docx", "A 46707-2024")</f>
        <v/>
      </c>
    </row>
    <row r="73" ht="15" customHeight="1">
      <c r="A73" t="inlineStr">
        <is>
          <t>A 8921-2024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46286</v>
      </c>
      <c r="F73" t="inlineStr">
        <is>
          <t>VÄSTERNORRLANDS LÄN</t>
        </is>
      </c>
      <c r="G73" t="inlineStr">
        <is>
          <t>HÄRNÖSAND</t>
        </is>
      </c>
      <c r="I73" t="n">
        <v>3.7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Apelsinticka</t>
        </is>
      </c>
      <c r="W73">
        <f>HYPERLINK("https://klasma.github.io/Logging_2280/artfynd/A 8921-2024 artfynd.xlsx", "A 8921-2024")</f>
        <v/>
      </c>
      <c r="X73">
        <f>HYPERLINK("https://klasma.github.io/Logging_2280/kartor/A 8921-2024 karta.png", "A 8921-2024")</f>
        <v/>
      </c>
      <c r="Y73">
        <f>HYPERLINK("https://klasma.github.io/Logging_2280/kartor_geotiff/A 8921-2024 georefererad karta.tif", "A 8921-2024")</f>
        <v/>
      </c>
      <c r="AA73">
        <f>HYPERLINK("https://klasma.github.io/Logging_2280/klagomål/A 8921-2024 FSC-klagomål.docx", "A 8921-2024")</f>
        <v/>
      </c>
      <c r="AB73">
        <f>HYPERLINK("https://klasma.github.io/Logging_2280/klagomålsmail/A 8921-2024 FSC-klagomål mail.docx", "A 8921-2024")</f>
        <v/>
      </c>
      <c r="AC73">
        <f>HYPERLINK("https://klasma.github.io/Logging_2280/tillsyn/A 8921-2024 tillsynsbegäran.docx", "A 8921-2024")</f>
        <v/>
      </c>
      <c r="AD73">
        <f>HYPERLINK("https://klasma.github.io/Logging_2280/tillsynsmail/A 8921-2024 tillsynsbegäran mail.docx", "A 8921-2024")</f>
        <v/>
      </c>
    </row>
    <row r="74" ht="15" customHeight="1">
      <c r="A74" t="inlineStr">
        <is>
          <t>A 7853-2024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46286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4.1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HYPERLINK("https://klasma.github.io/Logging_2280/artfynd/A 7853-2024 artfynd.xlsx", "A 7853-2024")</f>
        <v/>
      </c>
      <c r="X74">
        <f>HYPERLINK("https://klasma.github.io/Logging_2280/kartor/A 7853-2024 karta.png", "A 7853-2024")</f>
        <v/>
      </c>
      <c r="Y74">
        <f>HYPERLINK("https://klasma.github.io/Logging_2280/kartor_geotiff/A 7853-2024 georefererad karta.tif", "A 7853-2024")</f>
        <v/>
      </c>
      <c r="AA74">
        <f>HYPERLINK("https://klasma.github.io/Logging_2280/klagomål/A 7853-2024 FSC-klagomål.docx", "A 7853-2024")</f>
        <v/>
      </c>
      <c r="AB74">
        <f>HYPERLINK("https://klasma.github.io/Logging_2280/klagomålsmail/A 7853-2024 FSC-klagomål mail.docx", "A 7853-2024")</f>
        <v/>
      </c>
      <c r="AC74">
        <f>HYPERLINK("https://klasma.github.io/Logging_2280/tillsyn/A 7853-2024 tillsynsbegäran.docx", "A 7853-2024")</f>
        <v/>
      </c>
      <c r="AD74">
        <f>HYPERLINK("https://klasma.github.io/Logging_2280/tillsynsmail/A 7853-2024 tillsynsbegäran mail.docx", "A 7853-2024")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46286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45060-2025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46286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Gammelgransskål</t>
        </is>
      </c>
      <c r="W76">
        <f>HYPERLINK("https://klasma.github.io/Logging_2280/artfynd/A 45060-2025 artfynd.xlsx", "A 45060-2025")</f>
        <v/>
      </c>
      <c r="X76">
        <f>HYPERLINK("https://klasma.github.io/Logging_2280/kartor/A 45060-2025 karta.png", "A 45060-2025")</f>
        <v/>
      </c>
      <c r="Y76">
        <f>HYPERLINK("https://klasma.github.io/Logging_2280/kartor_geotiff/A 45060-2025 georefererad karta.tif", "A 45060-2025")</f>
        <v/>
      </c>
      <c r="AA76">
        <f>HYPERLINK("https://klasma.github.io/Logging_2280/klagomål/A 45060-2025 FSC-klagomål.docx", "A 45060-2025")</f>
        <v/>
      </c>
      <c r="AB76">
        <f>HYPERLINK("https://klasma.github.io/Logging_2280/klagomålsmail/A 45060-2025 FSC-klagomål mail.docx", "A 45060-2025")</f>
        <v/>
      </c>
      <c r="AC76">
        <f>HYPERLINK("https://klasma.github.io/Logging_2280/tillsyn/A 45060-2025 tillsynsbegäran.docx", "A 45060-2025")</f>
        <v/>
      </c>
      <c r="AD76">
        <f>HYPERLINK("https://klasma.github.io/Logging_2280/tillsynsmail/A 45060-2025 tillsynsbegäran mail.docx", "A 45060-2025")</f>
        <v/>
      </c>
    </row>
    <row r="77" ht="15" customHeight="1">
      <c r="A77" t="inlineStr">
        <is>
          <t>A 8407-2024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46286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Lunglav</t>
        </is>
      </c>
      <c r="W77">
        <f>HYPERLINK("https://klasma.github.io/Logging_2280/artfynd/A 8407-2024 artfynd.xlsx", "A 8407-2024")</f>
        <v/>
      </c>
      <c r="X77">
        <f>HYPERLINK("https://klasma.github.io/Logging_2280/kartor/A 8407-2024 karta.png", "A 8407-2024")</f>
        <v/>
      </c>
      <c r="Y77">
        <f>HYPERLINK("https://klasma.github.io/Logging_2280/kartor_geotiff/A 8407-2024 georefererad karta.tif", "A 8407-2024")</f>
        <v/>
      </c>
      <c r="AA77">
        <f>HYPERLINK("https://klasma.github.io/Logging_2280/klagomål/A 8407-2024 FSC-klagomål.docx", "A 8407-2024")</f>
        <v/>
      </c>
      <c r="AB77">
        <f>HYPERLINK("https://klasma.github.io/Logging_2280/klagomålsmail/A 8407-2024 FSC-klagomål mail.docx", "A 8407-2024")</f>
        <v/>
      </c>
      <c r="AC77">
        <f>HYPERLINK("https://klasma.github.io/Logging_2280/tillsyn/A 8407-2024 tillsynsbegäran.docx", "A 8407-2024")</f>
        <v/>
      </c>
      <c r="AD77">
        <f>HYPERLINK("https://klasma.github.io/Logging_2280/tillsynsmail/A 8407-2024 tillsynsbegäran mail.docx", "A 8407-2024")</f>
        <v/>
      </c>
    </row>
    <row r="78" ht="15" customHeight="1">
      <c r="A78" t="inlineStr">
        <is>
          <t>A 1190-2026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46286</v>
      </c>
      <c r="F78" t="inlineStr">
        <is>
          <t>VÄSTERNORRLANDS LÄN</t>
        </is>
      </c>
      <c r="G78" t="inlineStr">
        <is>
          <t>HÄRNÖSAND</t>
        </is>
      </c>
      <c r="I78" t="n">
        <v>3.5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Tretåig hackspett</t>
        </is>
      </c>
      <c r="W78">
        <f>HYPERLINK("https://klasma.github.io/Logging_2280/artfynd/A 1190-2026 artfynd.xlsx", "A 1190-2026")</f>
        <v/>
      </c>
      <c r="X78">
        <f>HYPERLINK("https://klasma.github.io/Logging_2280/kartor/A 1190-2026 karta.png", "A 1190-2026")</f>
        <v/>
      </c>
      <c r="Y78">
        <f>HYPERLINK("https://klasma.github.io/Logging_2280/kartor_geotiff/A 1190-2026 georefererad karta.tif", "A 1190-2026")</f>
        <v/>
      </c>
      <c r="AA78">
        <f>HYPERLINK("https://klasma.github.io/Logging_2280/klagomål/A 1190-2026 FSC-klagomål.docx", "A 1190-2026")</f>
        <v/>
      </c>
      <c r="AB78">
        <f>HYPERLINK("https://klasma.github.io/Logging_2280/klagomålsmail/A 1190-2026 FSC-klagomål mail.docx", "A 1190-2026")</f>
        <v/>
      </c>
      <c r="AC78">
        <f>HYPERLINK("https://klasma.github.io/Logging_2280/tillsyn/A 1190-2026 tillsynsbegäran.docx", "A 1190-2026")</f>
        <v/>
      </c>
      <c r="AD78">
        <f>HYPERLINK("https://klasma.github.io/Logging_2280/tillsynsmail/A 1190-2026 tillsynsbegäran mail.docx", "A 1190-2026")</f>
        <v/>
      </c>
      <c r="AE78">
        <f>HYPERLINK("https://klasma.github.io/Logging_2280/fåglar/A 1190-2026 prioriterade fågelarter.docx", "A 1190-2026")</f>
        <v/>
      </c>
    </row>
    <row r="79" ht="15" customHeight="1">
      <c r="A79" t="inlineStr">
        <is>
          <t>A 25340-2026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46176</v>
      </c>
      <c r="E79" s="1" t="n">
        <v>46286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Garnlav</t>
        </is>
      </c>
      <c r="W79">
        <f>HYPERLINK("https://klasma.github.io/Logging_2280/artfynd/A 25340-2026 artfynd.xlsx", "A 25340-2026")</f>
        <v/>
      </c>
      <c r="X79">
        <f>HYPERLINK("https://klasma.github.io/Logging_2280/kartor/A 25340-2026 karta.png", "A 25340-2026")</f>
        <v/>
      </c>
      <c r="Y79">
        <f>HYPERLINK("https://klasma.github.io/Logging_2280/kartor_geotiff/A 25340-2026 georefererad karta.tif", "A 25340-2026")</f>
        <v/>
      </c>
      <c r="AA79">
        <f>HYPERLINK("https://klasma.github.io/Logging_2280/klagomål/A 25340-2026 FSC-klagomål.docx", "A 25340-2026")</f>
        <v/>
      </c>
      <c r="AB79">
        <f>HYPERLINK("https://klasma.github.io/Logging_2280/klagomålsmail/A 25340-2026 FSC-klagomål mail.docx", "A 25340-2026")</f>
        <v/>
      </c>
      <c r="AC79">
        <f>HYPERLINK("https://klasma.github.io/Logging_2280/tillsyn/A 25340-2026 tillsynsbegäran.docx", "A 25340-2026")</f>
        <v/>
      </c>
      <c r="AD79">
        <f>HYPERLINK("https://klasma.github.io/Logging_2280/tillsynsmail/A 25340-2026 tillsynsbegäran mail.docx", "A 25340-2026")</f>
        <v/>
      </c>
    </row>
    <row r="80" ht="15" customHeight="1">
      <c r="A80" t="inlineStr">
        <is>
          <t>A 63724-2023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45276</v>
      </c>
      <c r="E80" s="1" t="n">
        <v>46286</v>
      </c>
      <c r="F80" t="inlineStr">
        <is>
          <t>VÄSTERNORRLANDS LÄN</t>
        </is>
      </c>
      <c r="G80" t="inlineStr">
        <is>
          <t>HÄRNÖSAND</t>
        </is>
      </c>
      <c r="I80" t="n">
        <v>10.1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Älg</t>
        </is>
      </c>
      <c r="W80">
        <f>HYPERLINK("https://klasma.github.io/Logging_2280/artfynd/A 63724-2023 artfynd.xlsx", "A 63724-2023")</f>
        <v/>
      </c>
      <c r="X80">
        <f>HYPERLINK("https://klasma.github.io/Logging_2280/kartor/A 63724-2023 karta.png", "A 63724-2023")</f>
        <v/>
      </c>
      <c r="Y80">
        <f>HYPERLINK("https://klasma.github.io/Logging_2280/kartor_geotiff/A 63724-2023 georefererad karta.tif", "A 63724-2023")</f>
        <v/>
      </c>
      <c r="AA80">
        <f>HYPERLINK("https://klasma.github.io/Logging_2280/klagomål/A 63724-2023 FSC-klagomål.docx", "A 63724-2023")</f>
        <v/>
      </c>
      <c r="AB80">
        <f>HYPERLINK("https://klasma.github.io/Logging_2280/klagomålsmail/A 63724-2023 FSC-klagomål mail.docx", "A 63724-2023")</f>
        <v/>
      </c>
      <c r="AC80">
        <f>HYPERLINK("https://klasma.github.io/Logging_2280/tillsyn/A 63724-2023 tillsynsbegäran.docx", "A 63724-2023")</f>
        <v/>
      </c>
      <c r="AD80">
        <f>HYPERLINK("https://klasma.github.io/Logging_2280/tillsynsmail/A 63724-2023 tillsynsbegäran mail.docx", "A 63724-2023")</f>
        <v/>
      </c>
    </row>
    <row r="81" ht="15" customHeight="1">
      <c r="A81" t="inlineStr">
        <is>
          <t>A 27457-2026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46286</v>
      </c>
      <c r="F81" t="inlineStr">
        <is>
          <t>VÄSTERNORRLANDS LÄN</t>
        </is>
      </c>
      <c r="G81" t="inlineStr">
        <is>
          <t>HÄRNÖSAND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HYPERLINK("https://klasma.github.io/Logging_2280/artfynd/A 27457-2026 artfynd.xlsx", "A 27457-2026")</f>
        <v/>
      </c>
      <c r="X81">
        <f>HYPERLINK("https://klasma.github.io/Logging_2280/kartor/A 27457-2026 karta.png", "A 27457-2026")</f>
        <v/>
      </c>
      <c r="Y81">
        <f>HYPERLINK("https://klasma.github.io/Logging_2280/kartor_geotiff/A 27457-2026 georefererad karta.tif", "A 27457-2026")</f>
        <v/>
      </c>
      <c r="AA81">
        <f>HYPERLINK("https://klasma.github.io/Logging_2280/klagomål/A 27457-2026 FSC-klagomål.docx", "A 27457-2026")</f>
        <v/>
      </c>
      <c r="AB81">
        <f>HYPERLINK("https://klasma.github.io/Logging_2280/klagomålsmail/A 27457-2026 FSC-klagomål mail.docx", "A 27457-2026")</f>
        <v/>
      </c>
      <c r="AC81">
        <f>HYPERLINK("https://klasma.github.io/Logging_2280/tillsyn/A 27457-2026 tillsynsbegäran.docx", "A 27457-2026")</f>
        <v/>
      </c>
      <c r="AD81">
        <f>HYPERLINK("https://klasma.github.io/Logging_2280/tillsynsmail/A 27457-2026 tillsynsbegäran mail.docx", "A 27457-2026")</f>
        <v/>
      </c>
    </row>
    <row r="82" ht="15" customHeight="1">
      <c r="A82" t="inlineStr">
        <is>
          <t>A 27923-2026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46286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9.300000000000001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Veckticka</t>
        </is>
      </c>
      <c r="W82">
        <f>HYPERLINK("https://klasma.github.io/Logging_2280/artfynd/A 27923-2026 artfynd.xlsx", "A 27923-2026")</f>
        <v/>
      </c>
      <c r="X82">
        <f>HYPERLINK("https://klasma.github.io/Logging_2280/kartor/A 27923-2026 karta.png", "A 27923-2026")</f>
        <v/>
      </c>
      <c r="Y82">
        <f>HYPERLINK("https://klasma.github.io/Logging_2280/kartor_geotiff/A 27923-2026 georefererad karta.tif", "A 27923-2026")</f>
        <v/>
      </c>
      <c r="AA82">
        <f>HYPERLINK("https://klasma.github.io/Logging_2280/klagomål/A 27923-2026 FSC-klagomål.docx", "A 27923-2026")</f>
        <v/>
      </c>
      <c r="AB82">
        <f>HYPERLINK("https://klasma.github.io/Logging_2280/klagomålsmail/A 27923-2026 FSC-klagomål mail.docx", "A 27923-2026")</f>
        <v/>
      </c>
      <c r="AC82">
        <f>HYPERLINK("https://klasma.github.io/Logging_2280/tillsyn/A 27923-2026 tillsynsbegäran.docx", "A 27923-2026")</f>
        <v/>
      </c>
      <c r="AD82">
        <f>HYPERLINK("https://klasma.github.io/Logging_2280/tillsynsmail/A 27923-2026 tillsynsbegäran mail.docx", "A 27923-2026")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46286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26664-2026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46286</v>
      </c>
      <c r="F84" t="inlineStr">
        <is>
          <t>VÄSTERNORRLANDS LÄN</t>
        </is>
      </c>
      <c r="G84" t="inlineStr">
        <is>
          <t>HÄRNÖSAND</t>
        </is>
      </c>
      <c r="I84" t="n">
        <v>4.8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Duvhök</t>
        </is>
      </c>
      <c r="W84">
        <f>HYPERLINK("https://klasma.github.io/Logging_2280/artfynd/A 26664-2026 artfynd.xlsx", "A 26664-2026")</f>
        <v/>
      </c>
      <c r="X84">
        <f>HYPERLINK("https://klasma.github.io/Logging_2280/kartor/A 26664-2026 karta.png", "A 26664-2026")</f>
        <v/>
      </c>
      <c r="Y84">
        <f>HYPERLINK("https://klasma.github.io/Logging_2280/kartor_geotiff/A 26664-2026 georefererad karta.tif", "A 26664-2026")</f>
        <v/>
      </c>
      <c r="AA84">
        <f>HYPERLINK("https://klasma.github.io/Logging_2280/klagomål/A 26664-2026 FSC-klagomål.docx", "A 26664-2026")</f>
        <v/>
      </c>
      <c r="AB84">
        <f>HYPERLINK("https://klasma.github.io/Logging_2280/klagomålsmail/A 26664-2026 FSC-klagomål mail.docx", "A 26664-2026")</f>
        <v/>
      </c>
      <c r="AC84">
        <f>HYPERLINK("https://klasma.github.io/Logging_2280/tillsyn/A 26664-2026 tillsynsbegäran.docx", "A 26664-2026")</f>
        <v/>
      </c>
      <c r="AD84">
        <f>HYPERLINK("https://klasma.github.io/Logging_2280/tillsynsmail/A 26664-2026 tillsynsbegäran mail.docx", "A 26664-2026")</f>
        <v/>
      </c>
      <c r="AE84">
        <f>HYPERLINK("https://klasma.github.io/Logging_2280/fåglar/A 26664-2026 prioriterade fågelarter.docx", "A 26664-2026")</f>
        <v/>
      </c>
    </row>
    <row r="85" ht="15" customHeight="1">
      <c r="A85" t="inlineStr">
        <is>
          <t>A 11546-2024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46286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Garnlav</t>
        </is>
      </c>
      <c r="W85">
        <f>HYPERLINK("https://klasma.github.io/Logging_2280/artfynd/A 11546-2024 artfynd.xlsx", "A 11546-2024")</f>
        <v/>
      </c>
      <c r="X85">
        <f>HYPERLINK("https://klasma.github.io/Logging_2280/kartor/A 11546-2024 karta.png", "A 11546-2024")</f>
        <v/>
      </c>
      <c r="Y85">
        <f>HYPERLINK("https://klasma.github.io/Logging_2280/kartor_geotiff/A 11546-2024 georefererad karta.tif", "A 11546-2024")</f>
        <v/>
      </c>
      <c r="AA85">
        <f>HYPERLINK("https://klasma.github.io/Logging_2280/klagomål/A 11546-2024 FSC-klagomål.docx", "A 11546-2024")</f>
        <v/>
      </c>
      <c r="AB85">
        <f>HYPERLINK("https://klasma.github.io/Logging_2280/klagomålsmail/A 11546-2024 FSC-klagomål mail.docx", "A 11546-2024")</f>
        <v/>
      </c>
      <c r="AC85">
        <f>HYPERLINK("https://klasma.github.io/Logging_2280/tillsyn/A 11546-2024 tillsynsbegäran.docx", "A 11546-2024")</f>
        <v/>
      </c>
      <c r="AD85">
        <f>HYPERLINK("https://klasma.github.io/Logging_2280/tillsynsmail/A 11546-2024 tillsynsbegäran mail.docx", "A 11546-2024")</f>
        <v/>
      </c>
    </row>
    <row r="86" ht="15" customHeight="1">
      <c r="A86" t="inlineStr">
        <is>
          <t>A 18583-2026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46286</v>
      </c>
      <c r="F86" t="inlineStr">
        <is>
          <t>VÄSTERNORRLANDS LÄN</t>
        </is>
      </c>
      <c r="G86" t="inlineStr">
        <is>
          <t>HÄRNÖSAND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Violettgrå tagellav</t>
        </is>
      </c>
      <c r="W86">
        <f>HYPERLINK("https://klasma.github.io/Logging_2280/artfynd/A 18583-2026 artfynd.xlsx", "A 18583-2026")</f>
        <v/>
      </c>
      <c r="X86">
        <f>HYPERLINK("https://klasma.github.io/Logging_2280/kartor/A 18583-2026 karta.png", "A 18583-2026")</f>
        <v/>
      </c>
      <c r="Y86">
        <f>HYPERLINK("https://klasma.github.io/Logging_2280/kartor_geotiff/A 18583-2026 georefererad karta.tif", "A 18583-2026")</f>
        <v/>
      </c>
      <c r="AA86">
        <f>HYPERLINK("https://klasma.github.io/Logging_2280/klagomål/A 18583-2026 FSC-klagomål.docx", "A 18583-2026")</f>
        <v/>
      </c>
      <c r="AB86">
        <f>HYPERLINK("https://klasma.github.io/Logging_2280/klagomålsmail/A 18583-2026 FSC-klagomål mail.docx", "A 18583-2026")</f>
        <v/>
      </c>
      <c r="AC86">
        <f>HYPERLINK("https://klasma.github.io/Logging_2280/tillsyn/A 18583-2026 tillsynsbegäran.docx", "A 18583-2026")</f>
        <v/>
      </c>
      <c r="AD86">
        <f>HYPERLINK("https://klasma.github.io/Logging_2280/tillsynsmail/A 18583-2026 tillsynsbegäran mail.docx", "A 18583-2026")</f>
        <v/>
      </c>
    </row>
    <row r="87" ht="15" customHeight="1">
      <c r="A87" t="inlineStr">
        <is>
          <t>A 43541-2022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44837</v>
      </c>
      <c r="E87" s="1" t="n">
        <v>46286</v>
      </c>
      <c r="F87" t="inlineStr">
        <is>
          <t>VÄSTERNORRLANDS LÄN</t>
        </is>
      </c>
      <c r="G87" t="inlineStr">
        <is>
          <t>HÄRNÖSAND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Sötgräs</t>
        </is>
      </c>
      <c r="W87">
        <f>HYPERLINK("https://klasma.github.io/Logging_2280/artfynd/A 43541-2022 artfynd.xlsx", "A 43541-2022")</f>
        <v/>
      </c>
      <c r="X87">
        <f>HYPERLINK("https://klasma.github.io/Logging_2280/kartor/A 43541-2022 karta.png", "A 43541-2022")</f>
        <v/>
      </c>
      <c r="Y87">
        <f>HYPERLINK("https://klasma.github.io/Logging_2280/kartor_geotiff/A 43541-2022 georefererad karta.tif", "A 43541-2022")</f>
        <v/>
      </c>
      <c r="AA87">
        <f>HYPERLINK("https://klasma.github.io/Logging_2280/klagomål/A 43541-2022 FSC-klagomål.docx", "A 43541-2022")</f>
        <v/>
      </c>
      <c r="AB87">
        <f>HYPERLINK("https://klasma.github.io/Logging_2280/klagomålsmail/A 43541-2022 FSC-klagomål mail.docx", "A 43541-2022")</f>
        <v/>
      </c>
      <c r="AC87">
        <f>HYPERLINK("https://klasma.github.io/Logging_2280/tillsyn/A 43541-2022 tillsynsbegäran.docx", "A 43541-2022")</f>
        <v/>
      </c>
      <c r="AD87">
        <f>HYPERLINK("https://klasma.github.io/Logging_2280/tillsynsmail/A 43541-2022 tillsynsbegäran mail.docx", "A 43541-2022")</f>
        <v/>
      </c>
    </row>
    <row r="88" ht="15" customHeight="1">
      <c r="A88" t="inlineStr">
        <is>
          <t>A 19077-2024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45428</v>
      </c>
      <c r="E88" s="1" t="n">
        <v>46286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Garnlav</t>
        </is>
      </c>
      <c r="W88">
        <f>HYPERLINK("https://klasma.github.io/Logging_2280/artfynd/A 19077-2024 artfynd.xlsx", "A 19077-2024")</f>
        <v/>
      </c>
      <c r="X88">
        <f>HYPERLINK("https://klasma.github.io/Logging_2280/kartor/A 19077-2024 karta.png", "A 19077-2024")</f>
        <v/>
      </c>
      <c r="Y88">
        <f>HYPERLINK("https://klasma.github.io/Logging_2280/kartor_geotiff/A 19077-2024 georefererad karta.tif", "A 19077-2024")</f>
        <v/>
      </c>
      <c r="AA88">
        <f>HYPERLINK("https://klasma.github.io/Logging_2280/klagomål/A 19077-2024 FSC-klagomål.docx", "A 19077-2024")</f>
        <v/>
      </c>
      <c r="AB88">
        <f>HYPERLINK("https://klasma.github.io/Logging_2280/klagomålsmail/A 19077-2024 FSC-klagomål mail.docx", "A 19077-2024")</f>
        <v/>
      </c>
      <c r="AC88">
        <f>HYPERLINK("https://klasma.github.io/Logging_2280/tillsyn/A 19077-2024 tillsynsbegäran.docx", "A 19077-2024")</f>
        <v/>
      </c>
      <c r="AD88">
        <f>HYPERLINK("https://klasma.github.io/Logging_2280/tillsynsmail/A 19077-2024 tillsynsbegäran mail.docx", "A 19077-2024")</f>
        <v/>
      </c>
    </row>
    <row r="89" ht="15" customHeight="1">
      <c r="A89" t="inlineStr">
        <is>
          <t>A 26086-2025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46286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Orre</t>
        </is>
      </c>
      <c r="W89">
        <f>HYPERLINK("https://klasma.github.io/Logging_2280/artfynd/A 26086-2025 artfynd.xlsx", "A 26086-2025")</f>
        <v/>
      </c>
      <c r="X89">
        <f>HYPERLINK("https://klasma.github.io/Logging_2280/kartor/A 26086-2025 karta.png", "A 26086-2025")</f>
        <v/>
      </c>
      <c r="Y89">
        <f>HYPERLINK("https://klasma.github.io/Logging_2280/kartor_geotiff/A 26086-2025 georefererad karta.tif", "A 26086-2025")</f>
        <v/>
      </c>
      <c r="AA89">
        <f>HYPERLINK("https://klasma.github.io/Logging_2280/klagomål/A 26086-2025 FSC-klagomål.docx", "A 26086-2025")</f>
        <v/>
      </c>
      <c r="AB89">
        <f>HYPERLINK("https://klasma.github.io/Logging_2280/klagomålsmail/A 26086-2025 FSC-klagomål mail.docx", "A 26086-2025")</f>
        <v/>
      </c>
      <c r="AC89">
        <f>HYPERLINK("https://klasma.github.io/Logging_2280/tillsyn/A 26086-2025 tillsynsbegäran.docx", "A 26086-2025")</f>
        <v/>
      </c>
      <c r="AD89">
        <f>HYPERLINK("https://klasma.github.io/Logging_2280/tillsynsmail/A 26086-2025 tillsynsbegäran mail.docx", "A 26086-2025")</f>
        <v/>
      </c>
      <c r="AE89">
        <f>HYPERLINK("https://klasma.github.io/Logging_2280/fåglar/A 26086-2025 prioriterade fågelarter.docx", "A 26086-2025")</f>
        <v/>
      </c>
    </row>
    <row r="90" ht="15" customHeight="1">
      <c r="A90" t="inlineStr">
        <is>
          <t>A 26174-2025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46286</v>
      </c>
      <c r="F90" t="inlineStr">
        <is>
          <t>VÄSTERNORRLANDS LÄN</t>
        </is>
      </c>
      <c r="G90" t="inlineStr">
        <is>
          <t>HÄRNÖSAND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Lunglav</t>
        </is>
      </c>
      <c r="W90">
        <f>HYPERLINK("https://klasma.github.io/Logging_2280/artfynd/A 26174-2025 artfynd.xlsx", "A 26174-2025")</f>
        <v/>
      </c>
      <c r="X90">
        <f>HYPERLINK("https://klasma.github.io/Logging_2280/kartor/A 26174-2025 karta.png", "A 26174-2025")</f>
        <v/>
      </c>
      <c r="Y90">
        <f>HYPERLINK("https://klasma.github.io/Logging_2280/kartor_geotiff/A 26174-2025 georefererad karta.tif", "A 26174-2025")</f>
        <v/>
      </c>
      <c r="AA90">
        <f>HYPERLINK("https://klasma.github.io/Logging_2280/klagomål/A 26174-2025 FSC-klagomål.docx", "A 26174-2025")</f>
        <v/>
      </c>
      <c r="AB90">
        <f>HYPERLINK("https://klasma.github.io/Logging_2280/klagomålsmail/A 26174-2025 FSC-klagomål mail.docx", "A 26174-2025")</f>
        <v/>
      </c>
      <c r="AC90">
        <f>HYPERLINK("https://klasma.github.io/Logging_2280/tillsyn/A 26174-2025 tillsynsbegäran.docx", "A 26174-2025")</f>
        <v/>
      </c>
      <c r="AD90">
        <f>HYPERLINK("https://klasma.github.io/Logging_2280/tillsynsmail/A 26174-2025 tillsynsbegäran mail.docx", "A 26174-2025")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46286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46286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44664</v>
      </c>
      <c r="E93" s="1" t="n">
        <v>46286</v>
      </c>
      <c r="F93" t="inlineStr">
        <is>
          <t>VÄSTERNORRLANDS LÄN</t>
        </is>
      </c>
      <c r="G93" t="inlineStr">
        <is>
          <t>HÄRNÖSAND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46286</v>
      </c>
      <c r="F94" t="inlineStr">
        <is>
          <t>VÄSTERNORRLANDS LÄN</t>
        </is>
      </c>
      <c r="G94" t="inlineStr">
        <is>
          <t>HÄRNÖSAND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46286</v>
      </c>
      <c r="F95" t="inlineStr">
        <is>
          <t>VÄSTERNORRLANDS LÄN</t>
        </is>
      </c>
      <c r="G95" t="inlineStr">
        <is>
          <t>HÄRNÖSAND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69929-2021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46286</v>
      </c>
      <c r="F96" t="inlineStr">
        <is>
          <t>VÄSTERNORRLANDS LÄN</t>
        </is>
      </c>
      <c r="G96" t="inlineStr">
        <is>
          <t>HÄRNÖSAND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46286</v>
      </c>
      <c r="F97" t="inlineStr">
        <is>
          <t>VÄSTERNORRLANDS LÄN</t>
        </is>
      </c>
      <c r="G97" t="inlineStr">
        <is>
          <t>HÄRNÖSAND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46286</v>
      </c>
      <c r="F98" t="inlineStr">
        <is>
          <t>VÄSTERNORRLANDS LÄN</t>
        </is>
      </c>
      <c r="G98" t="inlineStr">
        <is>
          <t>HÄRNÖSAND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46286</v>
      </c>
      <c r="F99" t="inlineStr">
        <is>
          <t>VÄSTERNORRLANDS LÄN</t>
        </is>
      </c>
      <c r="G99" t="inlineStr">
        <is>
          <t>HÄRNÖSAND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44720</v>
      </c>
      <c r="E100" s="1" t="n">
        <v>46286</v>
      </c>
      <c r="F100" t="inlineStr">
        <is>
          <t>VÄSTERNORRLANDS LÄN</t>
        </is>
      </c>
      <c r="G100" t="inlineStr">
        <is>
          <t>HÄRNÖSAND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46286</v>
      </c>
      <c r="F101" t="inlineStr">
        <is>
          <t>VÄSTERNORRLANDS LÄN</t>
        </is>
      </c>
      <c r="G101" t="inlineStr">
        <is>
          <t>HÄRNÖSAND</t>
        </is>
      </c>
      <c r="H101" t="inlineStr">
        <is>
          <t>SCA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44824</v>
      </c>
      <c r="E102" s="1" t="n">
        <v>46286</v>
      </c>
      <c r="F102" t="inlineStr">
        <is>
          <t>VÄSTERNORRLANDS LÄN</t>
        </is>
      </c>
      <c r="G102" t="inlineStr">
        <is>
          <t>HÄRNÖSAND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58149-2021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46286</v>
      </c>
      <c r="F103" t="inlineStr">
        <is>
          <t>VÄSTERNORRLANDS LÄN</t>
        </is>
      </c>
      <c r="G103" t="inlineStr">
        <is>
          <t>HÄRNÖSAND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46286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64933-2021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44512</v>
      </c>
      <c r="E105" s="1" t="n">
        <v>46286</v>
      </c>
      <c r="F105" t="inlineStr">
        <is>
          <t>VÄSTERNORRLANDS LÄN</t>
        </is>
      </c>
      <c r="G105" t="inlineStr">
        <is>
          <t>HÄRNÖSAND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66159-2021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46286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46286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56008-2021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46286</v>
      </c>
      <c r="F108" t="inlineStr">
        <is>
          <t>VÄSTERNORRLANDS LÄN</t>
        </is>
      </c>
      <c r="G108" t="inlineStr">
        <is>
          <t>HÄRNÖSAND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46286</v>
      </c>
      <c r="F109" t="inlineStr">
        <is>
          <t>VÄSTERNORRLANDS LÄN</t>
        </is>
      </c>
      <c r="G109" t="inlineStr">
        <is>
          <t>HÄRNÖSAND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55790-2021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44476</v>
      </c>
      <c r="E110" s="1" t="n">
        <v>46286</v>
      </c>
      <c r="F110" t="inlineStr">
        <is>
          <t>VÄSTERNORRLANDS LÄN</t>
        </is>
      </c>
      <c r="G110" t="inlineStr">
        <is>
          <t>HÄRNÖSAND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44664</v>
      </c>
      <c r="E111" s="1" t="n">
        <v>46286</v>
      </c>
      <c r="F111" t="inlineStr">
        <is>
          <t>VÄSTERNORRLANDS LÄN</t>
        </is>
      </c>
      <c r="G111" t="inlineStr">
        <is>
          <t>HÄRNÖSAND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36649-2022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44804</v>
      </c>
      <c r="E112" s="1" t="n">
        <v>46286</v>
      </c>
      <c r="F112" t="inlineStr">
        <is>
          <t>VÄSTERNORRLANDS LÄN</t>
        </is>
      </c>
      <c r="G112" t="inlineStr">
        <is>
          <t>HÄRNÖSAND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46286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46286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46286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44581</v>
      </c>
      <c r="E116" s="1" t="n">
        <v>46286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44848</v>
      </c>
      <c r="E117" s="1" t="n">
        <v>46286</v>
      </c>
      <c r="F117" t="inlineStr">
        <is>
          <t>VÄSTERNORRLANDS LÄN</t>
        </is>
      </c>
      <c r="G117" t="inlineStr">
        <is>
          <t>HÄRNÖSAND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53568-2021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46286</v>
      </c>
      <c r="F118" t="inlineStr">
        <is>
          <t>VÄSTERNORRLANDS LÄN</t>
        </is>
      </c>
      <c r="G118" t="inlineStr">
        <is>
          <t>HÄRNÖSAND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46286</v>
      </c>
      <c r="F119" t="inlineStr">
        <is>
          <t>VÄSTERNORRLANDS LÄN</t>
        </is>
      </c>
      <c r="G119" t="inlineStr">
        <is>
          <t>HÄRNÖSAND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46286</v>
      </c>
      <c r="F120" t="inlineStr">
        <is>
          <t>VÄSTERNORRLANDS LÄN</t>
        </is>
      </c>
      <c r="G120" t="inlineStr">
        <is>
          <t>HÄRNÖSAND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46286</v>
      </c>
      <c r="F121" t="inlineStr">
        <is>
          <t>VÄSTERNORRLANDS LÄN</t>
        </is>
      </c>
      <c r="G121" t="inlineStr">
        <is>
          <t>HÄRNÖSAND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46286</v>
      </c>
      <c r="F122" t="inlineStr">
        <is>
          <t>VÄSTERNORRLANDS LÄN</t>
        </is>
      </c>
      <c r="G122" t="inlineStr">
        <is>
          <t>HÄRNÖSAND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46286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46286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46286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44571</v>
      </c>
      <c r="E126" s="1" t="n">
        <v>46286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46286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46286</v>
      </c>
      <c r="F128" t="inlineStr">
        <is>
          <t>VÄSTERNORRLANDS LÄN</t>
        </is>
      </c>
      <c r="G128" t="inlineStr">
        <is>
          <t>HÄRNÖSAND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70603-2021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44536</v>
      </c>
      <c r="E129" s="1" t="n">
        <v>46286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67078-2021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46286</v>
      </c>
      <c r="F130" t="inlineStr">
        <is>
          <t>VÄSTERNORRLANDS LÄN</t>
        </is>
      </c>
      <c r="G130" t="inlineStr">
        <is>
          <t>HÄRNÖSAND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46286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46286</v>
      </c>
      <c r="F132" t="inlineStr">
        <is>
          <t>VÄSTERNORRLANDS LÄN</t>
        </is>
      </c>
      <c r="G132" t="inlineStr">
        <is>
          <t>HÄRNÖSAND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44641</v>
      </c>
      <c r="E133" s="1" t="n">
        <v>46286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28325-2022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44747</v>
      </c>
      <c r="E134" s="1" t="n">
        <v>46286</v>
      </c>
      <c r="F134" t="inlineStr">
        <is>
          <t>VÄSTERNORRLANDS LÄN</t>
        </is>
      </c>
      <c r="G134" t="inlineStr">
        <is>
          <t>HÄRNÖSAND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44858</v>
      </c>
      <c r="E135" s="1" t="n">
        <v>46286</v>
      </c>
      <c r="F135" t="inlineStr">
        <is>
          <t>VÄSTERNORRLANDS LÄN</t>
        </is>
      </c>
      <c r="G135" t="inlineStr">
        <is>
          <t>HÄRNÖSAND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54251-2022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44881</v>
      </c>
      <c r="E136" s="1" t="n">
        <v>46286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46286</v>
      </c>
      <c r="F137" t="inlineStr">
        <is>
          <t>VÄSTERNORRLANDS LÄN</t>
        </is>
      </c>
      <c r="G137" t="inlineStr">
        <is>
          <t>HÄRNÖSAND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49039-2023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45209</v>
      </c>
      <c r="E138" s="1" t="n">
        <v>46286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46286</v>
      </c>
      <c r="F139" t="inlineStr">
        <is>
          <t>VÄSTERNORRLANDS LÄN</t>
        </is>
      </c>
      <c r="G139" t="inlineStr">
        <is>
          <t>HÄRNÖSAND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46286</v>
      </c>
      <c r="F140" t="inlineStr">
        <is>
          <t>VÄSTERNORRLANDS LÄN</t>
        </is>
      </c>
      <c r="G140" t="inlineStr">
        <is>
          <t>HÄRNÖSAND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46286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46286</v>
      </c>
      <c r="F142" t="inlineStr">
        <is>
          <t>VÄSTERNORRLANDS LÄN</t>
        </is>
      </c>
      <c r="G142" t="inlineStr">
        <is>
          <t>HÄRNÖSAND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45462</v>
      </c>
      <c r="E143" s="1" t="n">
        <v>46286</v>
      </c>
      <c r="F143" t="inlineStr">
        <is>
          <t>VÄSTERNORRLANDS LÄN</t>
        </is>
      </c>
      <c r="G143" t="inlineStr">
        <is>
          <t>HÄRNÖSAND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45762</v>
      </c>
      <c r="E144" s="1" t="n">
        <v>46286</v>
      </c>
      <c r="F144" t="inlineStr">
        <is>
          <t>VÄSTERNORRLANDS LÄN</t>
        </is>
      </c>
      <c r="G144" t="inlineStr">
        <is>
          <t>HÄRNÖSAND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45293</v>
      </c>
      <c r="E145" s="1" t="n">
        <v>46286</v>
      </c>
      <c r="F145" t="inlineStr">
        <is>
          <t>VÄSTERNORRLANDS LÄN</t>
        </is>
      </c>
      <c r="G145" t="inlineStr">
        <is>
          <t>HÄRNÖSAND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46286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46286</v>
      </c>
      <c r="F147" t="inlineStr">
        <is>
          <t>VÄSTERNORRLANDS LÄN</t>
        </is>
      </c>
      <c r="G147" t="inlineStr">
        <is>
          <t>HÄRNÖSAND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46286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46286</v>
      </c>
      <c r="F149" t="inlineStr">
        <is>
          <t>VÄSTERNORRLANDS LÄN</t>
        </is>
      </c>
      <c r="G149" t="inlineStr">
        <is>
          <t>HÄRNÖSAND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45126</v>
      </c>
      <c r="E150" s="1" t="n">
        <v>46286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45352</v>
      </c>
      <c r="E151" s="1" t="n">
        <v>46286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47939-2022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44853</v>
      </c>
      <c r="E152" s="1" t="n">
        <v>46286</v>
      </c>
      <c r="F152" t="inlineStr">
        <is>
          <t>VÄSTERNORRLANDS LÄN</t>
        </is>
      </c>
      <c r="G152" t="inlineStr">
        <is>
          <t>HÄRNÖSAND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46286</v>
      </c>
      <c r="F153" t="inlineStr">
        <is>
          <t>VÄSTERNORRLANDS LÄN</t>
        </is>
      </c>
      <c r="G153" t="inlineStr">
        <is>
          <t>HÄRNÖSAND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46286</v>
      </c>
      <c r="F154" t="inlineStr">
        <is>
          <t>VÄSTERNORRLANDS LÄN</t>
        </is>
      </c>
      <c r="G154" t="inlineStr">
        <is>
          <t>HÄRNÖSAND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46286</v>
      </c>
      <c r="F155" t="inlineStr">
        <is>
          <t>VÄSTERNORRLANDS LÄN</t>
        </is>
      </c>
      <c r="G155" t="inlineStr">
        <is>
          <t>HÄRNÖSAND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45228</v>
      </c>
      <c r="E156" s="1" t="n">
        <v>46286</v>
      </c>
      <c r="F156" t="inlineStr">
        <is>
          <t>VÄSTERNORRLANDS LÄN</t>
        </is>
      </c>
      <c r="G156" t="inlineStr">
        <is>
          <t>HÄRNÖSAND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45300</v>
      </c>
      <c r="E157" s="1" t="n">
        <v>46286</v>
      </c>
      <c r="F157" t="inlineStr">
        <is>
          <t>VÄSTERNORRLANDS LÄN</t>
        </is>
      </c>
      <c r="G157" t="inlineStr">
        <is>
          <t>HÄRNÖSAND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46286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46286</v>
      </c>
      <c r="F159" t="inlineStr">
        <is>
          <t>VÄSTERNORRLANDS LÄN</t>
        </is>
      </c>
      <c r="G159" t="inlineStr">
        <is>
          <t>HÄRNÖSAND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46286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45106</v>
      </c>
      <c r="E161" s="1" t="n">
        <v>46286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45531</v>
      </c>
      <c r="E162" s="1" t="n">
        <v>46286</v>
      </c>
      <c r="F162" t="inlineStr">
        <is>
          <t>VÄSTERNORRLANDS LÄN</t>
        </is>
      </c>
      <c r="G162" t="inlineStr">
        <is>
          <t>HÄRNÖSAND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44853</v>
      </c>
      <c r="E163" s="1" t="n">
        <v>46286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65222-2023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45289</v>
      </c>
      <c r="E164" s="1" t="n">
        <v>46286</v>
      </c>
      <c r="F164" t="inlineStr">
        <is>
          <t>VÄSTERNORRLANDS LÄN</t>
        </is>
      </c>
      <c r="G164" t="inlineStr">
        <is>
          <t>HÄRNÖSAND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46286</v>
      </c>
      <c r="F165" t="inlineStr">
        <is>
          <t>VÄSTERNORRLANDS LÄN</t>
        </is>
      </c>
      <c r="G165" t="inlineStr">
        <is>
          <t>HÄRNÖSAND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64023-2023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45278</v>
      </c>
      <c r="E166" s="1" t="n">
        <v>46286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65224-2023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45289</v>
      </c>
      <c r="E167" s="1" t="n">
        <v>46286</v>
      </c>
      <c r="F167" t="inlineStr">
        <is>
          <t>VÄSTERNORRLANDS LÄN</t>
        </is>
      </c>
      <c r="G167" t="inlineStr">
        <is>
          <t>HÄRNÖSAND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46286</v>
      </c>
      <c r="F168" t="inlineStr">
        <is>
          <t>VÄSTERNORRLANDS LÄN</t>
        </is>
      </c>
      <c r="G168" t="inlineStr">
        <is>
          <t>HÄRNÖSAND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45578</v>
      </c>
      <c r="E169" s="1" t="n">
        <v>46286</v>
      </c>
      <c r="F169" t="inlineStr">
        <is>
          <t>VÄSTERNORRLANDS LÄN</t>
        </is>
      </c>
      <c r="G169" t="inlineStr">
        <is>
          <t>HÄRNÖSAND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45578</v>
      </c>
      <c r="E170" s="1" t="n">
        <v>46286</v>
      </c>
      <c r="F170" t="inlineStr">
        <is>
          <t>VÄSTERNORRLANDS LÄN</t>
        </is>
      </c>
      <c r="G170" t="inlineStr">
        <is>
          <t>HÄRNÖSAND</t>
        </is>
      </c>
      <c r="I170" t="n">
        <v>10.3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44728</v>
      </c>
      <c r="E171" s="1" t="n">
        <v>46286</v>
      </c>
      <c r="F171" t="inlineStr">
        <is>
          <t>VÄSTERNORRLANDS LÄN</t>
        </is>
      </c>
      <c r="G171" t="inlineStr">
        <is>
          <t>HÄRNÖSAND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46286</v>
      </c>
      <c r="F172" t="inlineStr">
        <is>
          <t>VÄSTERNORRLANDS LÄN</t>
        </is>
      </c>
      <c r="G172" t="inlineStr">
        <is>
          <t>HÄRNÖSAND</t>
        </is>
      </c>
      <c r="I172" t="n">
        <v>9.300000000000001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45757</v>
      </c>
      <c r="E173" s="1" t="n">
        <v>46286</v>
      </c>
      <c r="F173" t="inlineStr">
        <is>
          <t>VÄSTERNORRLANDS LÄN</t>
        </is>
      </c>
      <c r="G173" t="inlineStr">
        <is>
          <t>HÄRNÖSAND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45496</v>
      </c>
      <c r="E174" s="1" t="n">
        <v>46286</v>
      </c>
      <c r="F174" t="inlineStr">
        <is>
          <t>VÄSTERNORRLANDS LÄN</t>
        </is>
      </c>
      <c r="G174" t="inlineStr">
        <is>
          <t>HÄRNÖSAND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45764</v>
      </c>
      <c r="E175" s="1" t="n">
        <v>46286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29429-2024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45483</v>
      </c>
      <c r="E176" s="1" t="n">
        <v>46286</v>
      </c>
      <c r="F176" t="inlineStr">
        <is>
          <t>VÄSTERNORRLANDS LÄN</t>
        </is>
      </c>
      <c r="G176" t="inlineStr">
        <is>
          <t>HÄRNÖSAND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46286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46286</v>
      </c>
      <c r="F178" t="inlineStr">
        <is>
          <t>VÄSTERNORRLANDS LÄN</t>
        </is>
      </c>
      <c r="G178" t="inlineStr">
        <is>
          <t>HÄRNÖSAND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45173</v>
      </c>
      <c r="E179" s="1" t="n">
        <v>46286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40452-2023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45168</v>
      </c>
      <c r="E180" s="1" t="n">
        <v>46286</v>
      </c>
      <c r="F180" t="inlineStr">
        <is>
          <t>VÄSTERNORRLANDS LÄN</t>
        </is>
      </c>
      <c r="G180" t="inlineStr">
        <is>
          <t>HÄRNÖSAND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46286</v>
      </c>
      <c r="F181" t="inlineStr">
        <is>
          <t>VÄSTERNORRLANDS LÄN</t>
        </is>
      </c>
      <c r="G181" t="inlineStr">
        <is>
          <t>HÄRNÖSAND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46286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46286</v>
      </c>
      <c r="F183" t="inlineStr">
        <is>
          <t>VÄSTERNORRLANDS LÄN</t>
        </is>
      </c>
      <c r="G183" t="inlineStr">
        <is>
          <t>HÄRNÖSAND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45097</v>
      </c>
      <c r="E184" s="1" t="n">
        <v>46286</v>
      </c>
      <c r="F184" t="inlineStr">
        <is>
          <t>VÄSTERNORRLANDS LÄN</t>
        </is>
      </c>
      <c r="G184" t="inlineStr">
        <is>
          <t>HÄRNÖSAND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46286</v>
      </c>
      <c r="F185" t="inlineStr">
        <is>
          <t>VÄSTERNORRLANDS LÄN</t>
        </is>
      </c>
      <c r="G185" t="inlineStr">
        <is>
          <t>HÄRNÖSAND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45617</v>
      </c>
      <c r="E186" s="1" t="n">
        <v>46286</v>
      </c>
      <c r="F186" t="inlineStr">
        <is>
          <t>VÄSTERNORRLANDS LÄN</t>
        </is>
      </c>
      <c r="G186" t="inlineStr">
        <is>
          <t>HÄRNÖSAND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46286</v>
      </c>
      <c r="F187" t="inlineStr">
        <is>
          <t>VÄSTERNORRLANDS LÄN</t>
        </is>
      </c>
      <c r="G187" t="inlineStr">
        <is>
          <t>HÄRNÖSAND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45352</v>
      </c>
      <c r="E188" s="1" t="n">
        <v>46286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46286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46286</v>
      </c>
      <c r="F190" t="inlineStr">
        <is>
          <t>VÄSTERNORRLANDS LÄN</t>
        </is>
      </c>
      <c r="G190" t="inlineStr">
        <is>
          <t>HÄRNÖSAND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45761</v>
      </c>
      <c r="E191" s="1" t="n">
        <v>46286</v>
      </c>
      <c r="F191" t="inlineStr">
        <is>
          <t>VÄSTERNORRLANDS LÄN</t>
        </is>
      </c>
      <c r="G191" t="inlineStr">
        <is>
          <t>HÄRNÖSAND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45342</v>
      </c>
      <c r="E192" s="1" t="n">
        <v>46286</v>
      </c>
      <c r="F192" t="inlineStr">
        <is>
          <t>VÄSTERNORRLANDS LÄN</t>
        </is>
      </c>
      <c r="G192" t="inlineStr">
        <is>
          <t>HÄRNÖSAND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35387-2024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46286</v>
      </c>
      <c r="F193" t="inlineStr">
        <is>
          <t>VÄSTERNORRLANDS LÄN</t>
        </is>
      </c>
      <c r="G193" t="inlineStr">
        <is>
          <t>HÄRNÖSAND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59408-2024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45638</v>
      </c>
      <c r="E194" s="1" t="n">
        <v>46286</v>
      </c>
      <c r="F194" t="inlineStr">
        <is>
          <t>VÄSTERNORRLANDS LÄN</t>
        </is>
      </c>
      <c r="G194" t="inlineStr">
        <is>
          <t>HÄRNÖSAND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46286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45293</v>
      </c>
      <c r="E196" s="1" t="n">
        <v>46286</v>
      </c>
      <c r="F196" t="inlineStr">
        <is>
          <t>VÄSTERNORRLANDS LÄN</t>
        </is>
      </c>
      <c r="G196" t="inlineStr">
        <is>
          <t>HÄRNÖSAND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46286</v>
      </c>
      <c r="F197" t="inlineStr">
        <is>
          <t>VÄSTERNORRLANDS LÄN</t>
        </is>
      </c>
      <c r="G197" t="inlineStr">
        <is>
          <t>HÄRNÖSAND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47944-2022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44853</v>
      </c>
      <c r="E198" s="1" t="n">
        <v>46286</v>
      </c>
      <c r="F198" t="inlineStr">
        <is>
          <t>VÄSTERNORRLANDS LÄN</t>
        </is>
      </c>
      <c r="G198" t="inlineStr">
        <is>
          <t>HÄRNÖSAND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46286</v>
      </c>
      <c r="F199" t="inlineStr">
        <is>
          <t>VÄSTERNORRLANDS LÄN</t>
        </is>
      </c>
      <c r="G199" t="inlineStr">
        <is>
          <t>HÄRNÖSAND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46286</v>
      </c>
      <c r="F200" t="inlineStr">
        <is>
          <t>VÄSTERNORRLANDS LÄN</t>
        </is>
      </c>
      <c r="G200" t="inlineStr">
        <is>
          <t>HÄRNÖSAND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46286</v>
      </c>
      <c r="F201" t="inlineStr">
        <is>
          <t>VÄSTERNORRLANDS LÄN</t>
        </is>
      </c>
      <c r="G201" t="inlineStr">
        <is>
          <t>HÄRNÖSAND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46286</v>
      </c>
      <c r="F202" t="inlineStr">
        <is>
          <t>VÄSTERNORRLANDS LÄN</t>
        </is>
      </c>
      <c r="G202" t="inlineStr">
        <is>
          <t>HÄRNÖSAND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46286</v>
      </c>
      <c r="F203" t="inlineStr">
        <is>
          <t>VÄSTERNORRLANDS LÄN</t>
        </is>
      </c>
      <c r="G203" t="inlineStr">
        <is>
          <t>HÄRNÖSAND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45293</v>
      </c>
      <c r="E204" s="1" t="n">
        <v>46286</v>
      </c>
      <c r="F204" t="inlineStr">
        <is>
          <t>VÄSTERNORRLANDS LÄN</t>
        </is>
      </c>
      <c r="G204" t="inlineStr">
        <is>
          <t>HÄRNÖSAND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45884</v>
      </c>
      <c r="E205" s="1" t="n">
        <v>46286</v>
      </c>
      <c r="F205" t="inlineStr">
        <is>
          <t>VÄSTERNORRLANDS LÄN</t>
        </is>
      </c>
      <c r="G205" t="inlineStr">
        <is>
          <t>HÄRNÖSAND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46286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45890</v>
      </c>
      <c r="E207" s="1" t="n">
        <v>46286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46286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46286</v>
      </c>
      <c r="F209" t="inlineStr">
        <is>
          <t>VÄSTERNORRLANDS LÄN</t>
        </is>
      </c>
      <c r="G209" t="inlineStr">
        <is>
          <t>HÄRNÖSAND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46286</v>
      </c>
      <c r="F210" t="inlineStr">
        <is>
          <t>VÄSTERNORRLANDS LÄN</t>
        </is>
      </c>
      <c r="G210" t="inlineStr">
        <is>
          <t>HÄRNÖSAND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45072</v>
      </c>
      <c r="E211" s="1" t="n">
        <v>46286</v>
      </c>
      <c r="F211" t="inlineStr">
        <is>
          <t>VÄSTERNORRLANDS LÄN</t>
        </is>
      </c>
      <c r="G211" t="inlineStr">
        <is>
          <t>HÄRNÖSAND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44936</v>
      </c>
      <c r="E212" s="1" t="n">
        <v>46286</v>
      </c>
      <c r="F212" t="inlineStr">
        <is>
          <t>VÄSTERNORRLANDS LÄN</t>
        </is>
      </c>
      <c r="G212" t="inlineStr">
        <is>
          <t>HÄRNÖSAND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41562-2025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45901</v>
      </c>
      <c r="E213" s="1" t="n">
        <v>46286</v>
      </c>
      <c r="F213" t="inlineStr">
        <is>
          <t>VÄSTERNORRLANDS LÄN</t>
        </is>
      </c>
      <c r="G213" t="inlineStr">
        <is>
          <t>HÄRNÖSAND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32180-2024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45511</v>
      </c>
      <c r="E214" s="1" t="n">
        <v>46286</v>
      </c>
      <c r="F214" t="inlineStr">
        <is>
          <t>VÄSTERNORRLANDS LÄN</t>
        </is>
      </c>
      <c r="G214" t="inlineStr">
        <is>
          <t>HÄRNÖSAND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46065</v>
      </c>
      <c r="E215" s="1" t="n">
        <v>46286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Kyrkan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46286</v>
      </c>
      <c r="F216" t="inlineStr">
        <is>
          <t>VÄSTERNORRLANDS LÄN</t>
        </is>
      </c>
      <c r="G216" t="inlineStr">
        <is>
          <t>HÄRNÖSAND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45749</v>
      </c>
      <c r="E217" s="1" t="n">
        <v>46286</v>
      </c>
      <c r="F217" t="inlineStr">
        <is>
          <t>VÄSTERNORRLANDS LÄN</t>
        </is>
      </c>
      <c r="G217" t="inlineStr">
        <is>
          <t>HÄRNÖSAND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46286</v>
      </c>
      <c r="F218" t="inlineStr">
        <is>
          <t>VÄSTERNORRLANDS LÄN</t>
        </is>
      </c>
      <c r="G218" t="inlineStr">
        <is>
          <t>HÄRNÖSAND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45904</v>
      </c>
      <c r="E219" s="1" t="n">
        <v>46286</v>
      </c>
      <c r="F219" t="inlineStr">
        <is>
          <t>VÄSTERNORRLANDS LÄN</t>
        </is>
      </c>
      <c r="G219" t="inlineStr">
        <is>
          <t>HÄRNÖSAND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46024</v>
      </c>
      <c r="E220" s="1" t="n">
        <v>46286</v>
      </c>
      <c r="F220" t="inlineStr">
        <is>
          <t>VÄSTERNORRLANDS LÄN</t>
        </is>
      </c>
      <c r="G220" t="inlineStr">
        <is>
          <t>HÄRNÖSAND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25007-2022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44728</v>
      </c>
      <c r="E221" s="1" t="n">
        <v>46286</v>
      </c>
      <c r="F221" t="inlineStr">
        <is>
          <t>VÄSTERNORRLANDS LÄN</t>
        </is>
      </c>
      <c r="G221" t="inlineStr">
        <is>
          <t>HÄRNÖSAND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45825</v>
      </c>
      <c r="E222" s="1" t="n">
        <v>46286</v>
      </c>
      <c r="F222" t="inlineStr">
        <is>
          <t>VÄSTERNORRLANDS LÄN</t>
        </is>
      </c>
      <c r="G222" t="inlineStr">
        <is>
          <t>HÄRNÖSAND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44971</v>
      </c>
      <c r="E223" s="1" t="n">
        <v>46286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34612-2024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45526</v>
      </c>
      <c r="E224" s="1" t="n">
        <v>46286</v>
      </c>
      <c r="F224" t="inlineStr">
        <is>
          <t>VÄSTERNORRLANDS LÄN</t>
        </is>
      </c>
      <c r="G224" t="inlineStr">
        <is>
          <t>HÄRNÖSAND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46286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46286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46286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34011-2024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45523</v>
      </c>
      <c r="E228" s="1" t="n">
        <v>46286</v>
      </c>
      <c r="F228" t="inlineStr">
        <is>
          <t>VÄSTERNORRLANDS LÄN</t>
        </is>
      </c>
      <c r="G228" t="inlineStr">
        <is>
          <t>HÄRNÖSAND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46286</v>
      </c>
      <c r="F229" t="inlineStr">
        <is>
          <t>VÄSTERNORRLANDS LÄN</t>
        </is>
      </c>
      <c r="G229" t="inlineStr">
        <is>
          <t>HÄRNÖSAND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46286</v>
      </c>
      <c r="F230" t="inlineStr">
        <is>
          <t>VÄSTERNORRLANDS LÄN</t>
        </is>
      </c>
      <c r="G230" t="inlineStr">
        <is>
          <t>HÄRNÖSAND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44791</v>
      </c>
      <c r="E231" s="1" t="n">
        <v>46286</v>
      </c>
      <c r="F231" t="inlineStr">
        <is>
          <t>VÄSTERNORRLANDS LÄN</t>
        </is>
      </c>
      <c r="G231" t="inlineStr">
        <is>
          <t>HÄRNÖSAND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63375-2023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45273</v>
      </c>
      <c r="E232" s="1" t="n">
        <v>46286</v>
      </c>
      <c r="F232" t="inlineStr">
        <is>
          <t>VÄSTERNORRLANDS LÄN</t>
        </is>
      </c>
      <c r="G232" t="inlineStr">
        <is>
          <t>HÄRNÖSAND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45126</v>
      </c>
      <c r="E233" s="1" t="n">
        <v>46286</v>
      </c>
      <c r="F233" t="inlineStr">
        <is>
          <t>VÄSTERNORRLANDS LÄN</t>
        </is>
      </c>
      <c r="G233" t="inlineStr">
        <is>
          <t>HÄRNÖSAND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45840</v>
      </c>
      <c r="E234" s="1" t="n">
        <v>46286</v>
      </c>
      <c r="F234" t="inlineStr">
        <is>
          <t>VÄSTERNORRLANDS LÄN</t>
        </is>
      </c>
      <c r="G234" t="inlineStr">
        <is>
          <t>HÄRNÖSAND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45919</v>
      </c>
      <c r="E235" s="1" t="n">
        <v>46286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46286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46286</v>
      </c>
      <c r="F237" t="inlineStr">
        <is>
          <t>VÄSTERNORRLANDS LÄN</t>
        </is>
      </c>
      <c r="G237" t="inlineStr">
        <is>
          <t>HÄRNÖSAND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46286</v>
      </c>
      <c r="F238" t="inlineStr">
        <is>
          <t>VÄSTERNORRLANDS LÄN</t>
        </is>
      </c>
      <c r="G238" t="inlineStr">
        <is>
          <t>HÄRNÖSAND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46286</v>
      </c>
      <c r="F239" t="inlineStr">
        <is>
          <t>VÄSTERNORRLANDS LÄN</t>
        </is>
      </c>
      <c r="G239" t="inlineStr">
        <is>
          <t>HÄRNÖSAND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46286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46286</v>
      </c>
      <c r="F241" t="inlineStr">
        <is>
          <t>VÄSTERNORRLANDS LÄN</t>
        </is>
      </c>
      <c r="G241" t="inlineStr">
        <is>
          <t>HÄRNÖSAND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46286</v>
      </c>
      <c r="F242" t="inlineStr">
        <is>
          <t>VÄSTERNORRLANDS LÄN</t>
        </is>
      </c>
      <c r="G242" t="inlineStr">
        <is>
          <t>HÄRNÖSAND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45981-2025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45924</v>
      </c>
      <c r="E243" s="1" t="n">
        <v>46286</v>
      </c>
      <c r="F243" t="inlineStr">
        <is>
          <t>VÄSTERNORRLANDS LÄN</t>
        </is>
      </c>
      <c r="G243" t="inlineStr">
        <is>
          <t>HÄRNÖSAND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46286</v>
      </c>
      <c r="F244" t="inlineStr">
        <is>
          <t>VÄSTERNORRLANDS LÄN</t>
        </is>
      </c>
      <c r="G244" t="inlineStr">
        <is>
          <t>HÄRNÖSAND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46286</v>
      </c>
      <c r="F245" t="inlineStr">
        <is>
          <t>VÄSTERNORRLANDS LÄN</t>
        </is>
      </c>
      <c r="G245" t="inlineStr">
        <is>
          <t>HÄRNÖSAND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9658-2026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46072</v>
      </c>
      <c r="E246" s="1" t="n">
        <v>46286</v>
      </c>
      <c r="F246" t="inlineStr">
        <is>
          <t>VÄSTERNORRLANDS LÄN</t>
        </is>
      </c>
      <c r="G246" t="inlineStr">
        <is>
          <t>HÄRNÖSAND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45376</v>
      </c>
      <c r="E247" s="1" t="n">
        <v>46286</v>
      </c>
      <c r="F247" t="inlineStr">
        <is>
          <t>VÄSTERNORRLANDS LÄN</t>
        </is>
      </c>
      <c r="G247" t="inlineStr">
        <is>
          <t>HÄRNÖSAND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46101-2025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46286</v>
      </c>
      <c r="F248" t="inlineStr">
        <is>
          <t>VÄSTERNORRLANDS LÄN</t>
        </is>
      </c>
      <c r="G248" t="inlineStr">
        <is>
          <t>HÄRNÖSAND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52237-2022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44869</v>
      </c>
      <c r="E249" s="1" t="n">
        <v>46286</v>
      </c>
      <c r="F249" t="inlineStr">
        <is>
          <t>VÄSTERNORRLANDS LÄN</t>
        </is>
      </c>
      <c r="G249" t="inlineStr">
        <is>
          <t>HÄRNÖSAND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13611-2023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45006</v>
      </c>
      <c r="E250" s="1" t="n">
        <v>46286</v>
      </c>
      <c r="F250" t="inlineStr">
        <is>
          <t>VÄSTERNORRLANDS LÄN</t>
        </is>
      </c>
      <c r="G250" t="inlineStr">
        <is>
          <t>HÄRNÖSAND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46286</v>
      </c>
      <c r="F251" t="inlineStr">
        <is>
          <t>VÄSTERNORRLANDS LÄN</t>
        </is>
      </c>
      <c r="G251" t="inlineStr">
        <is>
          <t>HÄRNÖSAND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45428</v>
      </c>
      <c r="E252" s="1" t="n">
        <v>46286</v>
      </c>
      <c r="F252" t="inlineStr">
        <is>
          <t>VÄSTERNORRLANDS LÄN</t>
        </is>
      </c>
      <c r="G252" t="inlineStr">
        <is>
          <t>HÄRNÖSAND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46286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46286</v>
      </c>
      <c r="F254" t="inlineStr">
        <is>
          <t>VÄSTERNORRLANDS LÄN</t>
        </is>
      </c>
      <c r="G254" t="inlineStr">
        <is>
          <t>HÄRNÖSAND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45409</v>
      </c>
      <c r="E255" s="1" t="n">
        <v>46286</v>
      </c>
      <c r="F255" t="inlineStr">
        <is>
          <t>VÄSTERNORRLANDS LÄN</t>
        </is>
      </c>
      <c r="G255" t="inlineStr">
        <is>
          <t>HÄRNÖSAND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45645</v>
      </c>
      <c r="E256" s="1" t="n">
        <v>46286</v>
      </c>
      <c r="F256" t="inlineStr">
        <is>
          <t>VÄSTERNORRLANDS LÄN</t>
        </is>
      </c>
      <c r="G256" t="inlineStr">
        <is>
          <t>HÄRNÖSAND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46286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46286</v>
      </c>
      <c r="F258" t="inlineStr">
        <is>
          <t>VÄSTERNORRLANDS LÄN</t>
        </is>
      </c>
      <c r="G258" t="inlineStr">
        <is>
          <t>HÄRNÖSAND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46286</v>
      </c>
      <c r="F259" t="inlineStr">
        <is>
          <t>VÄSTERNORRLANDS LÄN</t>
        </is>
      </c>
      <c r="G259" t="inlineStr">
        <is>
          <t>HÄRNÖSAND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46286</v>
      </c>
      <c r="F260" t="inlineStr">
        <is>
          <t>VÄSTERNORRLANDS LÄN</t>
        </is>
      </c>
      <c r="G260" t="inlineStr">
        <is>
          <t>HÄRNÖSAND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45409</v>
      </c>
      <c r="E261" s="1" t="n">
        <v>46286</v>
      </c>
      <c r="F261" t="inlineStr">
        <is>
          <t>VÄSTERNORRLANDS LÄN</t>
        </is>
      </c>
      <c r="G261" t="inlineStr">
        <is>
          <t>HÄRNÖSAND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46286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46286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35785-2023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45147</v>
      </c>
      <c r="E264" s="1" t="n">
        <v>46286</v>
      </c>
      <c r="F264" t="inlineStr">
        <is>
          <t>VÄSTERNORRLANDS LÄN</t>
        </is>
      </c>
      <c r="G264" t="inlineStr">
        <is>
          <t>HÄRNÖSAND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46286</v>
      </c>
      <c r="F265" t="inlineStr">
        <is>
          <t>VÄSTERNORRLANDS LÄN</t>
        </is>
      </c>
      <c r="G265" t="inlineStr">
        <is>
          <t>HÄRNÖSAND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46153</v>
      </c>
      <c r="E266" s="1" t="n">
        <v>46286</v>
      </c>
      <c r="F266" t="inlineStr">
        <is>
          <t>VÄSTERNORRLANDS LÄN</t>
        </is>
      </c>
      <c r="G266" t="inlineStr">
        <is>
          <t>HÄRNÖSAND</t>
        </is>
      </c>
      <c r="I266" t="n">
        <v>16.7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45462</v>
      </c>
      <c r="E267" s="1" t="n">
        <v>46286</v>
      </c>
      <c r="F267" t="inlineStr">
        <is>
          <t>VÄSTERNORRLANDS LÄN</t>
        </is>
      </c>
      <c r="G267" t="inlineStr">
        <is>
          <t>HÄRNÖSAND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46286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45418</v>
      </c>
      <c r="E269" s="1" t="n">
        <v>46286</v>
      </c>
      <c r="F269" t="inlineStr">
        <is>
          <t>VÄSTERNORRLANDS LÄN</t>
        </is>
      </c>
      <c r="G269" t="inlineStr">
        <is>
          <t>HÄRNÖSAND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46286</v>
      </c>
      <c r="F270" t="inlineStr">
        <is>
          <t>VÄSTERNORRLANDS LÄN</t>
        </is>
      </c>
      <c r="G270" t="inlineStr">
        <is>
          <t>HÄRNÖSAND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44937</v>
      </c>
      <c r="E271" s="1" t="n">
        <v>46286</v>
      </c>
      <c r="F271" t="inlineStr">
        <is>
          <t>VÄSTERNORRLANDS LÄN</t>
        </is>
      </c>
      <c r="G271" t="inlineStr">
        <is>
          <t>HÄRNÖSAND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46286</v>
      </c>
      <c r="F272" t="inlineStr">
        <is>
          <t>VÄSTERNORRLANDS LÄN</t>
        </is>
      </c>
      <c r="G272" t="inlineStr">
        <is>
          <t>HÄRNÖSAND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46286</v>
      </c>
      <c r="F273" t="inlineStr">
        <is>
          <t>VÄSTERNORRLANDS LÄN</t>
        </is>
      </c>
      <c r="G273" t="inlineStr">
        <is>
          <t>HÄRNÖSAND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45959</v>
      </c>
      <c r="E274" s="1" t="n">
        <v>46286</v>
      </c>
      <c r="F274" t="inlineStr">
        <is>
          <t>VÄSTERNORRLANDS LÄN</t>
        </is>
      </c>
      <c r="G274" t="inlineStr">
        <is>
          <t>HÄRNÖSAND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45723</v>
      </c>
      <c r="E275" s="1" t="n">
        <v>46286</v>
      </c>
      <c r="F275" t="inlineStr">
        <is>
          <t>VÄSTERNORRLANDS LÄN</t>
        </is>
      </c>
      <c r="G275" t="inlineStr">
        <is>
          <t>HÄRNÖSAND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12675-2025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45733</v>
      </c>
      <c r="E276" s="1" t="n">
        <v>46286</v>
      </c>
      <c r="F276" t="inlineStr">
        <is>
          <t>VÄSTERNORRLANDS LÄN</t>
        </is>
      </c>
      <c r="G276" t="inlineStr">
        <is>
          <t>HÄRNÖSAND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45293</v>
      </c>
      <c r="E277" s="1" t="n">
        <v>46286</v>
      </c>
      <c r="F277" t="inlineStr">
        <is>
          <t>VÄSTERNORRLANDS LÄN</t>
        </is>
      </c>
      <c r="G277" t="inlineStr">
        <is>
          <t>HÄRNÖSAND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46155</v>
      </c>
      <c r="E278" s="1" t="n">
        <v>46286</v>
      </c>
      <c r="F278" t="inlineStr">
        <is>
          <t>VÄSTERNORRLANDS LÄN</t>
        </is>
      </c>
      <c r="G278" t="inlineStr">
        <is>
          <t>HÄRNÖSAND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45930</v>
      </c>
      <c r="E279" s="1" t="n">
        <v>46286</v>
      </c>
      <c r="F279" t="inlineStr">
        <is>
          <t>VÄSTERNORRLANDS LÄN</t>
        </is>
      </c>
      <c r="G279" t="inlineStr">
        <is>
          <t>HÄRNÖSAND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46286</v>
      </c>
      <c r="F280" t="inlineStr">
        <is>
          <t>VÄSTERNORRLANDS LÄN</t>
        </is>
      </c>
      <c r="G280" t="inlineStr">
        <is>
          <t>HÄRNÖSAND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18885-2023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45044</v>
      </c>
      <c r="E281" s="1" t="n">
        <v>46286</v>
      </c>
      <c r="F281" t="inlineStr">
        <is>
          <t>VÄSTERNORRLANDS LÄN</t>
        </is>
      </c>
      <c r="G281" t="inlineStr">
        <is>
          <t>HÄRNÖSAND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46286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44951</v>
      </c>
      <c r="E283" s="1" t="n">
        <v>46286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46286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46286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44897</v>
      </c>
      <c r="E286" s="1" t="n">
        <v>46286</v>
      </c>
      <c r="F286" t="inlineStr">
        <is>
          <t>VÄSTERNORRLANDS LÄN</t>
        </is>
      </c>
      <c r="G286" t="inlineStr">
        <is>
          <t>HÄRNÖSAND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45044</v>
      </c>
      <c r="E287" s="1" t="n">
        <v>46286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12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46286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46286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46286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25430-2022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44732</v>
      </c>
      <c r="E291" s="1" t="n">
        <v>46286</v>
      </c>
      <c r="F291" t="inlineStr">
        <is>
          <t>VÄSTERNORRLANDS LÄN</t>
        </is>
      </c>
      <c r="G291" t="inlineStr">
        <is>
          <t>HÄRNÖSAND</t>
        </is>
      </c>
      <c r="I291" t="n">
        <v>18.7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46286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46286</v>
      </c>
      <c r="F293" t="inlineStr">
        <is>
          <t>VÄSTERNORRLANDS LÄN</t>
        </is>
      </c>
      <c r="G293" t="inlineStr">
        <is>
          <t>HÄRNÖSAND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46286</v>
      </c>
      <c r="F294" t="inlineStr">
        <is>
          <t>VÄSTERNORRLANDS LÄN</t>
        </is>
      </c>
      <c r="G294" t="inlineStr">
        <is>
          <t>HÄRNÖSAND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46286</v>
      </c>
      <c r="F295" t="inlineStr">
        <is>
          <t>VÄSTERNORRLANDS LÄN</t>
        </is>
      </c>
      <c r="G295" t="inlineStr">
        <is>
          <t>HÄRNÖSAND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46286</v>
      </c>
      <c r="F296" t="inlineStr">
        <is>
          <t>VÄSTERNORRLANDS LÄN</t>
        </is>
      </c>
      <c r="G296" t="inlineStr">
        <is>
          <t>HÄRNÖSAND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5896-2022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44596</v>
      </c>
      <c r="E297" s="1" t="n">
        <v>46286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Övriga statliga verk och myndigheter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46286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57035-2025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46286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44706</v>
      </c>
      <c r="E300" s="1" t="n">
        <v>46286</v>
      </c>
      <c r="F300" t="inlineStr">
        <is>
          <t>VÄSTERNORRLANDS LÄN</t>
        </is>
      </c>
      <c r="G300" t="inlineStr">
        <is>
          <t>HÄRNÖSAND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46286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45512</v>
      </c>
      <c r="E302" s="1" t="n">
        <v>46286</v>
      </c>
      <c r="F302" t="inlineStr">
        <is>
          <t>VÄSTERNORRLANDS LÄN</t>
        </is>
      </c>
      <c r="G302" t="inlineStr">
        <is>
          <t>HÄRNÖSAND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46286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46286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45987</v>
      </c>
      <c r="E305" s="1" t="n">
        <v>46286</v>
      </c>
      <c r="F305" t="inlineStr">
        <is>
          <t>VÄSTERNORRLANDS LÄN</t>
        </is>
      </c>
      <c r="G305" t="inlineStr">
        <is>
          <t>HÄRNÖSAND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46286</v>
      </c>
      <c r="F306" t="inlineStr">
        <is>
          <t>VÄSTERNORRLANDS LÄN</t>
        </is>
      </c>
      <c r="G306" t="inlineStr">
        <is>
          <t>HÄRNÖSAND</t>
        </is>
      </c>
      <c r="I306" t="n">
        <v>9.199999999999999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46161</v>
      </c>
      <c r="E307" s="1" t="n">
        <v>46286</v>
      </c>
      <c r="F307" t="inlineStr">
        <is>
          <t>VÄSTERNORRLANDS LÄN</t>
        </is>
      </c>
      <c r="G307" t="inlineStr">
        <is>
          <t>HÄRNÖSAND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23185-2026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46161</v>
      </c>
      <c r="E308" s="1" t="n">
        <v>46286</v>
      </c>
      <c r="F308" t="inlineStr">
        <is>
          <t>VÄSTERNORRLANDS LÄN</t>
        </is>
      </c>
      <c r="G308" t="inlineStr">
        <is>
          <t>HÄRNÖSAND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22515-2025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45786</v>
      </c>
      <c r="E309" s="1" t="n">
        <v>46286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31.8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22852-2025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45790</v>
      </c>
      <c r="E310" s="1" t="n">
        <v>46286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31.8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45646</v>
      </c>
      <c r="E311" s="1" t="n">
        <v>46286</v>
      </c>
      <c r="F311" t="inlineStr">
        <is>
          <t>VÄSTERNORRLANDS LÄN</t>
        </is>
      </c>
      <c r="G311" t="inlineStr">
        <is>
          <t>HÄRNÖSAND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46286</v>
      </c>
      <c r="F312" t="inlineStr">
        <is>
          <t>VÄSTERNORRLANDS LÄN</t>
        </is>
      </c>
      <c r="G312" t="inlineStr">
        <is>
          <t>HÄRNÖSAND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22990-2026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46160</v>
      </c>
      <c r="E313" s="1" t="n">
        <v>46286</v>
      </c>
      <c r="F313" t="inlineStr">
        <is>
          <t>VÄSTERNORRLANDS LÄN</t>
        </is>
      </c>
      <c r="G313" t="inlineStr">
        <is>
          <t>HÄRNÖSAND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46286</v>
      </c>
      <c r="F314" t="inlineStr">
        <is>
          <t>VÄSTERNORRLANDS LÄN</t>
        </is>
      </c>
      <c r="G314" t="inlineStr">
        <is>
          <t>HÄRNÖSAND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46286</v>
      </c>
      <c r="F315" t="inlineStr">
        <is>
          <t>VÄSTERNORRLANDS LÄN</t>
        </is>
      </c>
      <c r="G315" t="inlineStr">
        <is>
          <t>HÄRNÖSAND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23140-2026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46161</v>
      </c>
      <c r="E316" s="1" t="n">
        <v>46286</v>
      </c>
      <c r="F316" t="inlineStr">
        <is>
          <t>VÄSTERNORRLANDS LÄN</t>
        </is>
      </c>
      <c r="G316" t="inlineStr">
        <is>
          <t>HÄRNÖSAND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46161</v>
      </c>
      <c r="E317" s="1" t="n">
        <v>46286</v>
      </c>
      <c r="F317" t="inlineStr">
        <is>
          <t>VÄSTERNORRLANDS LÄN</t>
        </is>
      </c>
      <c r="G317" t="inlineStr">
        <is>
          <t>HÄRNÖSAND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46286</v>
      </c>
      <c r="F318" t="inlineStr">
        <is>
          <t>VÄSTERNORRLANDS LÄN</t>
        </is>
      </c>
      <c r="G318" t="inlineStr">
        <is>
          <t>HÄRNÖSAND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46286</v>
      </c>
      <c r="F319" t="inlineStr">
        <is>
          <t>VÄSTERNORRLANDS LÄN</t>
        </is>
      </c>
      <c r="G319" t="inlineStr">
        <is>
          <t>HÄRNÖSAND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23182-2026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46161</v>
      </c>
      <c r="E320" s="1" t="n">
        <v>46286</v>
      </c>
      <c r="F320" t="inlineStr">
        <is>
          <t>VÄSTERNORRLANDS LÄN</t>
        </is>
      </c>
      <c r="G320" t="inlineStr">
        <is>
          <t>HÄRNÖSAND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54091-2024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45616</v>
      </c>
      <c r="E321" s="1" t="n">
        <v>46286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45320</v>
      </c>
      <c r="E322" s="1" t="n">
        <v>46286</v>
      </c>
      <c r="F322" t="inlineStr">
        <is>
          <t>VÄSTERNORRLANDS LÄN</t>
        </is>
      </c>
      <c r="G322" t="inlineStr">
        <is>
          <t>HÄRNÖSAND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46162</v>
      </c>
      <c r="E323" s="1" t="n">
        <v>46286</v>
      </c>
      <c r="F323" t="inlineStr">
        <is>
          <t>VÄSTERNORRLANDS LÄN</t>
        </is>
      </c>
      <c r="G323" t="inlineStr">
        <is>
          <t>HÄRNÖSAND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23231-2026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46162</v>
      </c>
      <c r="E324" s="1" t="n">
        <v>46286</v>
      </c>
      <c r="F324" t="inlineStr">
        <is>
          <t>VÄSTERNORRLANDS LÄN</t>
        </is>
      </c>
      <c r="G324" t="inlineStr">
        <is>
          <t>HÄRNÖSAND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46286</v>
      </c>
      <c r="F325" t="inlineStr">
        <is>
          <t>VÄSTERNORRLANDS LÄN</t>
        </is>
      </c>
      <c r="G325" t="inlineStr">
        <is>
          <t>HÄRNÖSAND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45035</v>
      </c>
      <c r="E326" s="1" t="n">
        <v>46286</v>
      </c>
      <c r="F326" t="inlineStr">
        <is>
          <t>VÄSTERNORRLANDS LÄN</t>
        </is>
      </c>
      <c r="G326" t="inlineStr">
        <is>
          <t>HÄRNÖSAND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45126</v>
      </c>
      <c r="E327" s="1" t="n">
        <v>46286</v>
      </c>
      <c r="F327" t="inlineStr">
        <is>
          <t>VÄSTERNORRLANDS LÄN</t>
        </is>
      </c>
      <c r="G327" t="inlineStr">
        <is>
          <t>HÄRNÖSAND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45163</v>
      </c>
      <c r="E328" s="1" t="n">
        <v>46286</v>
      </c>
      <c r="F328" t="inlineStr">
        <is>
          <t>VÄSTERNORRLANDS LÄN</t>
        </is>
      </c>
      <c r="G328" t="inlineStr">
        <is>
          <t>HÄRNÖSAND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46286</v>
      </c>
      <c r="F329" t="inlineStr">
        <is>
          <t>VÄSTERNORRLANDS LÄN</t>
        </is>
      </c>
      <c r="G329" t="inlineStr">
        <is>
          <t>HÄRNÖSAND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60771-2025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46286</v>
      </c>
      <c r="F330" t="inlineStr">
        <is>
          <t>VÄSTERNORRLANDS LÄN</t>
        </is>
      </c>
      <c r="G330" t="inlineStr">
        <is>
          <t>HÄRNÖSAND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47552-2022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44853</v>
      </c>
      <c r="E331" s="1" t="n">
        <v>46286</v>
      </c>
      <c r="F331" t="inlineStr">
        <is>
          <t>VÄSTERNORRLANDS LÄN</t>
        </is>
      </c>
      <c r="G331" t="inlineStr">
        <is>
          <t>HÄRNÖSAND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46286</v>
      </c>
      <c r="F332" t="inlineStr">
        <is>
          <t>VÄSTERNORRLANDS LÄN</t>
        </is>
      </c>
      <c r="G332" t="inlineStr">
        <is>
          <t>HÄRNÖSAND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45138</v>
      </c>
      <c r="E333" s="1" t="n">
        <v>46286</v>
      </c>
      <c r="F333" t="inlineStr">
        <is>
          <t>VÄSTERNORRLANDS LÄN</t>
        </is>
      </c>
      <c r="G333" t="inlineStr">
        <is>
          <t>HÄRNÖSAND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61189-2025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46000</v>
      </c>
      <c r="E334" s="1" t="n">
        <v>46286</v>
      </c>
      <c r="F334" t="inlineStr">
        <is>
          <t>VÄSTERNORRLANDS LÄN</t>
        </is>
      </c>
      <c r="G334" t="inlineStr">
        <is>
          <t>HÄRNÖSAND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61181-2025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46286</v>
      </c>
      <c r="F335" t="inlineStr">
        <is>
          <t>VÄSTERNORRLANDS LÄN</t>
        </is>
      </c>
      <c r="G335" t="inlineStr">
        <is>
          <t>HÄRNÖSAND</t>
        </is>
      </c>
      <c r="I335" t="n">
        <v>12.5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46286</v>
      </c>
      <c r="F336" t="inlineStr">
        <is>
          <t>VÄSTERNORRLANDS LÄN</t>
        </is>
      </c>
      <c r="G336" t="inlineStr">
        <is>
          <t>HÄRNÖSAND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23896-2026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46167</v>
      </c>
      <c r="E337" s="1" t="n">
        <v>46286</v>
      </c>
      <c r="F337" t="inlineStr">
        <is>
          <t>VÄSTERNORRLANDS LÄN</t>
        </is>
      </c>
      <c r="G337" t="inlineStr">
        <is>
          <t>HÄRNÖSAND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45531</v>
      </c>
      <c r="E338" s="1" t="n">
        <v>46286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51001-2022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44867</v>
      </c>
      <c r="E339" s="1" t="n">
        <v>46286</v>
      </c>
      <c r="F339" t="inlineStr">
        <is>
          <t>VÄSTERNORRLANDS LÄN</t>
        </is>
      </c>
      <c r="G339" t="inlineStr">
        <is>
          <t>HÄRNÖSAND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46286</v>
      </c>
      <c r="F340" t="inlineStr">
        <is>
          <t>VÄSTERNORRLANDS LÄN</t>
        </is>
      </c>
      <c r="G340" t="inlineStr">
        <is>
          <t>HÄRNÖSAND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45390</v>
      </c>
      <c r="E341" s="1" t="n">
        <v>46286</v>
      </c>
      <c r="F341" t="inlineStr">
        <is>
          <t>VÄSTERNORRLANDS LÄN</t>
        </is>
      </c>
      <c r="G341" t="inlineStr">
        <is>
          <t>HÄRNÖSAND</t>
        </is>
      </c>
      <c r="I341" t="n">
        <v>14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46286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46149</v>
      </c>
      <c r="E343" s="1" t="n">
        <v>46286</v>
      </c>
      <c r="F343" t="inlineStr">
        <is>
          <t>VÄSTERNORRLANDS LÄN</t>
        </is>
      </c>
      <c r="G343" t="inlineStr">
        <is>
          <t>HÄRNÖSAND</t>
        </is>
      </c>
      <c r="I343" t="n">
        <v>13.8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64107-2025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46013</v>
      </c>
      <c r="E344" s="1" t="n">
        <v>46286</v>
      </c>
      <c r="F344" t="inlineStr">
        <is>
          <t>VÄSTERNORRLANDS LÄN</t>
        </is>
      </c>
      <c r="G344" t="inlineStr">
        <is>
          <t>HÄRNÖSAND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22875-2023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45072</v>
      </c>
      <c r="E345" s="1" t="n">
        <v>46286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Kyrkan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16979-2022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44676</v>
      </c>
      <c r="E346" s="1" t="n">
        <v>46286</v>
      </c>
      <c r="F346" t="inlineStr">
        <is>
          <t>VÄSTERNORRLANDS LÄN</t>
        </is>
      </c>
      <c r="G346" t="inlineStr">
        <is>
          <t>HÄRNÖSAND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46168</v>
      </c>
      <c r="E347" s="1" t="n">
        <v>46286</v>
      </c>
      <c r="F347" t="inlineStr">
        <is>
          <t>VÄSTERNORRLANDS LÄN</t>
        </is>
      </c>
      <c r="G347" t="inlineStr">
        <is>
          <t>HÄRNÖSAND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46286</v>
      </c>
      <c r="F348" t="inlineStr">
        <is>
          <t>VÄSTERNORRLANDS LÄN</t>
        </is>
      </c>
      <c r="G348" t="inlineStr">
        <is>
          <t>HÄRNÖSAND</t>
        </is>
      </c>
      <c r="I348" t="n">
        <v>12.3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46170</v>
      </c>
      <c r="E349" s="1" t="n">
        <v>46286</v>
      </c>
      <c r="F349" t="inlineStr">
        <is>
          <t>VÄSTERNORRLANDS LÄN</t>
        </is>
      </c>
      <c r="G349" t="inlineStr">
        <is>
          <t>HÄRNÖSAND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46023</v>
      </c>
      <c r="E350" s="1" t="n">
        <v>46286</v>
      </c>
      <c r="F350" t="inlineStr">
        <is>
          <t>VÄSTERNORRLANDS LÄN</t>
        </is>
      </c>
      <c r="G350" t="inlineStr">
        <is>
          <t>HÄRNÖSAND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46023</v>
      </c>
      <c r="E351" s="1" t="n">
        <v>46286</v>
      </c>
      <c r="F351" t="inlineStr">
        <is>
          <t>VÄSTERNORRLANDS LÄN</t>
        </is>
      </c>
      <c r="G351" t="inlineStr">
        <is>
          <t>HÄRNÖSAND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46023</v>
      </c>
      <c r="E352" s="1" t="n">
        <v>46286</v>
      </c>
      <c r="F352" t="inlineStr">
        <is>
          <t>VÄSTERNORRLANDS LÄN</t>
        </is>
      </c>
      <c r="G352" t="inlineStr">
        <is>
          <t>HÄRNÖSAND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14874-2023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45015</v>
      </c>
      <c r="E353" s="1" t="n">
        <v>46286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46024</v>
      </c>
      <c r="E354" s="1" t="n">
        <v>46286</v>
      </c>
      <c r="F354" t="inlineStr">
        <is>
          <t>VÄSTERNORRLANDS LÄN</t>
        </is>
      </c>
      <c r="G354" t="inlineStr">
        <is>
          <t>HÄRNÖSAND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46286</v>
      </c>
      <c r="F355" t="inlineStr">
        <is>
          <t>VÄSTERNORRLANDS LÄN</t>
        </is>
      </c>
      <c r="G355" t="inlineStr">
        <is>
          <t>HÄRNÖSAND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46024</v>
      </c>
      <c r="E356" s="1" t="n">
        <v>46286</v>
      </c>
      <c r="F356" t="inlineStr">
        <is>
          <t>VÄSTERNORRLANDS LÄN</t>
        </is>
      </c>
      <c r="G356" t="inlineStr">
        <is>
          <t>HÄRNÖSAND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46026</v>
      </c>
      <c r="E357" s="1" t="n">
        <v>46286</v>
      </c>
      <c r="F357" t="inlineStr">
        <is>
          <t>VÄSTERNORRLANDS LÄN</t>
        </is>
      </c>
      <c r="G357" t="inlineStr">
        <is>
          <t>HÄRNÖSAND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46024</v>
      </c>
      <c r="E358" s="1" t="n">
        <v>46286</v>
      </c>
      <c r="F358" t="inlineStr">
        <is>
          <t>VÄSTERNORRLANDS LÄN</t>
        </is>
      </c>
      <c r="G358" t="inlineStr">
        <is>
          <t>HÄRNÖSAND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46286</v>
      </c>
      <c r="F359" t="inlineStr">
        <is>
          <t>VÄSTERNORRLANDS LÄN</t>
        </is>
      </c>
      <c r="G359" t="inlineStr">
        <is>
          <t>HÄRNÖSAND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46029</v>
      </c>
      <c r="E360" s="1" t="n">
        <v>46286</v>
      </c>
      <c r="F360" t="inlineStr">
        <is>
          <t>VÄSTERNORRLANDS LÄN</t>
        </is>
      </c>
      <c r="G360" t="inlineStr">
        <is>
          <t>HÄRNÖSAND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45749</v>
      </c>
      <c r="E361" s="1" t="n">
        <v>46286</v>
      </c>
      <c r="F361" t="inlineStr">
        <is>
          <t>VÄSTERNORRLANDS LÄN</t>
        </is>
      </c>
      <c r="G361" t="inlineStr">
        <is>
          <t>HÄRNÖSAND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46286</v>
      </c>
      <c r="F362" t="inlineStr">
        <is>
          <t>VÄSTERNORRLANDS LÄN</t>
        </is>
      </c>
      <c r="G362" t="inlineStr">
        <is>
          <t>HÄRNÖSAND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780-2026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46029</v>
      </c>
      <c r="E363" s="1" t="n">
        <v>46286</v>
      </c>
      <c r="F363" t="inlineStr">
        <is>
          <t>VÄSTERNORRLANDS LÄN</t>
        </is>
      </c>
      <c r="G363" t="inlineStr">
        <is>
          <t>HÄRNÖSAND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46286</v>
      </c>
      <c r="F364" t="inlineStr">
        <is>
          <t>VÄSTERNORRLANDS LÄN</t>
        </is>
      </c>
      <c r="G364" t="inlineStr">
        <is>
          <t>HÄRNÖSAND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46030</v>
      </c>
      <c r="E365" s="1" t="n">
        <v>46286</v>
      </c>
      <c r="F365" t="inlineStr">
        <is>
          <t>VÄSTERNORRLANDS LÄN</t>
        </is>
      </c>
      <c r="G365" t="inlineStr">
        <is>
          <t>HÄRNÖSAND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46286</v>
      </c>
      <c r="F366" t="inlineStr">
        <is>
          <t>VÄSTERNORRLANDS LÄN</t>
        </is>
      </c>
      <c r="G366" t="inlineStr">
        <is>
          <t>HÄRNÖSAND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46286</v>
      </c>
      <c r="F367" t="inlineStr">
        <is>
          <t>VÄSTERNORRLANDS LÄN</t>
        </is>
      </c>
      <c r="G367" t="inlineStr">
        <is>
          <t>HÄRNÖSAND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46286</v>
      </c>
      <c r="F368" t="inlineStr">
        <is>
          <t>VÄSTERNORRLANDS LÄN</t>
        </is>
      </c>
      <c r="G368" t="inlineStr">
        <is>
          <t>HÄRNÖSAND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46286</v>
      </c>
      <c r="F369" t="inlineStr">
        <is>
          <t>VÄSTERNORRLANDS LÄN</t>
        </is>
      </c>
      <c r="G369" t="inlineStr">
        <is>
          <t>HÄRNÖSAND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45313</v>
      </c>
      <c r="E370" s="1" t="n">
        <v>46286</v>
      </c>
      <c r="F370" t="inlineStr">
        <is>
          <t>VÄSTERNORRLANDS LÄN</t>
        </is>
      </c>
      <c r="G370" t="inlineStr">
        <is>
          <t>HÄRNÖSAND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55895-2024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45622</v>
      </c>
      <c r="E371" s="1" t="n">
        <v>46286</v>
      </c>
      <c r="F371" t="inlineStr">
        <is>
          <t>VÄSTERNORRLANDS LÄN</t>
        </is>
      </c>
      <c r="G371" t="inlineStr">
        <is>
          <t>HÄRNÖSAND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46286</v>
      </c>
      <c r="F372" t="inlineStr">
        <is>
          <t>VÄSTERNORRLANDS LÄN</t>
        </is>
      </c>
      <c r="G372" t="inlineStr">
        <is>
          <t>HÄRNÖSAND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46286</v>
      </c>
      <c r="F373" t="inlineStr">
        <is>
          <t>VÄSTERNORRLANDS LÄN</t>
        </is>
      </c>
      <c r="G373" t="inlineStr">
        <is>
          <t>HÄRNÖSAND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46286</v>
      </c>
      <c r="F374" t="inlineStr">
        <is>
          <t>VÄSTERNORRLANDS LÄN</t>
        </is>
      </c>
      <c r="G374" t="inlineStr">
        <is>
          <t>HÄRNÖSAND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7522-2023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44971</v>
      </c>
      <c r="E375" s="1" t="n">
        <v>46286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45910</v>
      </c>
      <c r="E376" s="1" t="n">
        <v>46286</v>
      </c>
      <c r="F376" t="inlineStr">
        <is>
          <t>VÄSTERNORRLANDS LÄN</t>
        </is>
      </c>
      <c r="G376" t="inlineStr">
        <is>
          <t>HÄRNÖSAND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46286</v>
      </c>
      <c r="F377" t="inlineStr">
        <is>
          <t>VÄSTERNORRLANDS LÄN</t>
        </is>
      </c>
      <c r="G377" t="inlineStr">
        <is>
          <t>HÄRNÖSAND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45148</v>
      </c>
      <c r="E378" s="1" t="n">
        <v>46286</v>
      </c>
      <c r="F378" t="inlineStr">
        <is>
          <t>VÄSTERNORRLANDS LÄN</t>
        </is>
      </c>
      <c r="G378" t="inlineStr">
        <is>
          <t>HÄRNÖSAND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46286</v>
      </c>
      <c r="F379" t="inlineStr">
        <is>
          <t>VÄSTERNORRLANDS LÄN</t>
        </is>
      </c>
      <c r="G379" t="inlineStr">
        <is>
          <t>HÄRNÖSAND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45687-2022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44845</v>
      </c>
      <c r="E380" s="1" t="n">
        <v>46286</v>
      </c>
      <c r="F380" t="inlineStr">
        <is>
          <t>VÄSTERNORRLANDS LÄN</t>
        </is>
      </c>
      <c r="G380" t="inlineStr">
        <is>
          <t>HÄRNÖSAND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45409</v>
      </c>
      <c r="E381" s="1" t="n">
        <v>46286</v>
      </c>
      <c r="F381" t="inlineStr">
        <is>
          <t>VÄSTERNORRLANDS LÄN</t>
        </is>
      </c>
      <c r="G381" t="inlineStr">
        <is>
          <t>HÄRNÖSAND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46286</v>
      </c>
      <c r="F382" t="inlineStr">
        <is>
          <t>VÄSTERNORRLANDS LÄN</t>
        </is>
      </c>
      <c r="G382" t="inlineStr">
        <is>
          <t>HÄRNÖSAND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46165</v>
      </c>
      <c r="E383" s="1" t="n">
        <v>46286</v>
      </c>
      <c r="F383" t="inlineStr">
        <is>
          <t>VÄSTERNORRLANDS LÄN</t>
        </is>
      </c>
      <c r="G383" t="inlineStr">
        <is>
          <t>HÄRNÖSAND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44580</v>
      </c>
      <c r="E384" s="1" t="n">
        <v>46286</v>
      </c>
      <c r="F384" t="inlineStr">
        <is>
          <t>VÄSTERNORRLANDS LÄN</t>
        </is>
      </c>
      <c r="G384" t="inlineStr">
        <is>
          <t>HÄRNÖSAND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46286</v>
      </c>
      <c r="F385" t="inlineStr">
        <is>
          <t>VÄSTERNORRLANDS LÄN</t>
        </is>
      </c>
      <c r="G385" t="inlineStr">
        <is>
          <t>HÄRNÖSAND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46286</v>
      </c>
      <c r="F386" t="inlineStr">
        <is>
          <t>VÄSTERNORRLANDS LÄN</t>
        </is>
      </c>
      <c r="G386" t="inlineStr">
        <is>
          <t>HÄRNÖSAND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58588-2022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44894</v>
      </c>
      <c r="E387" s="1" t="n">
        <v>46286</v>
      </c>
      <c r="F387" t="inlineStr">
        <is>
          <t>VÄSTERNORRLANDS LÄN</t>
        </is>
      </c>
      <c r="G387" t="inlineStr">
        <is>
          <t>HÄRNÖSAND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25248-2026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46175</v>
      </c>
      <c r="E388" s="1" t="n">
        <v>46286</v>
      </c>
      <c r="F388" t="inlineStr">
        <is>
          <t>VÄSTERNORRLANDS LÄN</t>
        </is>
      </c>
      <c r="G388" t="inlineStr">
        <is>
          <t>HÄRNÖSAND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45366</v>
      </c>
      <c r="E389" s="1" t="n">
        <v>46286</v>
      </c>
      <c r="F389" t="inlineStr">
        <is>
          <t>VÄSTERNORRLANDS LÄN</t>
        </is>
      </c>
      <c r="G389" t="inlineStr">
        <is>
          <t>HÄRNÖSAND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46286</v>
      </c>
      <c r="F390" t="inlineStr">
        <is>
          <t>VÄSTERNORRLANDS LÄN</t>
        </is>
      </c>
      <c r="G390" t="inlineStr">
        <is>
          <t>HÄRNÖSAND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46286</v>
      </c>
      <c r="F391" t="inlineStr">
        <is>
          <t>VÄSTERNORRLANDS LÄN</t>
        </is>
      </c>
      <c r="G391" t="inlineStr">
        <is>
          <t>HÄRNÖSAND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46054</v>
      </c>
      <c r="E392" s="1" t="n">
        <v>46286</v>
      </c>
      <c r="F392" t="inlineStr">
        <is>
          <t>VÄSTERNORRLANDS LÄN</t>
        </is>
      </c>
      <c r="G392" t="inlineStr">
        <is>
          <t>HÄRNÖSAND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46286</v>
      </c>
      <c r="F393" t="inlineStr">
        <is>
          <t>VÄSTERNORRLANDS LÄN</t>
        </is>
      </c>
      <c r="G393" t="inlineStr">
        <is>
          <t>HÄRNÖSAND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46052</v>
      </c>
      <c r="E394" s="1" t="n">
        <v>46286</v>
      </c>
      <c r="F394" t="inlineStr">
        <is>
          <t>VÄSTERNORRLANDS LÄN</t>
        </is>
      </c>
      <c r="G394" t="inlineStr">
        <is>
          <t>HÄRNÖSAND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46286</v>
      </c>
      <c r="F395" t="inlineStr">
        <is>
          <t>VÄSTERNORRLANDS LÄN</t>
        </is>
      </c>
      <c r="G395" t="inlineStr">
        <is>
          <t>HÄRNÖSAND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25444-2026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46286</v>
      </c>
      <c r="F396" t="inlineStr">
        <is>
          <t>VÄSTERNORRLANDS LÄN</t>
        </is>
      </c>
      <c r="G396" t="inlineStr">
        <is>
          <t>HÄRNÖSAND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46286</v>
      </c>
      <c r="F397" t="inlineStr">
        <is>
          <t>VÄSTERNORRLANDS LÄN</t>
        </is>
      </c>
      <c r="G397" t="inlineStr">
        <is>
          <t>HÄRNÖSAND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46286</v>
      </c>
      <c r="F398" t="inlineStr">
        <is>
          <t>VÄSTERNORRLANDS LÄN</t>
        </is>
      </c>
      <c r="G398" t="inlineStr">
        <is>
          <t>HÄRNÖSAND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46177</v>
      </c>
      <c r="E399" s="1" t="n">
        <v>46286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10.2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25452-2026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46177</v>
      </c>
      <c r="E400" s="1" t="n">
        <v>46286</v>
      </c>
      <c r="F400" t="inlineStr">
        <is>
          <t>VÄSTERNORRLANDS LÄN</t>
        </is>
      </c>
      <c r="G400" t="inlineStr">
        <is>
          <t>HÄRNÖSAND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46286</v>
      </c>
      <c r="F401" t="inlineStr">
        <is>
          <t>VÄSTERNORRLANDS LÄN</t>
        </is>
      </c>
      <c r="G401" t="inlineStr">
        <is>
          <t>HÄRNÖSAND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46286</v>
      </c>
      <c r="F402" t="inlineStr">
        <is>
          <t>VÄSTERNORRLANDS LÄN</t>
        </is>
      </c>
      <c r="G402" t="inlineStr">
        <is>
          <t>HÄRNÖSAND</t>
        </is>
      </c>
      <c r="H402" t="inlineStr">
        <is>
          <t>SCA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6646-2026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46286</v>
      </c>
      <c r="F403" t="inlineStr">
        <is>
          <t>VÄSTERNORRLANDS LÄN</t>
        </is>
      </c>
      <c r="G403" t="inlineStr">
        <is>
          <t>HÄRNÖSAND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59121-2023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45251</v>
      </c>
      <c r="E404" s="1" t="n">
        <v>46286</v>
      </c>
      <c r="F404" t="inlineStr">
        <is>
          <t>VÄSTERNORRLANDS LÄN</t>
        </is>
      </c>
      <c r="G404" t="inlineStr">
        <is>
          <t>HÄRNÖSAND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61102-2021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44498</v>
      </c>
      <c r="E405" s="1" t="n">
        <v>46286</v>
      </c>
      <c r="F405" t="inlineStr">
        <is>
          <t>VÄSTERNORRLANDS LÄN</t>
        </is>
      </c>
      <c r="G405" t="inlineStr">
        <is>
          <t>HÄRNÖSAND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11881-2024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45376</v>
      </c>
      <c r="E406" s="1" t="n">
        <v>46286</v>
      </c>
      <c r="F406" t="inlineStr">
        <is>
          <t>VÄSTERNORRLANDS LÄN</t>
        </is>
      </c>
      <c r="G406" t="inlineStr">
        <is>
          <t>HÄRNÖSAND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46177</v>
      </c>
      <c r="E407" s="1" t="n">
        <v>46286</v>
      </c>
      <c r="F407" t="inlineStr">
        <is>
          <t>VÄSTERNORRLANDS LÄN</t>
        </is>
      </c>
      <c r="G407" t="inlineStr">
        <is>
          <t>HÄRNÖSAND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46286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8421-2026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46065</v>
      </c>
      <c r="E409" s="1" t="n">
        <v>46286</v>
      </c>
      <c r="F409" t="inlineStr">
        <is>
          <t>VÄSTERNORRLANDS LÄN</t>
        </is>
      </c>
      <c r="G409" t="inlineStr">
        <is>
          <t>HÄRNÖSAND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46065</v>
      </c>
      <c r="E410" s="1" t="n">
        <v>46286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Kyrkan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46065</v>
      </c>
      <c r="E411" s="1" t="n">
        <v>46286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Kyrkan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50338-2022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44865</v>
      </c>
      <c r="E412" s="1" t="n">
        <v>46286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45699</v>
      </c>
      <c r="E413" s="1" t="n">
        <v>46286</v>
      </c>
      <c r="F413" t="inlineStr">
        <is>
          <t>VÄSTERNORRLANDS LÄN</t>
        </is>
      </c>
      <c r="G413" t="inlineStr">
        <is>
          <t>HÄRNÖSAND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46065</v>
      </c>
      <c r="E414" s="1" t="n">
        <v>46286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Kyrkan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46286</v>
      </c>
      <c r="F415" t="inlineStr">
        <is>
          <t>VÄSTERNORRLANDS LÄN</t>
        </is>
      </c>
      <c r="G415" t="inlineStr">
        <is>
          <t>HÄRNÖSAND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46286</v>
      </c>
      <c r="F416" t="inlineStr">
        <is>
          <t>VÄSTERNORRLANDS LÄN</t>
        </is>
      </c>
      <c r="G416" t="inlineStr">
        <is>
          <t>HÄRNÖSAND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46286</v>
      </c>
      <c r="F417" t="inlineStr">
        <is>
          <t>VÄSTERNORRLANDS LÄN</t>
        </is>
      </c>
      <c r="G417" t="inlineStr">
        <is>
          <t>HÄRNÖSAND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9053-2026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46286</v>
      </c>
      <c r="F418" t="inlineStr">
        <is>
          <t>VÄSTERNORRLANDS LÄN</t>
        </is>
      </c>
      <c r="G418" t="inlineStr">
        <is>
          <t>HÄRNÖSAND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9160-2026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46070</v>
      </c>
      <c r="E419" s="1" t="n">
        <v>46286</v>
      </c>
      <c r="F419" t="inlineStr">
        <is>
          <t>VÄSTERNORRLANDS LÄN</t>
        </is>
      </c>
      <c r="G419" t="inlineStr">
        <is>
          <t>HÄRNÖSAND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9161-2026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46070</v>
      </c>
      <c r="E420" s="1" t="n">
        <v>46286</v>
      </c>
      <c r="F420" t="inlineStr">
        <is>
          <t>VÄSTERNORRLANDS LÄN</t>
        </is>
      </c>
      <c r="G420" t="inlineStr">
        <is>
          <t>HÄRNÖSAND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9162-2026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46070</v>
      </c>
      <c r="E421" s="1" t="n">
        <v>46286</v>
      </c>
      <c r="F421" t="inlineStr">
        <is>
          <t>VÄSTERNORRLANDS LÄN</t>
        </is>
      </c>
      <c r="G421" t="inlineStr">
        <is>
          <t>HÄRNÖSAND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46071</v>
      </c>
      <c r="E422" s="1" t="n">
        <v>46286</v>
      </c>
      <c r="F422" t="inlineStr">
        <is>
          <t>VÄSTERNORRLANDS LÄN</t>
        </is>
      </c>
      <c r="G422" t="inlineStr">
        <is>
          <t>HÄRNÖSAND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46286</v>
      </c>
      <c r="F423" t="inlineStr">
        <is>
          <t>VÄSTERNORRLANDS LÄN</t>
        </is>
      </c>
      <c r="G423" t="inlineStr">
        <is>
          <t>HÄRNÖSAND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18979-2023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45044</v>
      </c>
      <c r="E424" s="1" t="n">
        <v>46286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45502</v>
      </c>
      <c r="E425" s="1" t="n">
        <v>46286</v>
      </c>
      <c r="F425" t="inlineStr">
        <is>
          <t>VÄSTERNORRLANDS LÄN</t>
        </is>
      </c>
      <c r="G425" t="inlineStr">
        <is>
          <t>HÄRNÖSAND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44726</v>
      </c>
      <c r="E426" s="1" t="n">
        <v>46286</v>
      </c>
      <c r="F426" t="inlineStr">
        <is>
          <t>VÄSTERNORRLANDS LÄN</t>
        </is>
      </c>
      <c r="G426" t="inlineStr">
        <is>
          <t>HÄRNÖSAND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46072</v>
      </c>
      <c r="E427" s="1" t="n">
        <v>46286</v>
      </c>
      <c r="F427" t="inlineStr">
        <is>
          <t>VÄSTERNORRLANDS LÄN</t>
        </is>
      </c>
      <c r="G427" t="inlineStr">
        <is>
          <t>HÄRNÖSAND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46072</v>
      </c>
      <c r="E428" s="1" t="n">
        <v>46286</v>
      </c>
      <c r="F428" t="inlineStr">
        <is>
          <t>VÄSTERNORRLANDS LÄN</t>
        </is>
      </c>
      <c r="G428" t="inlineStr">
        <is>
          <t>HÄRNÖSAND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46286</v>
      </c>
      <c r="F429" t="inlineStr">
        <is>
          <t>VÄSTERNORRLANDS LÄN</t>
        </is>
      </c>
      <c r="G429" t="inlineStr">
        <is>
          <t>HÄRNÖSAND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10571-2026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46077</v>
      </c>
      <c r="E430" s="1" t="n">
        <v>46286</v>
      </c>
      <c r="F430" t="inlineStr">
        <is>
          <t>VÄSTERNORRLANDS LÄN</t>
        </is>
      </c>
      <c r="G430" t="inlineStr">
        <is>
          <t>HÄRNÖSAND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46286</v>
      </c>
      <c r="F431" t="inlineStr">
        <is>
          <t>VÄSTERNORRLANDS LÄN</t>
        </is>
      </c>
      <c r="G431" t="inlineStr">
        <is>
          <t>HÄRNÖSAND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11202-2026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46080</v>
      </c>
      <c r="E432" s="1" t="n">
        <v>46286</v>
      </c>
      <c r="F432" t="inlineStr">
        <is>
          <t>VÄSTERNORRLANDS LÄN</t>
        </is>
      </c>
      <c r="G432" t="inlineStr">
        <is>
          <t>HÄRNÖSAND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56165-2022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44889</v>
      </c>
      <c r="E433" s="1" t="n">
        <v>46286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46286</v>
      </c>
      <c r="F434" t="inlineStr">
        <is>
          <t>VÄSTERNORRLANDS LÄN</t>
        </is>
      </c>
      <c r="G434" t="inlineStr">
        <is>
          <t>HÄRNÖSAND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44755</v>
      </c>
      <c r="E435" s="1" t="n">
        <v>46286</v>
      </c>
      <c r="F435" t="inlineStr">
        <is>
          <t>VÄSTERNORRLANDS LÄN</t>
        </is>
      </c>
      <c r="G435" t="inlineStr">
        <is>
          <t>HÄRNÖSAND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54252-2022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44881</v>
      </c>
      <c r="E436" s="1" t="n">
        <v>46286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46286</v>
      </c>
      <c r="F437" t="inlineStr">
        <is>
          <t>VÄSTERNORRLANDS LÄN</t>
        </is>
      </c>
      <c r="G437" t="inlineStr">
        <is>
          <t>HÄRNÖSAND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46508-2023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45194</v>
      </c>
      <c r="E438" s="1" t="n">
        <v>46286</v>
      </c>
      <c r="F438" t="inlineStr">
        <is>
          <t>VÄSTERNORRLANDS LÄN</t>
        </is>
      </c>
      <c r="G438" t="inlineStr">
        <is>
          <t>HÄRNÖSAND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12340-2026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46286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Övriga statliga verk och myndigheter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46286</v>
      </c>
      <c r="F440" t="inlineStr">
        <is>
          <t>VÄSTERNORRLANDS LÄN</t>
        </is>
      </c>
      <c r="G440" t="inlineStr">
        <is>
          <t>HÄRNÖSAND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45505</v>
      </c>
      <c r="E441" s="1" t="n">
        <v>46286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25745-2025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45800</v>
      </c>
      <c r="E442" s="1" t="n">
        <v>46286</v>
      </c>
      <c r="F442" t="inlineStr">
        <is>
          <t>VÄSTERNORRLANDS LÄN</t>
        </is>
      </c>
      <c r="G442" t="inlineStr">
        <is>
          <t>HÄRNÖSAND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46320-2022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44847</v>
      </c>
      <c r="E443" s="1" t="n">
        <v>46286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Kyrkan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27458-2026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46189</v>
      </c>
      <c r="E444" s="1" t="n">
        <v>46286</v>
      </c>
      <c r="F444" t="inlineStr">
        <is>
          <t>VÄSTERNORRLANDS LÄN</t>
        </is>
      </c>
      <c r="G444" t="inlineStr">
        <is>
          <t>HÄRNÖSAND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46286</v>
      </c>
      <c r="F445" t="inlineStr">
        <is>
          <t>VÄSTERNORRLANDS LÄN</t>
        </is>
      </c>
      <c r="G445" t="inlineStr">
        <is>
          <t>HÄRNÖSAND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46319-2022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44847</v>
      </c>
      <c r="E446" s="1" t="n">
        <v>46286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Kyrkan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46091</v>
      </c>
      <c r="E447" s="1" t="n">
        <v>46286</v>
      </c>
      <c r="F447" t="inlineStr">
        <is>
          <t>VÄSTERNORRLANDS LÄN</t>
        </is>
      </c>
      <c r="G447" t="inlineStr">
        <is>
          <t>HÄRNÖSAND</t>
        </is>
      </c>
      <c r="I447" t="n">
        <v>9.9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12637-2026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46286</v>
      </c>
      <c r="F448" t="inlineStr">
        <is>
          <t>VÄSTERNORRLANDS LÄN</t>
        </is>
      </c>
      <c r="G448" t="inlineStr">
        <is>
          <t>HÄRNÖSAND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12650-2026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46091</v>
      </c>
      <c r="E449" s="1" t="n">
        <v>46286</v>
      </c>
      <c r="F449" t="inlineStr">
        <is>
          <t>VÄSTERNORRLANDS LÄN</t>
        </is>
      </c>
      <c r="G449" t="inlineStr">
        <is>
          <t>HÄRNÖSAND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46286</v>
      </c>
      <c r="F450" t="inlineStr">
        <is>
          <t>VÄSTERNORRLANDS LÄN</t>
        </is>
      </c>
      <c r="G450" t="inlineStr">
        <is>
          <t>HÄRNÖSAND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46189</v>
      </c>
      <c r="E451" s="1" t="n">
        <v>46286</v>
      </c>
      <c r="F451" t="inlineStr">
        <is>
          <t>VÄSTERNORRLANDS LÄN</t>
        </is>
      </c>
      <c r="G451" t="inlineStr">
        <is>
          <t>HÄRNÖSAND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27459-2026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46286</v>
      </c>
      <c r="F452" t="inlineStr">
        <is>
          <t>VÄSTERNORRLANDS LÄN</t>
        </is>
      </c>
      <c r="G452" t="inlineStr">
        <is>
          <t>HÄRNÖSAND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46286</v>
      </c>
      <c r="F453" t="inlineStr">
        <is>
          <t>VÄSTERNORRLANDS LÄN</t>
        </is>
      </c>
      <c r="G453" t="inlineStr">
        <is>
          <t>HÄRNÖSAND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46286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45723</v>
      </c>
      <c r="E455" s="1" t="n">
        <v>46286</v>
      </c>
      <c r="F455" t="inlineStr">
        <is>
          <t>VÄSTERNORRLANDS LÄN</t>
        </is>
      </c>
      <c r="G455" t="inlineStr">
        <is>
          <t>HÄRNÖSAND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29279-2024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45482</v>
      </c>
      <c r="E456" s="1" t="n">
        <v>46286</v>
      </c>
      <c r="F456" t="inlineStr">
        <is>
          <t>VÄSTERNORRLANDS LÄN</t>
        </is>
      </c>
      <c r="G456" t="inlineStr">
        <is>
          <t>HÄRNÖSAND</t>
        </is>
      </c>
      <c r="H456" t="inlineStr">
        <is>
          <t>SCA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46189</v>
      </c>
      <c r="E457" s="1" t="n">
        <v>46286</v>
      </c>
      <c r="F457" t="inlineStr">
        <is>
          <t>VÄSTERNORRLANDS LÄN</t>
        </is>
      </c>
      <c r="G457" t="inlineStr">
        <is>
          <t>HÄRNÖSAND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46286</v>
      </c>
      <c r="F458" t="inlineStr">
        <is>
          <t>VÄSTERNORRLANDS LÄN</t>
        </is>
      </c>
      <c r="G458" t="inlineStr">
        <is>
          <t>HÄRNÖSAND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46286</v>
      </c>
      <c r="F459" t="inlineStr">
        <is>
          <t>VÄSTERNORRLANDS LÄN</t>
        </is>
      </c>
      <c r="G459" t="inlineStr">
        <is>
          <t>HÄRNÖSAND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27460-2026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46189</v>
      </c>
      <c r="E460" s="1" t="n">
        <v>46286</v>
      </c>
      <c r="F460" t="inlineStr">
        <is>
          <t>VÄSTERNORRLANDS LÄN</t>
        </is>
      </c>
      <c r="G460" t="inlineStr">
        <is>
          <t>HÄRNÖSAND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46286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SCA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46195</v>
      </c>
      <c r="E462" s="1" t="n">
        <v>46286</v>
      </c>
      <c r="F462" t="inlineStr">
        <is>
          <t>VÄSTERNORRLANDS LÄN</t>
        </is>
      </c>
      <c r="G462" t="inlineStr">
        <is>
          <t>HÄRNÖSAND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46286</v>
      </c>
      <c r="F463" t="inlineStr">
        <is>
          <t>VÄSTERNORRLANDS LÄN</t>
        </is>
      </c>
      <c r="G463" t="inlineStr">
        <is>
          <t>HÄRNÖSAND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46286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4819-2024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45328</v>
      </c>
      <c r="E465" s="1" t="n">
        <v>46286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46286</v>
      </c>
      <c r="F466" t="inlineStr">
        <is>
          <t>VÄSTERNORRLANDS LÄN</t>
        </is>
      </c>
      <c r="G466" t="inlineStr">
        <is>
          <t>HÄRNÖSAND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46195</v>
      </c>
      <c r="E467" s="1" t="n">
        <v>46286</v>
      </c>
      <c r="F467" t="inlineStr">
        <is>
          <t>VÄSTERNORRLANDS LÄN</t>
        </is>
      </c>
      <c r="G467" t="inlineStr">
        <is>
          <t>HÄRNÖSAND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46286</v>
      </c>
      <c r="F468" t="inlineStr">
        <is>
          <t>VÄSTERNORRLANDS LÄN</t>
        </is>
      </c>
      <c r="G468" t="inlineStr">
        <is>
          <t>HÄRNÖSAND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46104</v>
      </c>
      <c r="E469" s="1" t="n">
        <v>46286</v>
      </c>
      <c r="F469" t="inlineStr">
        <is>
          <t>VÄSTERNORRLANDS LÄN</t>
        </is>
      </c>
      <c r="G469" t="inlineStr">
        <is>
          <t>HÄRNÖSAND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13604-2024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45390</v>
      </c>
      <c r="E470" s="1" t="n">
        <v>46286</v>
      </c>
      <c r="F470" t="inlineStr">
        <is>
          <t>VÄSTERNORRLANDS LÄN</t>
        </is>
      </c>
      <c r="G470" t="inlineStr">
        <is>
          <t>HÄRNÖSAND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46286</v>
      </c>
      <c r="F471" t="inlineStr">
        <is>
          <t>VÄSTERNORRLANDS LÄN</t>
        </is>
      </c>
      <c r="G471" t="inlineStr">
        <is>
          <t>HÄRNÖSAND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46101</v>
      </c>
      <c r="E472" s="1" t="n">
        <v>46286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16.2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46105</v>
      </c>
      <c r="E473" s="1" t="n">
        <v>46286</v>
      </c>
      <c r="F473" t="inlineStr">
        <is>
          <t>VÄSTERNORRLANDS LÄN</t>
        </is>
      </c>
      <c r="G473" t="inlineStr">
        <is>
          <t>HÄRNÖSAND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60970-2021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44496</v>
      </c>
      <c r="E474" s="1" t="n">
        <v>46286</v>
      </c>
      <c r="F474" t="inlineStr">
        <is>
          <t>VÄSTERNORRLANDS LÄN</t>
        </is>
      </c>
      <c r="G474" t="inlineStr">
        <is>
          <t>HÄRNÖSAND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52987-2022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44875</v>
      </c>
      <c r="E475" s="1" t="n">
        <v>46286</v>
      </c>
      <c r="F475" t="inlineStr">
        <is>
          <t>VÄSTERNORRLANDS LÄN</t>
        </is>
      </c>
      <c r="G475" t="inlineStr">
        <is>
          <t>HÄRNÖSAND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15199-2026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46105</v>
      </c>
      <c r="E476" s="1" t="n">
        <v>46286</v>
      </c>
      <c r="F476" t="inlineStr">
        <is>
          <t>VÄSTERNORRLANDS LÄN</t>
        </is>
      </c>
      <c r="G476" t="inlineStr">
        <is>
          <t>HÄRNÖSAND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69269-2021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44531</v>
      </c>
      <c r="E477" s="1" t="n">
        <v>46286</v>
      </c>
      <c r="F477" t="inlineStr">
        <is>
          <t>VÄSTERNORRLANDS LÄN</t>
        </is>
      </c>
      <c r="G477" t="inlineStr">
        <is>
          <t>HÄRNÖSAND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12267-2025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45729</v>
      </c>
      <c r="E478" s="1" t="n">
        <v>46286</v>
      </c>
      <c r="F478" t="inlineStr">
        <is>
          <t>VÄSTERNORRLANDS LÄN</t>
        </is>
      </c>
      <c r="G478" t="inlineStr">
        <is>
          <t>HÄRNÖSAND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38146-2024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45545</v>
      </c>
      <c r="E479" s="1" t="n">
        <v>46286</v>
      </c>
      <c r="F479" t="inlineStr">
        <is>
          <t>VÄSTERNORRLANDS LÄN</t>
        </is>
      </c>
      <c r="G479" t="inlineStr">
        <is>
          <t>HÄRNÖSAND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46106</v>
      </c>
      <c r="E480" s="1" t="n">
        <v>46286</v>
      </c>
      <c r="F480" t="inlineStr">
        <is>
          <t>VÄSTERNORRLANDS LÄN</t>
        </is>
      </c>
      <c r="G480" t="inlineStr">
        <is>
          <t>HÄRNÖSAND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46286</v>
      </c>
      <c r="F481" t="inlineStr">
        <is>
          <t>VÄSTERNORRLANDS LÄN</t>
        </is>
      </c>
      <c r="G481" t="inlineStr">
        <is>
          <t>HÄRNÖSAND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46286</v>
      </c>
      <c r="F482" t="inlineStr">
        <is>
          <t>VÄSTERNORRLANDS LÄN</t>
        </is>
      </c>
      <c r="G482" t="inlineStr">
        <is>
          <t>HÄRNÖSAND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49346-2024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45595</v>
      </c>
      <c r="E483" s="1" t="n">
        <v>46286</v>
      </c>
      <c r="F483" t="inlineStr">
        <is>
          <t>VÄSTERNORRLANDS LÄN</t>
        </is>
      </c>
      <c r="G483" t="inlineStr">
        <is>
          <t>HÄRNÖSAND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49364-2024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45595</v>
      </c>
      <c r="E484" s="1" t="n">
        <v>46286</v>
      </c>
      <c r="F484" t="inlineStr">
        <is>
          <t>VÄSTERNORRLANDS LÄN</t>
        </is>
      </c>
      <c r="G484" t="inlineStr">
        <is>
          <t>HÄRNÖSAND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15928-2026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46107</v>
      </c>
      <c r="E485" s="1" t="n">
        <v>46286</v>
      </c>
      <c r="F485" t="inlineStr">
        <is>
          <t>VÄSTERNORRLANDS LÄN</t>
        </is>
      </c>
      <c r="G485" t="inlineStr">
        <is>
          <t>HÄRNÖSAND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46107</v>
      </c>
      <c r="E486" s="1" t="n">
        <v>46286</v>
      </c>
      <c r="F486" t="inlineStr">
        <is>
          <t>VÄSTERNORRLANDS LÄN</t>
        </is>
      </c>
      <c r="G486" t="inlineStr">
        <is>
          <t>HÄRNÖSAND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64377-2023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45280</v>
      </c>
      <c r="E487" s="1" t="n">
        <v>46286</v>
      </c>
      <c r="F487" t="inlineStr">
        <is>
          <t>VÄSTERNORRLANDS LÄN</t>
        </is>
      </c>
      <c r="G487" t="inlineStr">
        <is>
          <t>HÄRNÖSAND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19827-2022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44694</v>
      </c>
      <c r="E488" s="1" t="n">
        <v>46286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15930-2026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46286</v>
      </c>
      <c r="F489" t="inlineStr">
        <is>
          <t>VÄSTERNORRLANDS LÄN</t>
        </is>
      </c>
      <c r="G489" t="inlineStr">
        <is>
          <t>HÄRNÖSAND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27912-2022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44743</v>
      </c>
      <c r="E490" s="1" t="n">
        <v>46286</v>
      </c>
      <c r="F490" t="inlineStr">
        <is>
          <t>VÄSTERNORRLANDS LÄN</t>
        </is>
      </c>
      <c r="G490" t="inlineStr">
        <is>
          <t>HÄRNÖSAND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37172-2022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44806</v>
      </c>
      <c r="E491" s="1" t="n">
        <v>46286</v>
      </c>
      <c r="F491" t="inlineStr">
        <is>
          <t>VÄSTERNORRLANDS LÄN</t>
        </is>
      </c>
      <c r="G491" t="inlineStr">
        <is>
          <t>HÄRNÖSAND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37172-2022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44806</v>
      </c>
      <c r="E492" s="1" t="n">
        <v>46286</v>
      </c>
      <c r="F492" t="inlineStr">
        <is>
          <t>VÄSTERNORRLANDS LÄN</t>
        </is>
      </c>
      <c r="G492" t="inlineStr">
        <is>
          <t>HÄRNÖSAND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16705-2026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46286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46286</v>
      </c>
      <c r="F494" t="inlineStr">
        <is>
          <t>VÄSTERNORRLANDS LÄN</t>
        </is>
      </c>
      <c r="G494" t="inlineStr">
        <is>
          <t>HÄRNÖSAND</t>
        </is>
      </c>
      <c r="I494" t="n">
        <v>10.8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45714</v>
      </c>
      <c r="E495" s="1" t="n">
        <v>46286</v>
      </c>
      <c r="F495" t="inlineStr">
        <is>
          <t>VÄSTERNORRLANDS LÄN</t>
        </is>
      </c>
      <c r="G495" t="inlineStr">
        <is>
          <t>HÄRNÖSAND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55058-2023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45229</v>
      </c>
      <c r="E496" s="1" t="n">
        <v>46286</v>
      </c>
      <c r="F496" t="inlineStr">
        <is>
          <t>VÄSTERNORRLANDS LÄN</t>
        </is>
      </c>
      <c r="G496" t="inlineStr">
        <is>
          <t>HÄRNÖSAND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17874-2026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46122</v>
      </c>
      <c r="E497" s="1" t="n">
        <v>46286</v>
      </c>
      <c r="F497" t="inlineStr">
        <is>
          <t>VÄSTERNORRLANDS LÄN</t>
        </is>
      </c>
      <c r="G497" t="inlineStr">
        <is>
          <t>HÄRNÖSAND</t>
        </is>
      </c>
      <c r="I497" t="n">
        <v>8.300000000000001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46126</v>
      </c>
      <c r="E498" s="1" t="n">
        <v>46286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31.9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46244</v>
      </c>
      <c r="E499" s="1" t="n">
        <v>46286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Kyrkan</t>
        </is>
      </c>
      <c r="I499" t="n">
        <v>24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11043-2023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44991</v>
      </c>
      <c r="E500" s="1" t="n">
        <v>46286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18575-2026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46286</v>
      </c>
      <c r="F501" t="inlineStr">
        <is>
          <t>VÄSTERNORRLANDS LÄN</t>
        </is>
      </c>
      <c r="G501" t="inlineStr">
        <is>
          <t>HÄRNÖSAND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58869-2023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45250</v>
      </c>
      <c r="E502" s="1" t="n">
        <v>46286</v>
      </c>
      <c r="F502" t="inlineStr">
        <is>
          <t>VÄSTERNORRLANDS LÄN</t>
        </is>
      </c>
      <c r="G502" t="inlineStr">
        <is>
          <t>HÄRNÖSAND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19327-2026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46286</v>
      </c>
      <c r="F503" t="inlineStr">
        <is>
          <t>VÄSTERNORRLANDS LÄN</t>
        </is>
      </c>
      <c r="G503" t="inlineStr">
        <is>
          <t>HÄRNÖSAND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45921-2024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45580</v>
      </c>
      <c r="E504" s="1" t="n">
        <v>46286</v>
      </c>
      <c r="F504" t="inlineStr">
        <is>
          <t>VÄSTERNORRLANDS LÄN</t>
        </is>
      </c>
      <c r="G504" t="inlineStr">
        <is>
          <t>HÄRNÖSAND</t>
        </is>
      </c>
      <c r="I504" t="n">
        <v>14.2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19245-2026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46286</v>
      </c>
      <c r="F505" t="inlineStr">
        <is>
          <t>VÄSTERNORRLANDS LÄN</t>
        </is>
      </c>
      <c r="G505" t="inlineStr">
        <is>
          <t>HÄRNÖSAND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19346-2026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46133</v>
      </c>
      <c r="E506" s="1" t="n">
        <v>46286</v>
      </c>
      <c r="F506" t="inlineStr">
        <is>
          <t>VÄSTERNORRLANDS LÄN</t>
        </is>
      </c>
      <c r="G506" t="inlineStr">
        <is>
          <t>HÄRNÖSAND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64749-2023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46286</v>
      </c>
      <c r="F507" t="inlineStr">
        <is>
          <t>VÄSTERNORRLANDS LÄN</t>
        </is>
      </c>
      <c r="G507" t="inlineStr">
        <is>
          <t>HÄRNÖSAND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29476-2026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46203</v>
      </c>
      <c r="E508" s="1" t="n">
        <v>46286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6258-2023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44957</v>
      </c>
      <c r="E509" s="1" t="n">
        <v>46286</v>
      </c>
      <c r="F509" t="inlineStr">
        <is>
          <t>VÄSTERNORRLANDS LÄN</t>
        </is>
      </c>
      <c r="G509" t="inlineStr">
        <is>
          <t>HÄRNÖSAND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61776-2023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45265</v>
      </c>
      <c r="E510" s="1" t="n">
        <v>46286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27977-2024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45476</v>
      </c>
      <c r="E511" s="1" t="n">
        <v>46286</v>
      </c>
      <c r="F511" t="inlineStr">
        <is>
          <t>VÄSTERNORRLANDS LÄN</t>
        </is>
      </c>
      <c r="G511" t="inlineStr">
        <is>
          <t>HÄRNÖSAND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27976-2024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45476</v>
      </c>
      <c r="E512" s="1" t="n">
        <v>46286</v>
      </c>
      <c r="F512" t="inlineStr">
        <is>
          <t>VÄSTERNORRLANDS LÄN</t>
        </is>
      </c>
      <c r="G512" t="inlineStr">
        <is>
          <t>HÄRNÖSAND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39498-2023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45166</v>
      </c>
      <c r="E513" s="1" t="n">
        <v>46286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46286</v>
      </c>
      <c r="F514" t="inlineStr">
        <is>
          <t>VÄSTERNORRLANDS LÄN</t>
        </is>
      </c>
      <c r="G514" t="inlineStr">
        <is>
          <t>HÄRNÖSAND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46286</v>
      </c>
      <c r="F515" t="inlineStr">
        <is>
          <t>VÄSTERNORRLANDS LÄN</t>
        </is>
      </c>
      <c r="G515" t="inlineStr">
        <is>
          <t>HÄRNÖSAND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48047-2022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44855</v>
      </c>
      <c r="E516" s="1" t="n">
        <v>46286</v>
      </c>
      <c r="F516" t="inlineStr">
        <is>
          <t>VÄSTERNORRLANDS LÄN</t>
        </is>
      </c>
      <c r="G516" t="inlineStr">
        <is>
          <t>HÄRNÖSAND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56395-2022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44890</v>
      </c>
      <c r="E517" s="1" t="n">
        <v>46286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Kyrkan</t>
        </is>
      </c>
      <c r="I517" t="n">
        <v>7.4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46286</v>
      </c>
      <c r="F518" t="inlineStr">
        <is>
          <t>VÄSTERNORRLANDS LÄN</t>
        </is>
      </c>
      <c r="G518" t="inlineStr">
        <is>
          <t>HÄRNÖSAND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29754-2026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46286</v>
      </c>
      <c r="F519" t="inlineStr">
        <is>
          <t>VÄSTERNORRLANDS LÄN</t>
        </is>
      </c>
      <c r="G519" t="inlineStr">
        <is>
          <t>HÄRNÖSAND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46286</v>
      </c>
      <c r="F520" t="inlineStr">
        <is>
          <t>VÄSTERNORRLANDS LÄN</t>
        </is>
      </c>
      <c r="G520" t="inlineStr">
        <is>
          <t>HÄRNÖSAND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46286</v>
      </c>
      <c r="F521" t="inlineStr">
        <is>
          <t>VÄSTERNORRLANDS LÄN</t>
        </is>
      </c>
      <c r="G521" t="inlineStr">
        <is>
          <t>HÄRNÖSAND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46286</v>
      </c>
      <c r="F522" t="inlineStr">
        <is>
          <t>VÄSTERNORRLANDS LÄN</t>
        </is>
      </c>
      <c r="G522" t="inlineStr">
        <is>
          <t>HÄRNÖSAND</t>
        </is>
      </c>
      <c r="I522" t="n">
        <v>14.6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33747-2026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46286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44945</v>
      </c>
      <c r="E524" s="1" t="n">
        <v>46286</v>
      </c>
      <c r="F524" t="inlineStr">
        <is>
          <t>VÄSTERNORRLANDS LÄN</t>
        </is>
      </c>
      <c r="G524" t="inlineStr">
        <is>
          <t>HÄRNÖSAND</t>
        </is>
      </c>
      <c r="H524" t="inlineStr">
        <is>
          <t>SCA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30216-2026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46206</v>
      </c>
      <c r="E525" s="1" t="n">
        <v>46286</v>
      </c>
      <c r="F525" t="inlineStr">
        <is>
          <t>VÄSTERNORRLANDS LÄN</t>
        </is>
      </c>
      <c r="G525" t="inlineStr">
        <is>
          <t>HÄRNÖSAND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30171-2026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46206</v>
      </c>
      <c r="E526" s="1" t="n">
        <v>46286</v>
      </c>
      <c r="F526" t="inlineStr">
        <is>
          <t>VÄSTERNORRLANDS LÄN</t>
        </is>
      </c>
      <c r="G526" t="inlineStr">
        <is>
          <t>HÄRNÖSAND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30017-2026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46286</v>
      </c>
      <c r="F527" t="inlineStr">
        <is>
          <t>VÄSTERNORRLANDS LÄN</t>
        </is>
      </c>
      <c r="G527" t="inlineStr">
        <is>
          <t>HÄRNÖSAND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25746-2025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45800</v>
      </c>
      <c r="E528" s="1" t="n">
        <v>46286</v>
      </c>
      <c r="F528" t="inlineStr">
        <is>
          <t>VÄSTERNORRLANDS LÄN</t>
        </is>
      </c>
      <c r="G528" t="inlineStr">
        <is>
          <t>HÄRNÖSAND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30201-2026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46206</v>
      </c>
      <c r="E529" s="1" t="n">
        <v>46286</v>
      </c>
      <c r="F529" t="inlineStr">
        <is>
          <t>VÄSTERNORRLANDS LÄN</t>
        </is>
      </c>
      <c r="G529" t="inlineStr">
        <is>
          <t>HÄRNÖSAND</t>
        </is>
      </c>
      <c r="I529" t="n">
        <v>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46206</v>
      </c>
      <c r="E530" s="1" t="n">
        <v>46286</v>
      </c>
      <c r="F530" t="inlineStr">
        <is>
          <t>VÄSTERNORRLANDS LÄN</t>
        </is>
      </c>
      <c r="G530" t="inlineStr">
        <is>
          <t>HÄRNÖSAND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46248</v>
      </c>
      <c r="E531" s="1" t="n">
        <v>46286</v>
      </c>
      <c r="F531" t="inlineStr">
        <is>
          <t>VÄSTERNORRLANDS LÄN</t>
        </is>
      </c>
      <c r="G531" t="inlineStr">
        <is>
          <t>HÄRNÖSAND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59034-2022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44903</v>
      </c>
      <c r="E532" s="1" t="n">
        <v>46286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46252</v>
      </c>
      <c r="E533" s="1" t="n">
        <v>46286</v>
      </c>
      <c r="F533" t="inlineStr">
        <is>
          <t>VÄSTERNORRLANDS LÄN</t>
        </is>
      </c>
      <c r="G533" t="inlineStr">
        <is>
          <t>HÄRNÖSAND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59155-2023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45251</v>
      </c>
      <c r="E534" s="1" t="n">
        <v>46286</v>
      </c>
      <c r="F534" t="inlineStr">
        <is>
          <t>VÄSTERNORRLANDS LÄN</t>
        </is>
      </c>
      <c r="G534" t="inlineStr">
        <is>
          <t>HÄRNÖSAND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30413-2026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46209</v>
      </c>
      <c r="E535" s="1" t="n">
        <v>46286</v>
      </c>
      <c r="F535" t="inlineStr">
        <is>
          <t>VÄSTERNORRLANDS LÄN</t>
        </is>
      </c>
      <c r="G535" t="inlineStr">
        <is>
          <t>HÄRNÖSAND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32418-2024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45512</v>
      </c>
      <c r="E536" s="1" t="n">
        <v>46286</v>
      </c>
      <c r="F536" t="inlineStr">
        <is>
          <t>VÄSTERNORRLANDS LÄN</t>
        </is>
      </c>
      <c r="G536" t="inlineStr">
        <is>
          <t>HÄRNÖSAND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11042-2025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45723</v>
      </c>
      <c r="E537" s="1" t="n">
        <v>46286</v>
      </c>
      <c r="F537" t="inlineStr">
        <is>
          <t>VÄSTERNORRLANDS LÄN</t>
        </is>
      </c>
      <c r="G537" t="inlineStr">
        <is>
          <t>HÄRNÖSAND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61574-2021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44497</v>
      </c>
      <c r="E538" s="1" t="n">
        <v>46286</v>
      </c>
      <c r="F538" t="inlineStr">
        <is>
          <t>VÄSTERNORRLANDS LÄN</t>
        </is>
      </c>
      <c r="G538" t="inlineStr">
        <is>
          <t>HÄRNÖSAND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62333-2021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44502</v>
      </c>
      <c r="E539" s="1" t="n">
        <v>46286</v>
      </c>
      <c r="F539" t="inlineStr">
        <is>
          <t>VÄSTERNORRLANDS LÄN</t>
        </is>
      </c>
      <c r="G539" t="inlineStr">
        <is>
          <t>HÄRNÖSAND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30710-2026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46211</v>
      </c>
      <c r="E540" s="1" t="n">
        <v>46286</v>
      </c>
      <c r="F540" t="inlineStr">
        <is>
          <t>VÄSTERNORRLANDS LÄN</t>
        </is>
      </c>
      <c r="G540" t="inlineStr">
        <is>
          <t>HÄRNÖSAND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45323</v>
      </c>
      <c r="E541" s="1" t="n">
        <v>46286</v>
      </c>
      <c r="F541" t="inlineStr">
        <is>
          <t>VÄSTERNORRLANDS LÄN</t>
        </is>
      </c>
      <c r="G541" t="inlineStr">
        <is>
          <t>HÄRNÖSAND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59715-2024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45639</v>
      </c>
      <c r="E542" s="1" t="n">
        <v>46286</v>
      </c>
      <c r="F542" t="inlineStr">
        <is>
          <t>VÄSTERNORRLANDS LÄN</t>
        </is>
      </c>
      <c r="G542" t="inlineStr">
        <is>
          <t>HÄRNÖSAND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8220-2022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44609</v>
      </c>
      <c r="E543" s="1" t="n">
        <v>46286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Övriga statliga verk och myndigheter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30711-2026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46211</v>
      </c>
      <c r="E544" s="1" t="n">
        <v>46286</v>
      </c>
      <c r="F544" t="inlineStr">
        <is>
          <t>VÄSTERNORRLANDS LÄN</t>
        </is>
      </c>
      <c r="G544" t="inlineStr">
        <is>
          <t>HÄRNÖSAND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46213</v>
      </c>
      <c r="E545" s="1" t="n">
        <v>46286</v>
      </c>
      <c r="F545" t="inlineStr">
        <is>
          <t>VÄSTERNORRLANDS LÄN</t>
        </is>
      </c>
      <c r="G545" t="inlineStr">
        <is>
          <t>HÄRNÖSAND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44952</v>
      </c>
      <c r="E546" s="1" t="n">
        <v>46286</v>
      </c>
      <c r="F546" t="inlineStr">
        <is>
          <t>VÄSTERNORRLANDS LÄN</t>
        </is>
      </c>
      <c r="G546" t="inlineStr">
        <is>
          <t>HÄRNÖSAND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46258</v>
      </c>
      <c r="E547" s="1" t="n">
        <v>46286</v>
      </c>
      <c r="F547" t="inlineStr">
        <is>
          <t>VÄSTERNORRLANDS LÄN</t>
        </is>
      </c>
      <c r="G547" t="inlineStr">
        <is>
          <t>HÄRNÖSAND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31049-2026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46215</v>
      </c>
      <c r="E548" s="1" t="n">
        <v>46286</v>
      </c>
      <c r="F548" t="inlineStr">
        <is>
          <t>VÄSTERNORRLANDS LÄN</t>
        </is>
      </c>
      <c r="G548" t="inlineStr">
        <is>
          <t>HÄRNÖSAND</t>
        </is>
      </c>
      <c r="I548" t="n">
        <v>12.7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31050-2026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46215</v>
      </c>
      <c r="E549" s="1" t="n">
        <v>46286</v>
      </c>
      <c r="F549" t="inlineStr">
        <is>
          <t>VÄSTERNORRLANDS LÄN</t>
        </is>
      </c>
      <c r="G549" t="inlineStr">
        <is>
          <t>HÄRNÖSAND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7793-2024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45348</v>
      </c>
      <c r="E550" s="1" t="n">
        <v>46286</v>
      </c>
      <c r="F550" t="inlineStr">
        <is>
          <t>VÄSTERNORRLANDS LÄN</t>
        </is>
      </c>
      <c r="G550" t="inlineStr">
        <is>
          <t>HÄRNÖSAND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28319-2022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44747</v>
      </c>
      <c r="E551" s="1" t="n">
        <v>46286</v>
      </c>
      <c r="F551" t="inlineStr">
        <is>
          <t>VÄSTERNORRLANDS LÄN</t>
        </is>
      </c>
      <c r="G551" t="inlineStr">
        <is>
          <t>HÄRNÖSAND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30971-2026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46213</v>
      </c>
      <c r="E552" s="1" t="n">
        <v>46286</v>
      </c>
      <c r="F552" t="inlineStr">
        <is>
          <t>VÄSTERNORRLANDS LÄN</t>
        </is>
      </c>
      <c r="G552" t="inlineStr">
        <is>
          <t>HÄRNÖSAND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30976-2026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46213</v>
      </c>
      <c r="E553" s="1" t="n">
        <v>46286</v>
      </c>
      <c r="F553" t="inlineStr">
        <is>
          <t>VÄSTERNORRLANDS LÄN</t>
        </is>
      </c>
      <c r="G553" t="inlineStr">
        <is>
          <t>HÄRNÖSAND</t>
        </is>
      </c>
      <c r="I553" t="n">
        <v>13.6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36496-2023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45152</v>
      </c>
      <c r="E554" s="1" t="n">
        <v>46286</v>
      </c>
      <c r="F554" t="inlineStr">
        <is>
          <t>VÄSTERNORRLANDS LÄN</t>
        </is>
      </c>
      <c r="G554" t="inlineStr">
        <is>
          <t>HÄRNÖSAND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45099</v>
      </c>
      <c r="E555" s="1" t="n">
        <v>46286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46286</v>
      </c>
      <c r="F556" t="inlineStr">
        <is>
          <t>VÄSTERNORRLANDS LÄN</t>
        </is>
      </c>
      <c r="G556" t="inlineStr">
        <is>
          <t>HÄRNÖSAND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46219</v>
      </c>
      <c r="E557" s="1" t="n">
        <v>46286</v>
      </c>
      <c r="F557" t="inlineStr">
        <is>
          <t>VÄSTERNORRLANDS LÄN</t>
        </is>
      </c>
      <c r="G557" t="inlineStr">
        <is>
          <t>HÄRNÖSAND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46219</v>
      </c>
      <c r="E558" s="1" t="n">
        <v>46286</v>
      </c>
      <c r="F558" t="inlineStr">
        <is>
          <t>VÄSTERNORRLANDS LÄN</t>
        </is>
      </c>
      <c r="G558" t="inlineStr">
        <is>
          <t>HÄRNÖSAND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31506-2026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46219</v>
      </c>
      <c r="E559" s="1" t="n">
        <v>46286</v>
      </c>
      <c r="F559" t="inlineStr">
        <is>
          <t>VÄSTERNORRLANDS LÄN</t>
        </is>
      </c>
      <c r="G559" t="inlineStr">
        <is>
          <t>HÄRNÖSAND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57154-2024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45629</v>
      </c>
      <c r="E560" s="1" t="n">
        <v>46286</v>
      </c>
      <c r="F560" t="inlineStr">
        <is>
          <t>VÄSTERNORRLANDS LÄN</t>
        </is>
      </c>
      <c r="G560" t="inlineStr">
        <is>
          <t>HÄRNÖSAND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12533-2023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45000</v>
      </c>
      <c r="E561" s="1" t="n">
        <v>46286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12543-2023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45000</v>
      </c>
      <c r="E562" s="1" t="n">
        <v>46286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30893-2026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46213</v>
      </c>
      <c r="E563" s="1" t="n">
        <v>46286</v>
      </c>
      <c r="F563" t="inlineStr">
        <is>
          <t>VÄSTERNORRLANDS LÄN</t>
        </is>
      </c>
      <c r="G563" t="inlineStr">
        <is>
          <t>HÄRNÖSAND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29483-2026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46203</v>
      </c>
      <c r="E564" s="1" t="n">
        <v>46286</v>
      </c>
      <c r="F564" t="inlineStr">
        <is>
          <t>VÄSTERNORRLANDS LÄN</t>
        </is>
      </c>
      <c r="G564" t="inlineStr">
        <is>
          <t>HÄRNÖSAND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39954-2022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44819</v>
      </c>
      <c r="E565" s="1" t="n">
        <v>46286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18348-2025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45762</v>
      </c>
      <c r="E566" s="1" t="n">
        <v>46286</v>
      </c>
      <c r="F566" t="inlineStr">
        <is>
          <t>VÄSTERNORRLANDS LÄN</t>
        </is>
      </c>
      <c r="G566" t="inlineStr">
        <is>
          <t>HÄRNÖSAND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23186-2026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46161</v>
      </c>
      <c r="E567" s="1" t="n">
        <v>46286</v>
      </c>
      <c r="F567" t="inlineStr">
        <is>
          <t>VÄSTERNORRLANDS LÄN</t>
        </is>
      </c>
      <c r="G567" t="inlineStr">
        <is>
          <t>HÄRNÖSAND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46262</v>
      </c>
      <c r="E568" s="1" t="n">
        <v>46286</v>
      </c>
      <c r="F568" t="inlineStr">
        <is>
          <t>VÄSTERNORRLANDS LÄN</t>
        </is>
      </c>
      <c r="G568" t="inlineStr">
        <is>
          <t>HÄRNÖSAND</t>
        </is>
      </c>
      <c r="I568" t="n">
        <v>7.9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35670-2026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46265</v>
      </c>
      <c r="E569" s="1" t="n">
        <v>46286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22.1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39044-2023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45163</v>
      </c>
      <c r="E570" s="1" t="n">
        <v>46286</v>
      </c>
      <c r="F570" t="inlineStr">
        <is>
          <t>VÄSTERNORRLANDS LÄN</t>
        </is>
      </c>
      <c r="G570" t="inlineStr">
        <is>
          <t>HÄRNÖSAND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45107</v>
      </c>
      <c r="E571" s="1" t="n">
        <v>46286</v>
      </c>
      <c r="F571" t="inlineStr">
        <is>
          <t>VÄSTERNORRLANDS LÄN</t>
        </is>
      </c>
      <c r="G571" t="inlineStr">
        <is>
          <t>HÄRNÖSAND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4206-2025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45685</v>
      </c>
      <c r="E572" s="1" t="n">
        <v>46286</v>
      </c>
      <c r="F572" t="inlineStr">
        <is>
          <t>VÄSTERNORRLANDS LÄN</t>
        </is>
      </c>
      <c r="G572" t="inlineStr">
        <is>
          <t>HÄRNÖSAND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45776</v>
      </c>
      <c r="E573" s="1" t="n">
        <v>46286</v>
      </c>
      <c r="F573" t="inlineStr">
        <is>
          <t>VÄSTERNORRLANDS LÄN</t>
        </is>
      </c>
      <c r="G573" t="inlineStr">
        <is>
          <t>HÄRNÖSAND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20821-2025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45776</v>
      </c>
      <c r="E574" s="1" t="n">
        <v>46286</v>
      </c>
      <c r="F574" t="inlineStr">
        <is>
          <t>VÄSTERNORRLANDS LÄN</t>
        </is>
      </c>
      <c r="G574" t="inlineStr">
        <is>
          <t>HÄRNÖSAND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21484-2025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45782</v>
      </c>
      <c r="E575" s="1" t="n">
        <v>46286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32.1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21480-2025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45782</v>
      </c>
      <c r="E576" s="1" t="n">
        <v>46286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12.3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46275</v>
      </c>
      <c r="E577" s="1" t="n">
        <v>46286</v>
      </c>
      <c r="F577" t="inlineStr">
        <is>
          <t>VÄSTERNORRLANDS LÄN</t>
        </is>
      </c>
      <c r="G577" t="inlineStr">
        <is>
          <t>HÄRNÖSAND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42343-2024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45562</v>
      </c>
      <c r="E578" s="1" t="n">
        <v>46286</v>
      </c>
      <c r="F578" t="inlineStr">
        <is>
          <t>VÄSTERNORRLANDS LÄN</t>
        </is>
      </c>
      <c r="G578" t="inlineStr">
        <is>
          <t>HÄRNÖSAND</t>
        </is>
      </c>
      <c r="I578" t="n">
        <v>15.6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46274</v>
      </c>
      <c r="E579" s="1" t="n">
        <v>46286</v>
      </c>
      <c r="F579" t="inlineStr">
        <is>
          <t>VÄSTERNORRLANDS LÄN</t>
        </is>
      </c>
      <c r="G579" t="inlineStr">
        <is>
          <t>HÄRNÖSAND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46232</v>
      </c>
      <c r="E580" s="1" t="n">
        <v>46286</v>
      </c>
      <c r="F580" t="inlineStr">
        <is>
          <t>VÄSTERNORRLANDS LÄN</t>
        </is>
      </c>
      <c r="G580" t="inlineStr">
        <is>
          <t>HÄRNÖSAND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45502-2024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45578</v>
      </c>
      <c r="E581" s="1" t="n">
        <v>46286</v>
      </c>
      <c r="F581" t="inlineStr">
        <is>
          <t>VÄSTERNORRLANDS LÄN</t>
        </is>
      </c>
      <c r="G581" t="inlineStr">
        <is>
          <t>HÄRNÖSAND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44590-2024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46286</v>
      </c>
      <c r="F582" t="inlineStr">
        <is>
          <t>VÄSTERNORRLANDS LÄN</t>
        </is>
      </c>
      <c r="G582" t="inlineStr">
        <is>
          <t>HÄRNÖSAND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32293-2026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46237</v>
      </c>
      <c r="E583" s="1" t="n">
        <v>46286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23290-2025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45791</v>
      </c>
      <c r="E584" s="1" t="n">
        <v>46286</v>
      </c>
      <c r="F584" t="inlineStr">
        <is>
          <t>VÄSTERNORRLANDS LÄN</t>
        </is>
      </c>
      <c r="G584" t="inlineStr">
        <is>
          <t>HÄRNÖSAND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6831-2024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45342</v>
      </c>
      <c r="E585" s="1" t="n">
        <v>46286</v>
      </c>
      <c r="F585" t="inlineStr">
        <is>
          <t>VÄSTERNORRLANDS LÄN</t>
        </is>
      </c>
      <c r="G585" t="inlineStr">
        <is>
          <t>HÄRNÖSAND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19949-2024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45433</v>
      </c>
      <c r="E586" s="1" t="n">
        <v>46286</v>
      </c>
      <c r="F586" t="inlineStr">
        <is>
          <t>VÄSTERNORRLANDS LÄN</t>
        </is>
      </c>
      <c r="G586" t="inlineStr">
        <is>
          <t>HÄRNÖSAND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38215-2026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46281</v>
      </c>
      <c r="E587" s="1" t="n">
        <v>46286</v>
      </c>
      <c r="F587" t="inlineStr">
        <is>
          <t>VÄSTERNORRLANDS LÄN</t>
        </is>
      </c>
      <c r="G587" t="inlineStr">
        <is>
          <t>HÄRNÖSAND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8475-2024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45351</v>
      </c>
      <c r="E588" s="1" t="n">
        <v>46286</v>
      </c>
      <c r="F588" t="inlineStr">
        <is>
          <t>VÄSTERNORRLANDS LÄN</t>
        </is>
      </c>
      <c r="G588" t="inlineStr">
        <is>
          <t>HÄRNÖSAND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23825-2025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45793</v>
      </c>
      <c r="E589" s="1" t="n">
        <v>46286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38229-2026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46281</v>
      </c>
      <c r="E590" s="1" t="n">
        <v>46286</v>
      </c>
      <c r="F590" t="inlineStr">
        <is>
          <t>VÄSTERNORRLANDS LÄN</t>
        </is>
      </c>
      <c r="G590" t="inlineStr">
        <is>
          <t>HÄRNÖSAND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45579</v>
      </c>
      <c r="E591" s="1" t="n">
        <v>46286</v>
      </c>
      <c r="F591" t="inlineStr">
        <is>
          <t>VÄSTERNORRLANDS LÄN</t>
        </is>
      </c>
      <c r="G591" t="inlineStr">
        <is>
          <t>HÄRNÖSAND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1088-2022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44571</v>
      </c>
      <c r="E592" s="1" t="n">
        <v>46286</v>
      </c>
      <c r="F592" t="inlineStr">
        <is>
          <t>VÄSTERNORRLANDS LÄN</t>
        </is>
      </c>
      <c r="G592" t="inlineStr">
        <is>
          <t>HÄRNÖSAND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61944-2023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45266</v>
      </c>
      <c r="E593" s="1" t="n">
        <v>46286</v>
      </c>
      <c r="F593" t="inlineStr">
        <is>
          <t>VÄSTERNORRLANDS LÄN</t>
        </is>
      </c>
      <c r="G593" t="inlineStr">
        <is>
          <t>HÄRNÖSAND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32485-2026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46239</v>
      </c>
      <c r="E594" s="1" t="n">
        <v>46286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32790-2024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45516</v>
      </c>
      <c r="E595" s="1" t="n">
        <v>46286</v>
      </c>
      <c r="F595" t="inlineStr">
        <is>
          <t>VÄSTERNORRLANDS LÄN</t>
        </is>
      </c>
      <c r="G595" t="inlineStr">
        <is>
          <t>HÄRNÖSAND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45799</v>
      </c>
      <c r="E596" s="1" t="n">
        <v>46286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34745-2023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45139</v>
      </c>
      <c r="E597" s="1" t="n">
        <v>46286</v>
      </c>
      <c r="F597" t="inlineStr">
        <is>
          <t>VÄSTERNORRLANDS LÄN</t>
        </is>
      </c>
      <c r="G597" t="inlineStr">
        <is>
          <t>HÄRNÖSAND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38471-2026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46282</v>
      </c>
      <c r="E598" s="1" t="n">
        <v>46286</v>
      </c>
      <c r="F598" t="inlineStr">
        <is>
          <t>VÄSTERNORRLANDS LÄN</t>
        </is>
      </c>
      <c r="G598" t="inlineStr">
        <is>
          <t>HÄRNÖSAND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55583-2021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44475</v>
      </c>
      <c r="E599" s="1" t="n">
        <v>46286</v>
      </c>
      <c r="F599" t="inlineStr">
        <is>
          <t>VÄSTERNORRLANDS LÄN</t>
        </is>
      </c>
      <c r="G599" t="inlineStr">
        <is>
          <t>HÄRNÖSAND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45803</v>
      </c>
      <c r="E600" s="1" t="n">
        <v>46286</v>
      </c>
      <c r="F600" t="inlineStr">
        <is>
          <t>VÄSTERNORRLANDS LÄN</t>
        </is>
      </c>
      <c r="G600" t="inlineStr">
        <is>
          <t>HÄRNÖSAND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18461-2025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45762</v>
      </c>
      <c r="E601" s="1" t="n">
        <v>46286</v>
      </c>
      <c r="F601" t="inlineStr">
        <is>
          <t>VÄSTERNORRLANDS LÄN</t>
        </is>
      </c>
      <c r="G601" t="inlineStr">
        <is>
          <t>HÄRNÖSAND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25355-2025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45800</v>
      </c>
      <c r="E602" s="1" t="n">
        <v>46286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26176-2025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45805</v>
      </c>
      <c r="E603" s="1" t="n">
        <v>46286</v>
      </c>
      <c r="F603" t="inlineStr">
        <is>
          <t>VÄSTERNORRLANDS LÄN</t>
        </is>
      </c>
      <c r="G603" t="inlineStr">
        <is>
          <t>HÄRNÖSAND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57685-2024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45630</v>
      </c>
      <c r="E604" s="1" t="n">
        <v>46286</v>
      </c>
      <c r="F604" t="inlineStr">
        <is>
          <t>VÄSTERNORRLANDS LÄN</t>
        </is>
      </c>
      <c r="G604" t="inlineStr">
        <is>
          <t>HÄRNÖSAND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45205</v>
      </c>
      <c r="E605" s="1" t="n">
        <v>46286</v>
      </c>
      <c r="F605" t="inlineStr">
        <is>
          <t>VÄSTERNORRLANDS LÄN</t>
        </is>
      </c>
      <c r="G605" t="inlineStr">
        <is>
          <t>HÄRNÖSAND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26918-2025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46286</v>
      </c>
      <c r="F606" t="inlineStr">
        <is>
          <t>VÄSTERNORRLANDS LÄN</t>
        </is>
      </c>
      <c r="G606" t="inlineStr">
        <is>
          <t>HÄRNÖSAND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27272-2025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45812</v>
      </c>
      <c r="E607" s="1" t="n">
        <v>46286</v>
      </c>
      <c r="F607" t="inlineStr">
        <is>
          <t>VÄSTERNORRLANDS LÄN</t>
        </is>
      </c>
      <c r="G607" t="inlineStr">
        <is>
          <t>HÄRNÖSAND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27273-2025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45812</v>
      </c>
      <c r="E608" s="1" t="n">
        <v>46286</v>
      </c>
      <c r="F608" t="inlineStr">
        <is>
          <t>VÄSTERNORRLANDS LÄN</t>
        </is>
      </c>
      <c r="G608" t="inlineStr">
        <is>
          <t>HÄRNÖSAND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29542-2025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45825</v>
      </c>
      <c r="E609" s="1" t="n">
        <v>46286</v>
      </c>
      <c r="F609" t="inlineStr">
        <is>
          <t>VÄSTERNORRLANDS LÄN</t>
        </is>
      </c>
      <c r="G609" t="inlineStr">
        <is>
          <t>HÄRNÖSAND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29548-2025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45825</v>
      </c>
      <c r="E610" s="1" t="n">
        <v>46286</v>
      </c>
      <c r="F610" t="inlineStr">
        <is>
          <t>VÄSTERNORRLANDS LÄN</t>
        </is>
      </c>
      <c r="G610" t="inlineStr">
        <is>
          <t>HÄRNÖSAND</t>
        </is>
      </c>
      <c r="I610" t="n">
        <v>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29549-2025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45825</v>
      </c>
      <c r="E611" s="1" t="n">
        <v>46286</v>
      </c>
      <c r="F611" t="inlineStr">
        <is>
          <t>VÄSTERNORRLANDS LÄN</t>
        </is>
      </c>
      <c r="G611" t="inlineStr">
        <is>
          <t>HÄRNÖSAND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29550-2025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46286</v>
      </c>
      <c r="F612" t="inlineStr">
        <is>
          <t>VÄSTERNORRLANDS LÄN</t>
        </is>
      </c>
      <c r="G612" t="inlineStr">
        <is>
          <t>HÄRNÖSAND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29233-2025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45824</v>
      </c>
      <c r="E613" s="1" t="n">
        <v>46286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30039-2025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45826</v>
      </c>
      <c r="E614" s="1" t="n">
        <v>46286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Kyrkan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45833</v>
      </c>
      <c r="E615" s="1" t="n">
        <v>46286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31344-2025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45833</v>
      </c>
      <c r="E616" s="1" t="n">
        <v>46286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31305-2025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45833</v>
      </c>
      <c r="E617" s="1" t="n">
        <v>46286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13.5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31483-2025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45833</v>
      </c>
      <c r="E618" s="1" t="n">
        <v>46286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31303-2025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46286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31890-2025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45834</v>
      </c>
      <c r="E620" s="1" t="n">
        <v>46286</v>
      </c>
      <c r="F620" t="inlineStr">
        <is>
          <t>VÄSTERNORRLANDS LÄN</t>
        </is>
      </c>
      <c r="G620" t="inlineStr">
        <is>
          <t>HÄRNÖSAND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26920-2025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45811</v>
      </c>
      <c r="E621" s="1" t="n">
        <v>46286</v>
      </c>
      <c r="F621" t="inlineStr">
        <is>
          <t>VÄSTERNORRLANDS LÄN</t>
        </is>
      </c>
      <c r="G621" t="inlineStr">
        <is>
          <t>HÄRNÖSAND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31721-2025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45834</v>
      </c>
      <c r="E622" s="1" t="n">
        <v>46286</v>
      </c>
      <c r="F622" t="inlineStr">
        <is>
          <t>VÄSTERNORRLANDS LÄN</t>
        </is>
      </c>
      <c r="G622" t="inlineStr">
        <is>
          <t>HÄRNÖSAND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32365-2025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45837</v>
      </c>
      <c r="E623" s="1" t="n">
        <v>46286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32374-2025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45837</v>
      </c>
      <c r="E624" s="1" t="n">
        <v>46286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34729-2025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45840</v>
      </c>
      <c r="E625" s="1" t="n">
        <v>46286</v>
      </c>
      <c r="F625" t="inlineStr">
        <is>
          <t>VÄSTERNORRLANDS LÄN</t>
        </is>
      </c>
      <c r="G625" t="inlineStr">
        <is>
          <t>HÄRNÖSAND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33145-2025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45840</v>
      </c>
      <c r="E626" s="1" t="n">
        <v>46286</v>
      </c>
      <c r="F626" t="inlineStr">
        <is>
          <t>VÄSTERNORRLANDS LÄN</t>
        </is>
      </c>
      <c r="G626" t="inlineStr">
        <is>
          <t>HÄRNÖSAND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16220-2025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45749</v>
      </c>
      <c r="E627" s="1" t="n">
        <v>46286</v>
      </c>
      <c r="F627" t="inlineStr">
        <is>
          <t>VÄSTERNORRLANDS LÄN</t>
        </is>
      </c>
      <c r="G627" t="inlineStr">
        <is>
          <t>HÄRNÖSAND</t>
        </is>
      </c>
      <c r="I627" t="n">
        <v>10.3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45848</v>
      </c>
      <c r="E628" s="1" t="n">
        <v>46286</v>
      </c>
      <c r="F628" t="inlineStr">
        <is>
          <t>VÄSTERNORRLANDS LÄN</t>
        </is>
      </c>
      <c r="G628" t="inlineStr">
        <is>
          <t>HÄRNÖSAND</t>
        </is>
      </c>
      <c r="I628" t="n">
        <v>7.9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34751-2025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45848</v>
      </c>
      <c r="E629" s="1" t="n">
        <v>46286</v>
      </c>
      <c r="F629" t="inlineStr">
        <is>
          <t>VÄSTERNORRLANDS LÄN</t>
        </is>
      </c>
      <c r="G629" t="inlineStr">
        <is>
          <t>HÄRNÖSAND</t>
        </is>
      </c>
      <c r="I629" t="n">
        <v>8.699999999999999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35189-2025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45853</v>
      </c>
      <c r="E630" s="1" t="n">
        <v>46286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8023-2023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44973</v>
      </c>
      <c r="E631" s="1" t="n">
        <v>46286</v>
      </c>
      <c r="F631" t="inlineStr">
        <is>
          <t>VÄSTERNORRLANDS LÄN</t>
        </is>
      </c>
      <c r="G631" t="inlineStr">
        <is>
          <t>HÄRNÖSAND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14494-2025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45741</v>
      </c>
      <c r="E632" s="1" t="n">
        <v>46286</v>
      </c>
      <c r="F632" t="inlineStr">
        <is>
          <t>VÄSTERNORRLANDS LÄN</t>
        </is>
      </c>
      <c r="G632" t="inlineStr">
        <is>
          <t>HÄRNÖSAND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23805-2025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45793</v>
      </c>
      <c r="E633" s="1" t="n">
        <v>46286</v>
      </c>
      <c r="F633" t="inlineStr">
        <is>
          <t>VÄSTERNORRLANDS LÄN</t>
        </is>
      </c>
      <c r="G633" t="inlineStr">
        <is>
          <t>HÄRNÖSAND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12150-2025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45729</v>
      </c>
      <c r="E634" s="1" t="n">
        <v>46286</v>
      </c>
      <c r="F634" t="inlineStr">
        <is>
          <t>VÄSTERNORRLANDS LÄN</t>
        </is>
      </c>
      <c r="G634" t="inlineStr">
        <is>
          <t>HÄRNÖSAND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44459-2024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45574</v>
      </c>
      <c r="E635" s="1" t="n">
        <v>46286</v>
      </c>
      <c r="F635" t="inlineStr">
        <is>
          <t>VÄSTERNORRLANDS LÄN</t>
        </is>
      </c>
      <c r="G635" t="inlineStr">
        <is>
          <t>HÄRNÖSAND</t>
        </is>
      </c>
      <c r="I635" t="n">
        <v>9.5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14495-2025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45741</v>
      </c>
      <c r="E636" s="1" t="n">
        <v>46286</v>
      </c>
      <c r="F636" t="inlineStr">
        <is>
          <t>VÄSTERNORRLANDS LÄN</t>
        </is>
      </c>
      <c r="G636" t="inlineStr">
        <is>
          <t>HÄRNÖSAND</t>
        </is>
      </c>
      <c r="I636" t="n">
        <v>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36958-2025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45874</v>
      </c>
      <c r="E637" s="1" t="n">
        <v>46286</v>
      </c>
      <c r="F637" t="inlineStr">
        <is>
          <t>VÄSTERNORRLANDS LÄN</t>
        </is>
      </c>
      <c r="G637" t="inlineStr">
        <is>
          <t>HÄRNÖSAND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36959-2025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45874</v>
      </c>
      <c r="E638" s="1" t="n">
        <v>46286</v>
      </c>
      <c r="F638" t="inlineStr">
        <is>
          <t>VÄSTERNORRLANDS LÄN</t>
        </is>
      </c>
      <c r="G638" t="inlineStr">
        <is>
          <t>HÄRNÖSAND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36960-2025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45874</v>
      </c>
      <c r="E639" s="1" t="n">
        <v>46286</v>
      </c>
      <c r="F639" t="inlineStr">
        <is>
          <t>VÄSTERNORRLANDS LÄN</t>
        </is>
      </c>
      <c r="G639" t="inlineStr">
        <is>
          <t>HÄRNÖSAND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36993-2025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45874</v>
      </c>
      <c r="E640" s="1" t="n">
        <v>46286</v>
      </c>
      <c r="F640" t="inlineStr">
        <is>
          <t>VÄSTERNORRLANDS LÄN</t>
        </is>
      </c>
      <c r="G640" t="inlineStr">
        <is>
          <t>HÄRNÖSAND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37562-2025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45880</v>
      </c>
      <c r="E641" s="1" t="n">
        <v>46286</v>
      </c>
      <c r="F641" t="inlineStr">
        <is>
          <t>VÄSTERNORRLANDS LÄN</t>
        </is>
      </c>
      <c r="G641" t="inlineStr">
        <is>
          <t>HÄRNÖSAND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4299-2021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44393</v>
      </c>
      <c r="E642" s="1" t="n">
        <v>46286</v>
      </c>
      <c r="F642" t="inlineStr">
        <is>
          <t>VÄSTERNORRLANDS LÄN</t>
        </is>
      </c>
      <c r="G642" t="inlineStr">
        <is>
          <t>HÄRNÖSAND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382-2024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45323</v>
      </c>
      <c r="E643" s="1" t="n">
        <v>46286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10.6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831-2025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45733</v>
      </c>
      <c r="E644" s="1" t="n">
        <v>46286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113.3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1148-2025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45755</v>
      </c>
      <c r="E645" s="1" t="n">
        <v>46286</v>
      </c>
      <c r="F645" t="inlineStr">
        <is>
          <t>VÄSTERNORRLANDS LÄN</t>
        </is>
      </c>
      <c r="G645" t="inlineStr">
        <is>
          <t>HÄRNÖSAND</t>
        </is>
      </c>
      <c r="I645" t="n">
        <v>10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1559-2025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45793</v>
      </c>
      <c r="E646" s="1" t="n">
        <v>46286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525-2026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46078</v>
      </c>
      <c r="E647" s="1" t="n">
        <v>46286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484-2026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46073</v>
      </c>
      <c r="E648" s="1" t="n">
        <v>46286</v>
      </c>
      <c r="F648" t="inlineStr">
        <is>
          <t>VÄSTERNORRLANDS LÄN</t>
        </is>
      </c>
      <c r="G648" t="inlineStr">
        <is>
          <t>HÄRNÖSAND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723-2026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46093</v>
      </c>
      <c r="E649" s="1" t="n">
        <v>46286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1428-2026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46156</v>
      </c>
      <c r="E650" s="1" t="n">
        <v>46286</v>
      </c>
      <c r="F650" t="inlineStr">
        <is>
          <t>VÄSTERNORRLANDS LÄN</t>
        </is>
      </c>
      <c r="G650" t="inlineStr">
        <is>
          <t>HÄRNÖSAND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2294-2026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46267</v>
      </c>
      <c r="E651" s="1" t="n">
        <v>46286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2026-09-21T02:03:02Z</dcterms:created>
  <dcterms:modified xmlns:dcterms="http://purl.org/dc/terms/" xmlns:xsi="http://www.w3.org/2001/XMLSchema-instance" xsi:type="dcterms:W3CDTF">2026-09-21T02:03:03Z</dcterms:modified>
</cp:coreProperties>
</file>