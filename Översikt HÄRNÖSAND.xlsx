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47711-2024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45588</v>
      </c>
      <c r="E5" s="1" t="n">
        <v>46288</v>
      </c>
      <c r="F5" t="inlineStr">
        <is>
          <t>VÄSTERNORRLANDS LÄN</t>
        </is>
      </c>
      <c r="G5" t="inlineStr">
        <is>
          <t>HÄRNÖSAND</t>
        </is>
      </c>
      <c r="I5" t="n">
        <v>39.5</v>
      </c>
      <c r="J5" t="n">
        <v>3</v>
      </c>
      <c r="K5" t="n">
        <v>3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15</v>
      </c>
      <c r="T5" t="n">
        <v>49</v>
      </c>
      <c r="U5" t="n">
        <v>35</v>
      </c>
      <c r="V5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5">
        <f>HYPERLINK("https://klasma.github.io/Logging_2280/artfynd/A 47711-2024 artfynd.xlsx", "A 47711-2024")</f>
        <v/>
      </c>
      <c r="X5">
        <f>HYPERLINK("https://klasma.github.io/Logging_2280/kartor/A 47711-2024 karta.png", "A 47711-2024")</f>
        <v/>
      </c>
      <c r="Y5">
        <f>HYPERLINK("https://klasma.github.io/Logging_2280/kartor_geotiff/A 47711-2024 georefererad karta.tif", "A 47711-2024")</f>
        <v/>
      </c>
      <c r="Z5">
        <f>HYPERLINK("https://klasma.github.io/Logging_2280/knärot/A 47711-2024 karta knärot.png", "A 47711-2024")</f>
        <v/>
      </c>
      <c r="AA5">
        <f>HYPERLINK("https://klasma.github.io/Logging_2280/klagomål/A 47711-2024 FSC-klagomål.docx", "A 47711-2024")</f>
        <v/>
      </c>
      <c r="AB5">
        <f>HYPERLINK("https://klasma.github.io/Logging_2280/klagomålsmail/A 47711-2024 FSC-klagomål mail.docx", "A 47711-2024")</f>
        <v/>
      </c>
      <c r="AC5">
        <f>HYPERLINK("https://klasma.github.io/Logging_2280/tillsyn/A 47711-2024 tillsynsbegäran.docx", "A 47711-2024")</f>
        <v/>
      </c>
      <c r="AD5">
        <f>HYPERLINK("https://klasma.github.io/Logging_2280/tillsynsmail/A 47711-2024 tillsynsbegäran mail.docx", "A 47711-2024")</f>
        <v/>
      </c>
      <c r="AE5">
        <f>HYPERLINK("https://klasma.github.io/Logging_2280/fåglar/A 47711-2024 prioriterade fågelarter.docx", "A 47711-2024")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46288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46288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46288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46288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46288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46288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46288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46288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46288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46288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46288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46288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46288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46288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46288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46288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46288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46288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46288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46288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46288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46288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46288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46288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46288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46288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25339-2026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46288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0.3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8</v>
      </c>
      <c r="U35" t="n">
        <v>0</v>
      </c>
      <c r="V35" s="2" t="inlineStr">
        <is>
          <t>Garnlav
Gammelgransskål
Ullticka
Vedticka</t>
        </is>
      </c>
      <c r="W35">
        <f>HYPERLINK("https://klasma.github.io/Logging_2280/artfynd/A 25339-2026 artfynd.xlsx", "A 25339-2026")</f>
        <v/>
      </c>
      <c r="X35">
        <f>HYPERLINK("https://klasma.github.io/Logging_2280/kartor/A 25339-2026 karta.png", "A 25339-2026")</f>
        <v/>
      </c>
      <c r="Y35">
        <f>HYPERLINK("https://klasma.github.io/Logging_2280/kartor_geotiff/A 25339-2026 georefererad karta.tif", "A 25339-2026")</f>
        <v/>
      </c>
      <c r="AA35">
        <f>HYPERLINK("https://klasma.github.io/Logging_2280/klagomål/A 25339-2026 FSC-klagomål.docx", "A 25339-2026")</f>
        <v/>
      </c>
      <c r="AB35">
        <f>HYPERLINK("https://klasma.github.io/Logging_2280/klagomålsmail/A 25339-2026 FSC-klagomål mail.docx", "A 25339-2026")</f>
        <v/>
      </c>
      <c r="AC35">
        <f>HYPERLINK("https://klasma.github.io/Logging_2280/tillsyn/A 25339-2026 tillsynsbegäran.docx", "A 25339-2026")</f>
        <v/>
      </c>
      <c r="AD35">
        <f>HYPERLINK("https://klasma.github.io/Logging_2280/tillsynsmail/A 25339-2026 tillsynsbegäran mail.docx", "A 25339-2026")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46288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Ullticka
Vitgrynig nållav
Skinnlav</t>
        </is>
      </c>
      <c r="W36">
        <f>HYPERLINK("https://klasma.github.io/Logging_2280/artfynd/A 32639-2024 artfynd.xlsx", "A 32639-2024")</f>
        <v/>
      </c>
      <c r="X36">
        <f>HYPERLINK("https://klasma.github.io/Logging_2280/kartor/A 32639-2024 karta.png", "A 32639-2024")</f>
        <v/>
      </c>
      <c r="Y36">
        <f>HYPERLINK("https://klasma.github.io/Logging_2280/kartor_geotiff/A 32639-2024 georefererad karta.tif", "A 32639-2024")</f>
        <v/>
      </c>
      <c r="AA36">
        <f>HYPERLINK("https://klasma.github.io/Logging_2280/klagomål/A 32639-2024 FSC-klagomål.docx", "A 32639-2024")</f>
        <v/>
      </c>
      <c r="AB36">
        <f>HYPERLINK("https://klasma.github.io/Logging_2280/klagomålsmail/A 32639-2024 FSC-klagomål mail.docx", "A 32639-2024")</f>
        <v/>
      </c>
      <c r="AC36">
        <f>HYPERLINK("https://klasma.github.io/Logging_2280/tillsyn/A 32639-2024 tillsynsbegäran.docx", "A 32639-2024")</f>
        <v/>
      </c>
      <c r="AD36">
        <f>HYPERLINK("https://klasma.github.io/Logging_2280/tillsynsmail/A 32639-2024 tillsynsbegäran mail.docx", "A 32639-2024")</f>
        <v/>
      </c>
    </row>
    <row r="37" ht="15" customHeight="1">
      <c r="A37" t="inlineStr">
        <is>
          <t>A 33828-2026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46288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1.9</v>
      </c>
      <c r="J37" t="n">
        <v>1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Rosenticka
Ullticka
Stor aspticka
Blåsippa</t>
        </is>
      </c>
      <c r="W37">
        <f>HYPERLINK("https://klasma.github.io/Logging_2280/artfynd/A 33828-2026 artfynd.xlsx", "A 33828-2026")</f>
        <v/>
      </c>
      <c r="X37">
        <f>HYPERLINK("https://klasma.github.io/Logging_2280/kartor/A 33828-2026 karta.png", "A 33828-2026")</f>
        <v/>
      </c>
      <c r="Y37">
        <f>HYPERLINK("https://klasma.github.io/Logging_2280/kartor_geotiff/A 33828-2026 georefererad karta.tif", "A 33828-2026")</f>
        <v/>
      </c>
      <c r="AA37">
        <f>HYPERLINK("https://klasma.github.io/Logging_2280/klagomål/A 33828-2026 FSC-klagomål.docx", "A 33828-2026")</f>
        <v/>
      </c>
      <c r="AB37">
        <f>HYPERLINK("https://klasma.github.io/Logging_2280/klagomålsmail/A 33828-2026 FSC-klagomål mail.docx", "A 33828-2026")</f>
        <v/>
      </c>
      <c r="AC37">
        <f>HYPERLINK("https://klasma.github.io/Logging_2280/tillsyn/A 33828-2026 tillsynsbegäran.docx", "A 33828-2026")</f>
        <v/>
      </c>
      <c r="AD37">
        <f>HYPERLINK("https://klasma.github.io/Logging_2280/tillsynsmail/A 33828-2026 tillsynsbegäran mail.docx", "A 33828-2026")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46288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34647-2025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45848</v>
      </c>
      <c r="E39" s="1" t="n">
        <v>46288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4.7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3</v>
      </c>
      <c r="V39" s="2" t="inlineStr">
        <is>
          <t>Garnlav
Kolflarnlav
Lunglav
Korallblylav</t>
        </is>
      </c>
      <c r="W39">
        <f>HYPERLINK("https://klasma.github.io/Logging_2280/artfynd/A 34647-2025 artfynd.xlsx", "A 34647-2025")</f>
        <v/>
      </c>
      <c r="X39">
        <f>HYPERLINK("https://klasma.github.io/Logging_2280/kartor/A 34647-2025 karta.png", "A 34647-2025")</f>
        <v/>
      </c>
      <c r="Y39">
        <f>HYPERLINK("https://klasma.github.io/Logging_2280/kartor_geotiff/A 34647-2025 georefererad karta.tif", "A 34647-2025")</f>
        <v/>
      </c>
      <c r="AA39">
        <f>HYPERLINK("https://klasma.github.io/Logging_2280/klagomål/A 34647-2025 FSC-klagomål.docx", "A 34647-2025")</f>
        <v/>
      </c>
      <c r="AB39">
        <f>HYPERLINK("https://klasma.github.io/Logging_2280/klagomålsmail/A 34647-2025 FSC-klagomål mail.docx", "A 34647-2025")</f>
        <v/>
      </c>
      <c r="AC39">
        <f>HYPERLINK("https://klasma.github.io/Logging_2280/tillsyn/A 34647-2025 tillsynsbegäran.docx", "A 34647-2025")</f>
        <v/>
      </c>
      <c r="AD39">
        <f>HYPERLINK("https://klasma.github.io/Logging_2280/tillsynsmail/A 34647-2025 tillsynsbegäran mail.docx", "A 34647-2025")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8921-2024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45355</v>
      </c>
      <c r="E43" s="1" t="n">
        <v>46288</v>
      </c>
      <c r="F43" t="inlineStr">
        <is>
          <t>VÄSTERNORRLANDS LÄN</t>
        </is>
      </c>
      <c r="G43" t="inlineStr">
        <is>
          <t>HÄRNÖSAND</t>
        </is>
      </c>
      <c r="I43" t="n">
        <v>3.7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2</v>
      </c>
      <c r="V43" s="2" t="inlineStr">
        <is>
          <t>Skrovlig taggsvamp
Apelsinticka
Svartvit taggsvamp</t>
        </is>
      </c>
      <c r="W43">
        <f>HYPERLINK("https://klasma.github.io/Logging_2280/artfynd/A 8921-2024 artfynd.xlsx", "A 8921-2024")</f>
        <v/>
      </c>
      <c r="X43">
        <f>HYPERLINK("https://klasma.github.io/Logging_2280/kartor/A 8921-2024 karta.png", "A 8921-2024")</f>
        <v/>
      </c>
      <c r="Y43">
        <f>HYPERLINK("https://klasma.github.io/Logging_2280/kartor_geotiff/A 8921-2024 georefererad karta.tif", "A 8921-2024")</f>
        <v/>
      </c>
      <c r="AA43">
        <f>HYPERLINK("https://klasma.github.io/Logging_2280/klagomål/A 8921-2024 FSC-klagomål.docx", "A 8921-2024")</f>
        <v/>
      </c>
      <c r="AB43">
        <f>HYPERLINK("https://klasma.github.io/Logging_2280/klagomålsmail/A 8921-2024 FSC-klagomål mail.docx", "A 8921-2024")</f>
        <v/>
      </c>
      <c r="AC43">
        <f>HYPERLINK("https://klasma.github.io/Logging_2280/tillsyn/A 8921-2024 tillsynsbegäran.docx", "A 8921-2024")</f>
        <v/>
      </c>
      <c r="AD43">
        <f>HYPERLINK("https://klasma.github.io/Logging_2280/tillsynsmail/A 8921-2024 tillsynsbegäran mail.docx", "A 8921-2024")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46288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46288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46288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46288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46288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43101-2023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46288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Ullticka
Vedflamlav
Fläcknycklar</t>
        </is>
      </c>
      <c r="W49">
        <f>HYPERLINK("https://klasma.github.io/Logging_2280/artfynd/A 43101-2023 artfynd.xlsx", "A 43101-2023")</f>
        <v/>
      </c>
      <c r="X49">
        <f>HYPERLINK("https://klasma.github.io/Logging_2280/kartor/A 43101-2023 karta.png", "A 43101-2023")</f>
        <v/>
      </c>
      <c r="Y49">
        <f>HYPERLINK("https://klasma.github.io/Logging_2280/kartor_geotiff/A 43101-2023 georefererad karta.tif", "A 43101-2023")</f>
        <v/>
      </c>
      <c r="AA49">
        <f>HYPERLINK("https://klasma.github.io/Logging_2280/klagomål/A 43101-2023 FSC-klagomål.docx", "A 43101-2023")</f>
        <v/>
      </c>
      <c r="AB49">
        <f>HYPERLINK("https://klasma.github.io/Logging_2280/klagomålsmail/A 43101-2023 FSC-klagomål mail.docx", "A 43101-2023")</f>
        <v/>
      </c>
      <c r="AC49">
        <f>HYPERLINK("https://klasma.github.io/Logging_2280/tillsyn/A 43101-2023 tillsynsbegäran.docx", "A 43101-2023")</f>
        <v/>
      </c>
      <c r="AD49">
        <f>HYPERLINK("https://klasma.github.io/Logging_2280/tillsynsmail/A 43101-2023 tillsynsbegäran mail.docx", "A 43101-2023")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46288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46288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46288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46288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54894-2024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46288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Lunglav</t>
        </is>
      </c>
      <c r="W54">
        <f>HYPERLINK("https://klasma.github.io/Logging_2280/artfynd/A 54894-2024 artfynd.xlsx", "A 54894-2024")</f>
        <v/>
      </c>
      <c r="X54">
        <f>HYPERLINK("https://klasma.github.io/Logging_2280/kartor/A 54894-2024 karta.png", "A 54894-2024")</f>
        <v/>
      </c>
      <c r="Y54">
        <f>HYPERLINK("https://klasma.github.io/Logging_2280/kartor_geotiff/A 54894-2024 georefererad karta.tif", "A 54894-2024")</f>
        <v/>
      </c>
      <c r="AA54">
        <f>HYPERLINK("https://klasma.github.io/Logging_2280/klagomål/A 54894-2024 FSC-klagomål.docx", "A 54894-2024")</f>
        <v/>
      </c>
      <c r="AB54">
        <f>HYPERLINK("https://klasma.github.io/Logging_2280/klagomålsmail/A 54894-2024 FSC-klagomål mail.docx", "A 54894-2024")</f>
        <v/>
      </c>
      <c r="AC54">
        <f>HYPERLINK("https://klasma.github.io/Logging_2280/tillsyn/A 54894-2024 tillsynsbegäran.docx", "A 54894-2024")</f>
        <v/>
      </c>
      <c r="AD54">
        <f>HYPERLINK("https://klasma.github.io/Logging_2280/tillsynsmail/A 54894-2024 tillsynsbegäran mail.docx", "A 54894-2024")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46288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46288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46288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44901-2024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45575</v>
      </c>
      <c r="E58" s="1" t="n">
        <v>46288</v>
      </c>
      <c r="F58" t="inlineStr">
        <is>
          <t>VÄSTERNORRLANDS LÄN</t>
        </is>
      </c>
      <c r="G58" t="inlineStr">
        <is>
          <t>HÄRNÖSAND</t>
        </is>
      </c>
      <c r="I58" t="n">
        <v>3.3</v>
      </c>
      <c r="J58" t="n">
        <v>0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Garnlav
Vedticka</t>
        </is>
      </c>
      <c r="W58">
        <f>HYPERLINK("https://klasma.github.io/Logging_2280/artfynd/A 44901-2024 artfynd.xlsx", "A 44901-2024")</f>
        <v/>
      </c>
      <c r="X58">
        <f>HYPERLINK("https://klasma.github.io/Logging_2280/kartor/A 44901-2024 karta.png", "A 44901-2024")</f>
        <v/>
      </c>
      <c r="Y58">
        <f>HYPERLINK("https://klasma.github.io/Logging_2280/kartor_geotiff/A 44901-2024 georefererad karta.tif", "A 44901-2024")</f>
        <v/>
      </c>
      <c r="AA58">
        <f>HYPERLINK("https://klasma.github.io/Logging_2280/klagomål/A 44901-2024 FSC-klagomål.docx", "A 44901-2024")</f>
        <v/>
      </c>
      <c r="AB58">
        <f>HYPERLINK("https://klasma.github.io/Logging_2280/klagomålsmail/A 44901-2024 FSC-klagomål mail.docx", "A 44901-2024")</f>
        <v/>
      </c>
      <c r="AC58">
        <f>HYPERLINK("https://klasma.github.io/Logging_2280/tillsyn/A 44901-2024 tillsynsbegäran.docx", "A 44901-2024")</f>
        <v/>
      </c>
      <c r="AD58">
        <f>HYPERLINK("https://klasma.github.io/Logging_2280/tillsynsmail/A 44901-2024 tillsynsbegäran mail.docx", "A 44901-2024")</f>
        <v/>
      </c>
    </row>
    <row r="59" ht="15" customHeight="1">
      <c r="A59" t="inlineStr">
        <is>
          <t>A 20771-2026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46288</v>
      </c>
      <c r="F59" t="inlineStr">
        <is>
          <t>VÄSTERNORRLANDS LÄN</t>
        </is>
      </c>
      <c r="G59" t="inlineStr">
        <is>
          <t>HÄRNÖSAND</t>
        </is>
      </c>
      <c r="I59" t="n">
        <v>1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Nordfladdermus
Tajgafladdermus</t>
        </is>
      </c>
      <c r="W59">
        <f>HYPERLINK("https://klasma.github.io/Logging_2280/artfynd/A 20771-2026 artfynd.xlsx", "A 20771-2026")</f>
        <v/>
      </c>
      <c r="X59">
        <f>HYPERLINK("https://klasma.github.io/Logging_2280/kartor/A 20771-2026 karta.png", "A 20771-2026")</f>
        <v/>
      </c>
      <c r="Y59">
        <f>HYPERLINK("https://klasma.github.io/Logging_2280/kartor_geotiff/A 20771-2026 georefererad karta.tif", "A 20771-2026")</f>
        <v/>
      </c>
      <c r="AA59">
        <f>HYPERLINK("https://klasma.github.io/Logging_2280/klagomål/A 20771-2026 FSC-klagomål.docx", "A 20771-2026")</f>
        <v/>
      </c>
      <c r="AB59">
        <f>HYPERLINK("https://klasma.github.io/Logging_2280/klagomålsmail/A 20771-2026 FSC-klagomål mail.docx", "A 20771-2026")</f>
        <v/>
      </c>
      <c r="AC59">
        <f>HYPERLINK("https://klasma.github.io/Logging_2280/tillsyn/A 20771-2026 tillsynsbegäran.docx", "A 20771-2026")</f>
        <v/>
      </c>
      <c r="AD59">
        <f>HYPERLINK("https://klasma.github.io/Logging_2280/tillsynsmail/A 20771-2026 tillsynsbegäran mail.docx", "A 20771-2026")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46288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46288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46288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46288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46288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46288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S 3450-2025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45996</v>
      </c>
      <c r="E66" s="1" t="n">
        <v>46288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Ullticka</t>
        </is>
      </c>
      <c r="W66">
        <f>HYPERLINK("https://klasma.github.io/Logging_2280/artfynd/S 3450-2025 artfynd.xlsx", "S 3450-2025")</f>
        <v/>
      </c>
      <c r="X66">
        <f>HYPERLINK("https://klasma.github.io/Logging_2280/kartor/S 3450-2025 karta.png", "S 3450-2025")</f>
        <v/>
      </c>
      <c r="Y66">
        <f>HYPERLINK("https://klasma.github.io/Logging_2280/kartor_geotiff/S 3450-2025 georefererad karta.tif", "S 3450-2025")</f>
        <v/>
      </c>
      <c r="AA66">
        <f>HYPERLINK("https://klasma.github.io/Logging_2280/klagomål/S 3450-2025 FSC-klagomål.docx", "S 3450-2025")</f>
        <v/>
      </c>
      <c r="AB66">
        <f>HYPERLINK("https://klasma.github.io/Logging_2280/klagomålsmail/S 3450-2025 FSC-klagomål mail.docx", "S 3450-2025")</f>
        <v/>
      </c>
      <c r="AC66">
        <f>HYPERLINK("https://klasma.github.io/Logging_2280/tillsyn/S 3450-2025 tillsynsbegäran.docx", "S 3450-2025")</f>
        <v/>
      </c>
      <c r="AD66">
        <f>HYPERLINK("https://klasma.github.io/Logging_2280/tillsynsmail/S 3450-2025 tillsynsbegäran mail.docx", "S 3450-2025")</f>
        <v/>
      </c>
    </row>
    <row r="67" ht="15" customHeight="1">
      <c r="A67" t="inlineStr">
        <is>
          <t>A 16974-2022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46288</v>
      </c>
      <c r="F67" t="inlineStr">
        <is>
          <t>VÄSTERNORRLANDS LÄN</t>
        </is>
      </c>
      <c r="G67" t="inlineStr">
        <is>
          <t>HÄRNÖSAND</t>
        </is>
      </c>
      <c r="I67" t="n">
        <v>3.4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Ullticka</t>
        </is>
      </c>
      <c r="W67">
        <f>HYPERLINK("https://klasma.github.io/Logging_2280/artfynd/A 16974-2022 artfynd.xlsx", "A 16974-2022")</f>
        <v/>
      </c>
      <c r="X67">
        <f>HYPERLINK("https://klasma.github.io/Logging_2280/kartor/A 16974-2022 karta.png", "A 16974-2022")</f>
        <v/>
      </c>
      <c r="Y67">
        <f>HYPERLINK("https://klasma.github.io/Logging_2280/kartor_geotiff/A 16974-2022 georefererad karta.tif", "A 16974-2022")</f>
        <v/>
      </c>
      <c r="AA67">
        <f>HYPERLINK("https://klasma.github.io/Logging_2280/klagomål/A 16974-2022 FSC-klagomål.docx", "A 16974-2022")</f>
        <v/>
      </c>
      <c r="AB67">
        <f>HYPERLINK("https://klasma.github.io/Logging_2280/klagomålsmail/A 16974-2022 FSC-klagomål mail.docx", "A 16974-2022")</f>
        <v/>
      </c>
      <c r="AC67">
        <f>HYPERLINK("https://klasma.github.io/Logging_2280/tillsyn/A 16974-2022 tillsynsbegäran.docx", "A 16974-2022")</f>
        <v/>
      </c>
      <c r="AD67">
        <f>HYPERLINK("https://klasma.github.io/Logging_2280/tillsynsmail/A 16974-2022 tillsynsbegäran mail.docx", "A 16974-2022")</f>
        <v/>
      </c>
    </row>
    <row r="68" ht="15" customHeight="1">
      <c r="A68" t="inlineStr">
        <is>
          <t>A 3531-2022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44585</v>
      </c>
      <c r="E68" s="1" t="n">
        <v>46288</v>
      </c>
      <c r="F68" t="inlineStr">
        <is>
          <t>VÄSTERNORRLANDS LÄN</t>
        </is>
      </c>
      <c r="G68" t="inlineStr">
        <is>
          <t>HÄRNÖSAND</t>
        </is>
      </c>
      <c r="I68" t="n">
        <v>0.7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Mörk husmossa</t>
        </is>
      </c>
      <c r="W68">
        <f>HYPERLINK("https://klasma.github.io/Logging_2280/artfynd/A 3531-2022 artfynd.xlsx", "A 3531-2022")</f>
        <v/>
      </c>
      <c r="X68">
        <f>HYPERLINK("https://klasma.github.io/Logging_2280/kartor/A 3531-2022 karta.png", "A 3531-2022")</f>
        <v/>
      </c>
      <c r="Y68">
        <f>HYPERLINK("https://klasma.github.io/Logging_2280/kartor_geotiff/A 3531-2022 georefererad karta.tif", "A 3531-2022")</f>
        <v/>
      </c>
      <c r="AA68">
        <f>HYPERLINK("https://klasma.github.io/Logging_2280/klagomål/A 3531-2022 FSC-klagomål.docx", "A 3531-2022")</f>
        <v/>
      </c>
      <c r="AB68">
        <f>HYPERLINK("https://klasma.github.io/Logging_2280/klagomålsmail/A 3531-2022 FSC-klagomål mail.docx", "A 3531-2022")</f>
        <v/>
      </c>
      <c r="AC68">
        <f>HYPERLINK("https://klasma.github.io/Logging_2280/tillsyn/A 3531-2022 tillsynsbegäran.docx", "A 3531-2022")</f>
        <v/>
      </c>
      <c r="AD68">
        <f>HYPERLINK("https://klasma.github.io/Logging_2280/tillsynsmail/A 3531-2022 tillsynsbegäran mail.docx", "A 3531-2022")</f>
        <v/>
      </c>
    </row>
    <row r="69" ht="15" customHeight="1">
      <c r="A69" t="inlineStr">
        <is>
          <t>A 14597-2022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44655</v>
      </c>
      <c r="E69" s="1" t="n">
        <v>46288</v>
      </c>
      <c r="F69" t="inlineStr">
        <is>
          <t>VÄSTERNORRLANDS LÄN</t>
        </is>
      </c>
      <c r="G69" t="inlineStr">
        <is>
          <t>HÄRNÖSAND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Utter</t>
        </is>
      </c>
      <c r="W69">
        <f>HYPERLINK("https://klasma.github.io/Logging_2280/artfynd/A 14597-2022 artfynd.xlsx", "A 14597-2022")</f>
        <v/>
      </c>
      <c r="X69">
        <f>HYPERLINK("https://klasma.github.io/Logging_2280/kartor/A 14597-2022 karta.png", "A 14597-2022")</f>
        <v/>
      </c>
      <c r="Y69">
        <f>HYPERLINK("https://klasma.github.io/Logging_2280/kartor_geotiff/A 14597-2022 georefererad karta.tif", "A 14597-2022")</f>
        <v/>
      </c>
      <c r="AA69">
        <f>HYPERLINK("https://klasma.github.io/Logging_2280/klagomål/A 14597-2022 FSC-klagomål.docx", "A 14597-2022")</f>
        <v/>
      </c>
      <c r="AB69">
        <f>HYPERLINK("https://klasma.github.io/Logging_2280/klagomålsmail/A 14597-2022 FSC-klagomål mail.docx", "A 14597-2022")</f>
        <v/>
      </c>
      <c r="AC69">
        <f>HYPERLINK("https://klasma.github.io/Logging_2280/tillsyn/A 14597-2022 tillsynsbegäran.docx", "A 14597-2022")</f>
        <v/>
      </c>
      <c r="AD69">
        <f>HYPERLINK("https://klasma.github.io/Logging_2280/tillsynsmail/A 14597-2022 tillsynsbegäran mail.docx", "A 14597-2022")</f>
        <v/>
      </c>
    </row>
    <row r="70" ht="15" customHeight="1">
      <c r="A70" t="inlineStr">
        <is>
          <t>A 40265-2024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46288</v>
      </c>
      <c r="F70" t="inlineStr">
        <is>
          <t>VÄSTERNORRLANDS LÄN</t>
        </is>
      </c>
      <c r="G70" t="inlineStr">
        <is>
          <t>HÄRNÖSAND</t>
        </is>
      </c>
      <c r="I70" t="n">
        <v>4.9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Stor aspticka</t>
        </is>
      </c>
      <c r="W70">
        <f>HYPERLINK("https://klasma.github.io/Logging_2280/artfynd/A 40265-2024 artfynd.xlsx", "A 40265-2024")</f>
        <v/>
      </c>
      <c r="X70">
        <f>HYPERLINK("https://klasma.github.io/Logging_2280/kartor/A 40265-2024 karta.png", "A 40265-2024")</f>
        <v/>
      </c>
      <c r="Y70">
        <f>HYPERLINK("https://klasma.github.io/Logging_2280/kartor_geotiff/A 40265-2024 georefererad karta.tif", "A 40265-2024")</f>
        <v/>
      </c>
      <c r="AA70">
        <f>HYPERLINK("https://klasma.github.io/Logging_2280/klagomål/A 40265-2024 FSC-klagomål.docx", "A 40265-2024")</f>
        <v/>
      </c>
      <c r="AB70">
        <f>HYPERLINK("https://klasma.github.io/Logging_2280/klagomålsmail/A 40265-2024 FSC-klagomål mail.docx", "A 40265-2024")</f>
        <v/>
      </c>
      <c r="AC70">
        <f>HYPERLINK("https://klasma.github.io/Logging_2280/tillsyn/A 40265-2024 tillsynsbegäran.docx", "A 40265-2024")</f>
        <v/>
      </c>
      <c r="AD70">
        <f>HYPERLINK("https://klasma.github.io/Logging_2280/tillsynsmail/A 40265-2024 tillsynsbegäran mail.docx", "A 40265-2024")</f>
        <v/>
      </c>
    </row>
    <row r="71" ht="15" customHeight="1">
      <c r="A71" t="inlineStr">
        <is>
          <t>A 24202-2024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46288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Garnlav</t>
        </is>
      </c>
      <c r="W71">
        <f>HYPERLINK("https://klasma.github.io/Logging_2280/artfynd/A 24202-2024 artfynd.xlsx", "A 24202-2024")</f>
        <v/>
      </c>
      <c r="X71">
        <f>HYPERLINK("https://klasma.github.io/Logging_2280/kartor/A 24202-2024 karta.png", "A 24202-2024")</f>
        <v/>
      </c>
      <c r="Y71">
        <f>HYPERLINK("https://klasma.github.io/Logging_2280/kartor_geotiff/A 24202-2024 georefererad karta.tif", "A 24202-2024")</f>
        <v/>
      </c>
      <c r="AA71">
        <f>HYPERLINK("https://klasma.github.io/Logging_2280/klagomål/A 24202-2024 FSC-klagomål.docx", "A 24202-2024")</f>
        <v/>
      </c>
      <c r="AB71">
        <f>HYPERLINK("https://klasma.github.io/Logging_2280/klagomålsmail/A 24202-2024 FSC-klagomål mail.docx", "A 24202-2024")</f>
        <v/>
      </c>
      <c r="AC71">
        <f>HYPERLINK("https://klasma.github.io/Logging_2280/tillsyn/A 24202-2024 tillsynsbegäran.docx", "A 24202-2024")</f>
        <v/>
      </c>
      <c r="AD71">
        <f>HYPERLINK("https://klasma.github.io/Logging_2280/tillsynsmail/A 24202-2024 tillsynsbegäran mail.docx", "A 24202-2024")</f>
        <v/>
      </c>
    </row>
    <row r="72" ht="15" customHeight="1">
      <c r="A72" t="inlineStr">
        <is>
          <t>A 13984-2023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46288</v>
      </c>
      <c r="F72" t="inlineStr">
        <is>
          <t>VÄSTERNORRLANDS LÄN</t>
        </is>
      </c>
      <c r="G72" t="inlineStr">
        <is>
          <t>HÄRNÖSAND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HYPERLINK("https://klasma.github.io/Logging_2280/artfynd/A 13984-2023 artfynd.xlsx", "A 13984-2023")</f>
        <v/>
      </c>
      <c r="X72">
        <f>HYPERLINK("https://klasma.github.io/Logging_2280/kartor/A 13984-2023 karta.png", "A 13984-2023")</f>
        <v/>
      </c>
      <c r="Y72">
        <f>HYPERLINK("https://klasma.github.io/Logging_2280/kartor_geotiff/A 13984-2023 georefererad karta.tif", "A 13984-2023")</f>
        <v/>
      </c>
      <c r="AA72">
        <f>HYPERLINK("https://klasma.github.io/Logging_2280/klagomål/A 13984-2023 FSC-klagomål.docx", "A 13984-2023")</f>
        <v/>
      </c>
      <c r="AB72">
        <f>HYPERLINK("https://klasma.github.io/Logging_2280/klagomålsmail/A 13984-2023 FSC-klagomål mail.docx", "A 13984-2023")</f>
        <v/>
      </c>
      <c r="AC72">
        <f>HYPERLINK("https://klasma.github.io/Logging_2280/tillsyn/A 13984-2023 tillsynsbegäran.docx", "A 13984-2023")</f>
        <v/>
      </c>
      <c r="AD72">
        <f>HYPERLINK("https://klasma.github.io/Logging_2280/tillsynsmail/A 13984-2023 tillsynsbegäran mail.docx", "A 13984-2023")</f>
        <v/>
      </c>
    </row>
    <row r="73" ht="15" customHeight="1">
      <c r="A73" t="inlineStr">
        <is>
          <t>A 46707-2024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46288</v>
      </c>
      <c r="F73" t="inlineStr">
        <is>
          <t>VÄSTERNORRLANDS LÄN</t>
        </is>
      </c>
      <c r="G73" t="inlineStr">
        <is>
          <t>HÄRNÖSAND</t>
        </is>
      </c>
      <c r="I73" t="n">
        <v>0.6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Tretåig hackspett</t>
        </is>
      </c>
      <c r="W73">
        <f>HYPERLINK("https://klasma.github.io/Logging_2280/artfynd/A 46707-2024 artfynd.xlsx", "A 46707-2024")</f>
        <v/>
      </c>
      <c r="X73">
        <f>HYPERLINK("https://klasma.github.io/Logging_2280/kartor/A 46707-2024 karta.png", "A 46707-2024")</f>
        <v/>
      </c>
      <c r="Y73">
        <f>HYPERLINK("https://klasma.github.io/Logging_2280/kartor_geotiff/A 46707-2024 georefererad karta.tif", "A 46707-2024")</f>
        <v/>
      </c>
      <c r="AA73">
        <f>HYPERLINK("https://klasma.github.io/Logging_2280/klagomål/A 46707-2024 FSC-klagomål.docx", "A 46707-2024")</f>
        <v/>
      </c>
      <c r="AB73">
        <f>HYPERLINK("https://klasma.github.io/Logging_2280/klagomålsmail/A 46707-2024 FSC-klagomål mail.docx", "A 46707-2024")</f>
        <v/>
      </c>
      <c r="AC73">
        <f>HYPERLINK("https://klasma.github.io/Logging_2280/tillsyn/A 46707-2024 tillsynsbegäran.docx", "A 46707-2024")</f>
        <v/>
      </c>
      <c r="AD73">
        <f>HYPERLINK("https://klasma.github.io/Logging_2280/tillsynsmail/A 46707-2024 tillsynsbegäran mail.docx", "A 46707-2024")</f>
        <v/>
      </c>
      <c r="AE73">
        <f>HYPERLINK("https://klasma.github.io/Logging_2280/fåglar/A 46707-2024 prioriterade fågelarter.docx", "A 46707-2024")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46288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HYPERLINK("https://klasma.github.io/Logging_2280/artfynd/A 7853-2024 artfynd.xlsx", "A 7853-2024")</f>
        <v/>
      </c>
      <c r="X74">
        <f>HYPERLINK("https://klasma.github.io/Logging_2280/kartor/A 7853-2024 karta.png", "A 7853-2024")</f>
        <v/>
      </c>
      <c r="Y74">
        <f>HYPERLINK("https://klasma.github.io/Logging_2280/kartor_geotiff/A 7853-2024 georefererad karta.tif", "A 7853-2024")</f>
        <v/>
      </c>
      <c r="AA74">
        <f>HYPERLINK("https://klasma.github.io/Logging_2280/klagomål/A 7853-2024 FSC-klagomål.docx", "A 7853-2024")</f>
        <v/>
      </c>
      <c r="AB74">
        <f>HYPERLINK("https://klasma.github.io/Logging_2280/klagomålsmail/A 7853-2024 FSC-klagomål mail.docx", "A 7853-2024")</f>
        <v/>
      </c>
      <c r="AC74">
        <f>HYPERLINK("https://klasma.github.io/Logging_2280/tillsyn/A 7853-2024 tillsynsbegäran.docx", "A 7853-2024")</f>
        <v/>
      </c>
      <c r="AD74">
        <f>HYPERLINK("https://klasma.github.io/Logging_2280/tillsynsmail/A 7853-2024 tillsynsbegäran mail.docx", "A 7853-2024")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46288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45060-2025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46288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Gammelgransskål</t>
        </is>
      </c>
      <c r="W76">
        <f>HYPERLINK("https://klasma.github.io/Logging_2280/artfynd/A 45060-2025 artfynd.xlsx", "A 45060-2025")</f>
        <v/>
      </c>
      <c r="X76">
        <f>HYPERLINK("https://klasma.github.io/Logging_2280/kartor/A 45060-2025 karta.png", "A 45060-2025")</f>
        <v/>
      </c>
      <c r="Y76">
        <f>HYPERLINK("https://klasma.github.io/Logging_2280/kartor_geotiff/A 45060-2025 georefererad karta.tif", "A 45060-2025")</f>
        <v/>
      </c>
      <c r="AA76">
        <f>HYPERLINK("https://klasma.github.io/Logging_2280/klagomål/A 45060-2025 FSC-klagomål.docx", "A 45060-2025")</f>
        <v/>
      </c>
      <c r="AB76">
        <f>HYPERLINK("https://klasma.github.io/Logging_2280/klagomålsmail/A 45060-2025 FSC-klagomål mail.docx", "A 45060-2025")</f>
        <v/>
      </c>
      <c r="AC76">
        <f>HYPERLINK("https://klasma.github.io/Logging_2280/tillsyn/A 45060-2025 tillsynsbegäran.docx", "A 45060-2025")</f>
        <v/>
      </c>
      <c r="AD76">
        <f>HYPERLINK("https://klasma.github.io/Logging_2280/tillsynsmail/A 45060-2025 tillsynsbegäran mail.docx", "A 45060-2025")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46288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25340-2026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46288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Garnlav</t>
        </is>
      </c>
      <c r="W78">
        <f>HYPERLINK("https://klasma.github.io/Logging_2280/artfynd/A 25340-2026 artfynd.xlsx", "A 25340-2026")</f>
        <v/>
      </c>
      <c r="X78">
        <f>HYPERLINK("https://klasma.github.io/Logging_2280/kartor/A 25340-2026 karta.png", "A 25340-2026")</f>
        <v/>
      </c>
      <c r="Y78">
        <f>HYPERLINK("https://klasma.github.io/Logging_2280/kartor_geotiff/A 25340-2026 georefererad karta.tif", "A 25340-2026")</f>
        <v/>
      </c>
      <c r="AA78">
        <f>HYPERLINK("https://klasma.github.io/Logging_2280/klagomål/A 25340-2026 FSC-klagomål.docx", "A 25340-2026")</f>
        <v/>
      </c>
      <c r="AB78">
        <f>HYPERLINK("https://klasma.github.io/Logging_2280/klagomålsmail/A 25340-2026 FSC-klagomål mail.docx", "A 25340-2026")</f>
        <v/>
      </c>
      <c r="AC78">
        <f>HYPERLINK("https://klasma.github.io/Logging_2280/tillsyn/A 25340-2026 tillsynsbegäran.docx", "A 25340-2026")</f>
        <v/>
      </c>
      <c r="AD78">
        <f>HYPERLINK("https://klasma.github.io/Logging_2280/tillsynsmail/A 25340-2026 tillsynsbegäran mail.docx", "A 25340-2026")</f>
        <v/>
      </c>
    </row>
    <row r="79" ht="15" customHeight="1">
      <c r="A79" t="inlineStr">
        <is>
          <t>A 63724-2023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45276</v>
      </c>
      <c r="E79" s="1" t="n">
        <v>46288</v>
      </c>
      <c r="F79" t="inlineStr">
        <is>
          <t>VÄSTERNORRLANDS LÄN</t>
        </is>
      </c>
      <c r="G79" t="inlineStr">
        <is>
          <t>HÄRNÖSAND</t>
        </is>
      </c>
      <c r="I79" t="n">
        <v>10.1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Älg</t>
        </is>
      </c>
      <c r="W79">
        <f>HYPERLINK("https://klasma.github.io/Logging_2280/artfynd/A 63724-2023 artfynd.xlsx", "A 63724-2023")</f>
        <v/>
      </c>
      <c r="X79">
        <f>HYPERLINK("https://klasma.github.io/Logging_2280/kartor/A 63724-2023 karta.png", "A 63724-2023")</f>
        <v/>
      </c>
      <c r="Y79">
        <f>HYPERLINK("https://klasma.github.io/Logging_2280/kartor_geotiff/A 63724-2023 georefererad karta.tif", "A 63724-2023")</f>
        <v/>
      </c>
      <c r="AA79">
        <f>HYPERLINK("https://klasma.github.io/Logging_2280/klagomål/A 63724-2023 FSC-klagomål.docx", "A 63724-2023")</f>
        <v/>
      </c>
      <c r="AB79">
        <f>HYPERLINK("https://klasma.github.io/Logging_2280/klagomålsmail/A 63724-2023 FSC-klagomål mail.docx", "A 63724-2023")</f>
        <v/>
      </c>
      <c r="AC79">
        <f>HYPERLINK("https://klasma.github.io/Logging_2280/tillsyn/A 63724-2023 tillsynsbegäran.docx", "A 63724-2023")</f>
        <v/>
      </c>
      <c r="AD79">
        <f>HYPERLINK("https://klasma.github.io/Logging_2280/tillsynsmail/A 63724-2023 tillsynsbegäran mail.docx", "A 63724-2023")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46288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46288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27923-2026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46288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9.300000000000001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Veckticka</t>
        </is>
      </c>
      <c r="W82">
        <f>HYPERLINK("https://klasma.github.io/Logging_2280/artfynd/A 27923-2026 artfynd.xlsx", "A 27923-2026")</f>
        <v/>
      </c>
      <c r="X82">
        <f>HYPERLINK("https://klasma.github.io/Logging_2280/kartor/A 27923-2026 karta.png", "A 27923-2026")</f>
        <v/>
      </c>
      <c r="Y82">
        <f>HYPERLINK("https://klasma.github.io/Logging_2280/kartor_geotiff/A 27923-2026 georefererad karta.tif", "A 27923-2026")</f>
        <v/>
      </c>
      <c r="AA82">
        <f>HYPERLINK("https://klasma.github.io/Logging_2280/klagomål/A 27923-2026 FSC-klagomål.docx", "A 27923-2026")</f>
        <v/>
      </c>
      <c r="AB82">
        <f>HYPERLINK("https://klasma.github.io/Logging_2280/klagomålsmail/A 27923-2026 FSC-klagomål mail.docx", "A 27923-2026")</f>
        <v/>
      </c>
      <c r="AC82">
        <f>HYPERLINK("https://klasma.github.io/Logging_2280/tillsyn/A 27923-2026 tillsynsbegäran.docx", "A 27923-2026")</f>
        <v/>
      </c>
      <c r="AD82">
        <f>HYPERLINK("https://klasma.github.io/Logging_2280/tillsynsmail/A 27923-2026 tillsynsbegäran mail.docx", "A 27923-2026")</f>
        <v/>
      </c>
    </row>
    <row r="83" ht="15" customHeight="1">
      <c r="A83" t="inlineStr">
        <is>
          <t>A 26664-2026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46288</v>
      </c>
      <c r="F83" t="inlineStr">
        <is>
          <t>VÄSTERNORRLANDS LÄN</t>
        </is>
      </c>
      <c r="G83" t="inlineStr">
        <is>
          <t>HÄRNÖSAND</t>
        </is>
      </c>
      <c r="I83" t="n">
        <v>4.8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Duvhök</t>
        </is>
      </c>
      <c r="W83">
        <f>HYPERLINK("https://klasma.github.io/Logging_2280/artfynd/A 26664-2026 artfynd.xlsx", "A 26664-2026")</f>
        <v/>
      </c>
      <c r="X83">
        <f>HYPERLINK("https://klasma.github.io/Logging_2280/kartor/A 26664-2026 karta.png", "A 26664-2026")</f>
        <v/>
      </c>
      <c r="Y83">
        <f>HYPERLINK("https://klasma.github.io/Logging_2280/kartor_geotiff/A 26664-2026 georefererad karta.tif", "A 26664-2026")</f>
        <v/>
      </c>
      <c r="AA83">
        <f>HYPERLINK("https://klasma.github.io/Logging_2280/klagomål/A 26664-2026 FSC-klagomål.docx", "A 26664-2026")</f>
        <v/>
      </c>
      <c r="AB83">
        <f>HYPERLINK("https://klasma.github.io/Logging_2280/klagomålsmail/A 26664-2026 FSC-klagomål mail.docx", "A 26664-2026")</f>
        <v/>
      </c>
      <c r="AC83">
        <f>HYPERLINK("https://klasma.github.io/Logging_2280/tillsyn/A 26664-2026 tillsynsbegäran.docx", "A 26664-2026")</f>
        <v/>
      </c>
      <c r="AD83">
        <f>HYPERLINK("https://klasma.github.io/Logging_2280/tillsynsmail/A 26664-2026 tillsynsbegäran mail.docx", "A 26664-2026")</f>
        <v/>
      </c>
      <c r="AE83">
        <f>HYPERLINK("https://klasma.github.io/Logging_2280/fåglar/A 26664-2026 prioriterade fågelarter.docx", "A 26664-2026")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46288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46288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46288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43541-2022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44837</v>
      </c>
      <c r="E87" s="1" t="n">
        <v>46288</v>
      </c>
      <c r="F87" t="inlineStr">
        <is>
          <t>VÄSTERNORRLANDS LÄN</t>
        </is>
      </c>
      <c r="G87" t="inlineStr">
        <is>
          <t>HÄRNÖSAND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Sötgräs</t>
        </is>
      </c>
      <c r="W87">
        <f>HYPERLINK("https://klasma.github.io/Logging_2280/artfynd/A 43541-2022 artfynd.xlsx", "A 43541-2022")</f>
        <v/>
      </c>
      <c r="X87">
        <f>HYPERLINK("https://klasma.github.io/Logging_2280/kartor/A 43541-2022 karta.png", "A 43541-2022")</f>
        <v/>
      </c>
      <c r="Y87">
        <f>HYPERLINK("https://klasma.github.io/Logging_2280/kartor_geotiff/A 43541-2022 georefererad karta.tif", "A 43541-2022")</f>
        <v/>
      </c>
      <c r="AA87">
        <f>HYPERLINK("https://klasma.github.io/Logging_2280/klagomål/A 43541-2022 FSC-klagomål.docx", "A 43541-2022")</f>
        <v/>
      </c>
      <c r="AB87">
        <f>HYPERLINK("https://klasma.github.io/Logging_2280/klagomålsmail/A 43541-2022 FSC-klagomål mail.docx", "A 43541-2022")</f>
        <v/>
      </c>
      <c r="AC87">
        <f>HYPERLINK("https://klasma.github.io/Logging_2280/tillsyn/A 43541-2022 tillsynsbegäran.docx", "A 43541-2022")</f>
        <v/>
      </c>
      <c r="AD87">
        <f>HYPERLINK("https://klasma.github.io/Logging_2280/tillsynsmail/A 43541-2022 tillsynsbegäran mail.docx", "A 43541-2022")</f>
        <v/>
      </c>
    </row>
    <row r="88" ht="15" customHeight="1">
      <c r="A88" t="inlineStr">
        <is>
          <t>A 19077-2024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45428</v>
      </c>
      <c r="E88" s="1" t="n">
        <v>46288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HYPERLINK("https://klasma.github.io/Logging_2280/artfynd/A 19077-2024 artfynd.xlsx", "A 19077-2024")</f>
        <v/>
      </c>
      <c r="X88">
        <f>HYPERLINK("https://klasma.github.io/Logging_2280/kartor/A 19077-2024 karta.png", "A 19077-2024")</f>
        <v/>
      </c>
      <c r="Y88">
        <f>HYPERLINK("https://klasma.github.io/Logging_2280/kartor_geotiff/A 19077-2024 georefererad karta.tif", "A 19077-2024")</f>
        <v/>
      </c>
      <c r="AA88">
        <f>HYPERLINK("https://klasma.github.io/Logging_2280/klagomål/A 19077-2024 FSC-klagomål.docx", "A 19077-2024")</f>
        <v/>
      </c>
      <c r="AB88">
        <f>HYPERLINK("https://klasma.github.io/Logging_2280/klagomålsmail/A 19077-2024 FSC-klagomål mail.docx", "A 19077-2024")</f>
        <v/>
      </c>
      <c r="AC88">
        <f>HYPERLINK("https://klasma.github.io/Logging_2280/tillsyn/A 19077-2024 tillsynsbegäran.docx", "A 19077-2024")</f>
        <v/>
      </c>
      <c r="AD88">
        <f>HYPERLINK("https://klasma.github.io/Logging_2280/tillsynsmail/A 19077-2024 tillsynsbegäran mail.docx", "A 19077-2024")</f>
        <v/>
      </c>
    </row>
    <row r="89" ht="15" customHeight="1">
      <c r="A89" t="inlineStr">
        <is>
          <t>A 26086-2025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46288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HYPERLINK("https://klasma.github.io/Logging_2280/artfynd/A 26086-2025 artfynd.xlsx", "A 26086-2025")</f>
        <v/>
      </c>
      <c r="X89">
        <f>HYPERLINK("https://klasma.github.io/Logging_2280/kartor/A 26086-2025 karta.png", "A 26086-2025")</f>
        <v/>
      </c>
      <c r="Y89">
        <f>HYPERLINK("https://klasma.github.io/Logging_2280/kartor_geotiff/A 26086-2025 georefererad karta.tif", "A 26086-2025")</f>
        <v/>
      </c>
      <c r="AA89">
        <f>HYPERLINK("https://klasma.github.io/Logging_2280/klagomål/A 26086-2025 FSC-klagomål.docx", "A 26086-2025")</f>
        <v/>
      </c>
      <c r="AB89">
        <f>HYPERLINK("https://klasma.github.io/Logging_2280/klagomålsmail/A 26086-2025 FSC-klagomål mail.docx", "A 26086-2025")</f>
        <v/>
      </c>
      <c r="AC89">
        <f>HYPERLINK("https://klasma.github.io/Logging_2280/tillsyn/A 26086-2025 tillsynsbegäran.docx", "A 26086-2025")</f>
        <v/>
      </c>
      <c r="AD89">
        <f>HYPERLINK("https://klasma.github.io/Logging_2280/tillsynsmail/A 26086-2025 tillsynsbegäran mail.docx", "A 26086-2025")</f>
        <v/>
      </c>
      <c r="AE89">
        <f>HYPERLINK("https://klasma.github.io/Logging_2280/fåglar/A 26086-2025 prioriterade fågelarter.docx", "A 26086-2025")</f>
        <v/>
      </c>
    </row>
    <row r="90" ht="15" customHeight="1">
      <c r="A90" t="inlineStr">
        <is>
          <t>A 26174-2025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46288</v>
      </c>
      <c r="F90" t="inlineStr">
        <is>
          <t>VÄSTERNORRLANDS LÄN</t>
        </is>
      </c>
      <c r="G90" t="inlineStr">
        <is>
          <t>HÄRNÖSAND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Lunglav</t>
        </is>
      </c>
      <c r="W90">
        <f>HYPERLINK("https://klasma.github.io/Logging_2280/artfynd/A 26174-2025 artfynd.xlsx", "A 26174-2025")</f>
        <v/>
      </c>
      <c r="X90">
        <f>HYPERLINK("https://klasma.github.io/Logging_2280/kartor/A 26174-2025 karta.png", "A 26174-2025")</f>
        <v/>
      </c>
      <c r="Y90">
        <f>HYPERLINK("https://klasma.github.io/Logging_2280/kartor_geotiff/A 26174-2025 georefererad karta.tif", "A 26174-2025")</f>
        <v/>
      </c>
      <c r="AA90">
        <f>HYPERLINK("https://klasma.github.io/Logging_2280/klagomål/A 26174-2025 FSC-klagomål.docx", "A 26174-2025")</f>
        <v/>
      </c>
      <c r="AB90">
        <f>HYPERLINK("https://klasma.github.io/Logging_2280/klagomålsmail/A 26174-2025 FSC-klagomål mail.docx", "A 26174-2025")</f>
        <v/>
      </c>
      <c r="AC90">
        <f>HYPERLINK("https://klasma.github.io/Logging_2280/tillsyn/A 26174-2025 tillsynsbegäran.docx", "A 26174-2025")</f>
        <v/>
      </c>
      <c r="AD90">
        <f>HYPERLINK("https://klasma.github.io/Logging_2280/tillsynsmail/A 26174-2025 tillsynsbegäran mail.docx", "A 26174-2025")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46288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46288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46288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46288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46288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46288</v>
      </c>
      <c r="F96" t="inlineStr">
        <is>
          <t>VÄSTERNORRLANDS LÄN</t>
        </is>
      </c>
      <c r="G96" t="inlineStr">
        <is>
          <t>HÄRNÖSAND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46288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46288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46288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46288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46288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46288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46288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46288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46288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46288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46288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46288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46288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46288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46288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46288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46288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46288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46288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46288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44848</v>
      </c>
      <c r="E117" s="1" t="n">
        <v>46288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46288</v>
      </c>
      <c r="F118" t="inlineStr">
        <is>
          <t>VÄSTERNORRLANDS LÄN</t>
        </is>
      </c>
      <c r="G118" t="inlineStr">
        <is>
          <t>HÄRNÖSAND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46288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46288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46288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46288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46288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46288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46288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46288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46288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46288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46288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46288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46288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46288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46288</v>
      </c>
      <c r="F133" t="inlineStr">
        <is>
          <t>VÄSTERNORRLANDS LÄN</t>
        </is>
      </c>
      <c r="G133" t="inlineStr">
        <is>
          <t>HÄRNÖSAND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45293</v>
      </c>
      <c r="E134" s="1" t="n">
        <v>46288</v>
      </c>
      <c r="F134" t="inlineStr">
        <is>
          <t>VÄSTERNORRLANDS LÄN</t>
        </is>
      </c>
      <c r="G134" t="inlineStr">
        <is>
          <t>HÄRNÖSAND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46288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44881</v>
      </c>
      <c r="E136" s="1" t="n">
        <v>46288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46288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46288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46288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46288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46288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46288</v>
      </c>
      <c r="F142" t="inlineStr">
        <is>
          <t>VÄSTERNORRLANDS LÄN</t>
        </is>
      </c>
      <c r="G142" t="inlineStr">
        <is>
          <t>HÄRNÖSAND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45762</v>
      </c>
      <c r="E143" s="1" t="n">
        <v>46288</v>
      </c>
      <c r="F143" t="inlineStr">
        <is>
          <t>VÄSTERNORRLANDS LÄN</t>
        </is>
      </c>
      <c r="G143" t="inlineStr">
        <is>
          <t>HÄRNÖSAND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46288</v>
      </c>
      <c r="F144" t="inlineStr">
        <is>
          <t>VÄSTERNORRLANDS LÄN</t>
        </is>
      </c>
      <c r="G144" t="inlineStr">
        <is>
          <t>HÄRNÖSAND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46288</v>
      </c>
      <c r="F145" t="inlineStr">
        <is>
          <t>VÄSTERNORRLANDS LÄN</t>
        </is>
      </c>
      <c r="G145" t="inlineStr">
        <is>
          <t>HÄRNÖSAND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46288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46288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46288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46288</v>
      </c>
      <c r="F149" t="inlineStr">
        <is>
          <t>VÄSTERNORRLANDS LÄN</t>
        </is>
      </c>
      <c r="G149" t="inlineStr">
        <is>
          <t>HÄRNÖSAND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46288</v>
      </c>
      <c r="F150" t="inlineStr">
        <is>
          <t>VÄSTERNORRLANDS LÄN</t>
        </is>
      </c>
      <c r="G150" t="inlineStr">
        <is>
          <t>HÄRNÖSAND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46288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46288</v>
      </c>
      <c r="F152" t="inlineStr">
        <is>
          <t>VÄSTERNORRLANDS LÄN</t>
        </is>
      </c>
      <c r="G152" t="inlineStr">
        <is>
          <t>HÄRNÖSAND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46288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46288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46288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46288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46288</v>
      </c>
      <c r="F157" t="inlineStr">
        <is>
          <t>VÄSTERNORRLANDS LÄN</t>
        </is>
      </c>
      <c r="G157" t="inlineStr">
        <is>
          <t>HÄRNÖSAND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44747</v>
      </c>
      <c r="E158" s="1" t="n">
        <v>46288</v>
      </c>
      <c r="F158" t="inlineStr">
        <is>
          <t>VÄSTERNORRLANDS LÄN</t>
        </is>
      </c>
      <c r="G158" t="inlineStr">
        <is>
          <t>HÄRNÖSAND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46288</v>
      </c>
      <c r="F159" t="inlineStr">
        <is>
          <t>VÄSTERNORRLANDS LÄN</t>
        </is>
      </c>
      <c r="G159" t="inlineStr">
        <is>
          <t>HÄRNÖSAND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46288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46288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46288</v>
      </c>
      <c r="F162" t="inlineStr">
        <is>
          <t>VÄSTERNORRLANDS LÄN</t>
        </is>
      </c>
      <c r="G162" t="inlineStr">
        <is>
          <t>HÄRNÖSAND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46288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46288</v>
      </c>
      <c r="F164" t="inlineStr">
        <is>
          <t>VÄSTERNORRLANDS LÄN</t>
        </is>
      </c>
      <c r="G164" t="inlineStr">
        <is>
          <t>HÄRNÖSAND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46288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65224-2023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45289</v>
      </c>
      <c r="E166" s="1" t="n">
        <v>46288</v>
      </c>
      <c r="F166" t="inlineStr">
        <is>
          <t>VÄSTERNORRLANDS LÄN</t>
        </is>
      </c>
      <c r="G166" t="inlineStr">
        <is>
          <t>HÄRNÖSAND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64023-2023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45278</v>
      </c>
      <c r="E167" s="1" t="n">
        <v>46288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46288</v>
      </c>
      <c r="F168" t="inlineStr">
        <is>
          <t>VÄSTERNORRLANDS LÄN</t>
        </is>
      </c>
      <c r="G168" t="inlineStr">
        <is>
          <t>HÄRNÖSAND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46288</v>
      </c>
      <c r="F169" t="inlineStr">
        <is>
          <t>VÄSTERNORRLANDS LÄN</t>
        </is>
      </c>
      <c r="G169" t="inlineStr">
        <is>
          <t>HÄRNÖSAND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46288</v>
      </c>
      <c r="F170" t="inlineStr">
        <is>
          <t>VÄSTERNORRLANDS LÄN</t>
        </is>
      </c>
      <c r="G170" t="inlineStr">
        <is>
          <t>HÄRNÖSAND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46288</v>
      </c>
      <c r="F171" t="inlineStr">
        <is>
          <t>VÄSTERNORRLANDS LÄN</t>
        </is>
      </c>
      <c r="G171" t="inlineStr">
        <is>
          <t>HÄRNÖSAND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46288</v>
      </c>
      <c r="F172" t="inlineStr">
        <is>
          <t>VÄSTERNORRLANDS LÄN</t>
        </is>
      </c>
      <c r="G172" t="inlineStr">
        <is>
          <t>HÄRNÖSAND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46288</v>
      </c>
      <c r="F173" t="inlineStr">
        <is>
          <t>VÄSTERNORRLANDS LÄN</t>
        </is>
      </c>
      <c r="G173" t="inlineStr">
        <is>
          <t>HÄRNÖSAND</t>
        </is>
      </c>
      <c r="I173" t="n">
        <v>9.300000000000001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45496</v>
      </c>
      <c r="E174" s="1" t="n">
        <v>46288</v>
      </c>
      <c r="F174" t="inlineStr">
        <is>
          <t>VÄSTERNORRLANDS LÄN</t>
        </is>
      </c>
      <c r="G174" t="inlineStr">
        <is>
          <t>HÄRNÖSAND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46288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29429-2024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45483</v>
      </c>
      <c r="E176" s="1" t="n">
        <v>46288</v>
      </c>
      <c r="F176" t="inlineStr">
        <is>
          <t>VÄSTERNORRLANDS LÄN</t>
        </is>
      </c>
      <c r="G176" t="inlineStr">
        <is>
          <t>HÄRNÖSAND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46288</v>
      </c>
      <c r="F177" t="inlineStr">
        <is>
          <t>VÄSTERNORRLANDS LÄN</t>
        </is>
      </c>
      <c r="G177" t="inlineStr">
        <is>
          <t>HÄRNÖSAND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45173</v>
      </c>
      <c r="E178" s="1" t="n">
        <v>46288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46288</v>
      </c>
      <c r="F179" t="inlineStr">
        <is>
          <t>VÄSTERNORRLANDS LÄN</t>
        </is>
      </c>
      <c r="G179" t="inlineStr">
        <is>
          <t>HÄRNÖSAND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46288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46288</v>
      </c>
      <c r="F181" t="inlineStr">
        <is>
          <t>VÄSTERNORRLANDS LÄN</t>
        </is>
      </c>
      <c r="G181" t="inlineStr">
        <is>
          <t>HÄRNÖSAND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46288</v>
      </c>
      <c r="F182" t="inlineStr">
        <is>
          <t>VÄSTERNORRLANDS LÄN</t>
        </is>
      </c>
      <c r="G182" t="inlineStr">
        <is>
          <t>HÄRNÖSAND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46288</v>
      </c>
      <c r="F183" t="inlineStr">
        <is>
          <t>VÄSTERNORRLANDS LÄN</t>
        </is>
      </c>
      <c r="G183" t="inlineStr">
        <is>
          <t>HÄRNÖSAND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46288</v>
      </c>
      <c r="F184" t="inlineStr">
        <is>
          <t>VÄSTERNORRLANDS LÄN</t>
        </is>
      </c>
      <c r="G184" t="inlineStr">
        <is>
          <t>HÄRNÖSAND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40452-2023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45168</v>
      </c>
      <c r="E185" s="1" t="n">
        <v>46288</v>
      </c>
      <c r="F185" t="inlineStr">
        <is>
          <t>VÄSTERNORRLANDS LÄN</t>
        </is>
      </c>
      <c r="G185" t="inlineStr">
        <is>
          <t>HÄRNÖSAND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45874</v>
      </c>
      <c r="E186" s="1" t="n">
        <v>46288</v>
      </c>
      <c r="F186" t="inlineStr">
        <is>
          <t>VÄSTERNORRLANDS LÄN</t>
        </is>
      </c>
      <c r="G186" t="inlineStr">
        <is>
          <t>HÄRNÖSAND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44980</v>
      </c>
      <c r="E187" s="1" t="n">
        <v>46288</v>
      </c>
      <c r="F187" t="inlineStr">
        <is>
          <t>VÄSTERNORRLANDS LÄN</t>
        </is>
      </c>
      <c r="G187" t="inlineStr">
        <is>
          <t>HÄRNÖSAND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46288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45097</v>
      </c>
      <c r="E189" s="1" t="n">
        <v>46288</v>
      </c>
      <c r="F189" t="inlineStr">
        <is>
          <t>VÄSTERNORRLANDS LÄN</t>
        </is>
      </c>
      <c r="G189" t="inlineStr">
        <is>
          <t>HÄRNÖSAND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45880</v>
      </c>
      <c r="E190" s="1" t="n">
        <v>46288</v>
      </c>
      <c r="F190" t="inlineStr">
        <is>
          <t>VÄSTERNORRLANDS LÄN</t>
        </is>
      </c>
      <c r="G190" t="inlineStr">
        <is>
          <t>HÄRNÖSAND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46288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46288</v>
      </c>
      <c r="F192" t="inlineStr">
        <is>
          <t>VÄSTERNORRLANDS LÄN</t>
        </is>
      </c>
      <c r="G192" t="inlineStr">
        <is>
          <t>HÄRNÖSAND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46288</v>
      </c>
      <c r="F193" t="inlineStr">
        <is>
          <t>VÄSTERNORRLANDS LÄN</t>
        </is>
      </c>
      <c r="G193" t="inlineStr">
        <is>
          <t>HÄRNÖSAND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46288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46288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46288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46288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46288</v>
      </c>
      <c r="F198" t="inlineStr">
        <is>
          <t>VÄSTERNORRLANDS LÄN</t>
        </is>
      </c>
      <c r="G198" t="inlineStr">
        <is>
          <t>HÄRNÖSAND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46288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45769</v>
      </c>
      <c r="E200" s="1" t="n">
        <v>46288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46288</v>
      </c>
      <c r="F201" t="inlineStr">
        <is>
          <t>VÄSTERNORRLANDS LÄN</t>
        </is>
      </c>
      <c r="G201" t="inlineStr">
        <is>
          <t>HÄRNÖSAND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46288</v>
      </c>
      <c r="F202" t="inlineStr">
        <is>
          <t>VÄSTERNORRLANDS LÄN</t>
        </is>
      </c>
      <c r="G202" t="inlineStr">
        <is>
          <t>HÄRNÖSAND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46288</v>
      </c>
      <c r="F203" t="inlineStr">
        <is>
          <t>VÄSTERNORRLANDS LÄN</t>
        </is>
      </c>
      <c r="G203" t="inlineStr">
        <is>
          <t>HÄRNÖSAND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46288</v>
      </c>
      <c r="F204" t="inlineStr">
        <is>
          <t>VÄSTERNORRLANDS LÄN</t>
        </is>
      </c>
      <c r="G204" t="inlineStr">
        <is>
          <t>HÄRNÖSAND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46288</v>
      </c>
      <c r="F205" t="inlineStr">
        <is>
          <t>VÄSTERNORRLANDS LÄN</t>
        </is>
      </c>
      <c r="G205" t="inlineStr">
        <is>
          <t>HÄRNÖSAND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41562-2025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45901</v>
      </c>
      <c r="E206" s="1" t="n">
        <v>46288</v>
      </c>
      <c r="F206" t="inlineStr">
        <is>
          <t>VÄSTERNORRLANDS LÄN</t>
        </is>
      </c>
      <c r="G206" t="inlineStr">
        <is>
          <t>HÄRNÖSAND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46288</v>
      </c>
      <c r="F207" t="inlineStr">
        <is>
          <t>VÄSTERNORRLANDS LÄN</t>
        </is>
      </c>
      <c r="G207" t="inlineStr">
        <is>
          <t>HÄRNÖSAND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46288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59408-2024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45638</v>
      </c>
      <c r="E209" s="1" t="n">
        <v>46288</v>
      </c>
      <c r="F209" t="inlineStr">
        <is>
          <t>VÄSTERNORRLANDS LÄN</t>
        </is>
      </c>
      <c r="G209" t="inlineStr">
        <is>
          <t>HÄRNÖSAND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46288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46288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46065</v>
      </c>
      <c r="E212" s="1" t="n">
        <v>46288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46288</v>
      </c>
      <c r="F213" t="inlineStr">
        <is>
          <t>VÄSTERNORRLANDS LÄN</t>
        </is>
      </c>
      <c r="G213" t="inlineStr">
        <is>
          <t>HÄRNÖSAND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46288</v>
      </c>
      <c r="F214" t="inlineStr">
        <is>
          <t>VÄSTERNORRLANDS LÄN</t>
        </is>
      </c>
      <c r="G214" t="inlineStr">
        <is>
          <t>HÄRNÖSAND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47944-2022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44853</v>
      </c>
      <c r="E215" s="1" t="n">
        <v>46288</v>
      </c>
      <c r="F215" t="inlineStr">
        <is>
          <t>VÄSTERNORRLANDS LÄN</t>
        </is>
      </c>
      <c r="G215" t="inlineStr">
        <is>
          <t>HÄRNÖSAND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46288</v>
      </c>
      <c r="F216" t="inlineStr">
        <is>
          <t>VÄSTERNORRLANDS LÄN</t>
        </is>
      </c>
      <c r="G216" t="inlineStr">
        <is>
          <t>HÄRNÖSAND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46288</v>
      </c>
      <c r="F217" t="inlineStr">
        <is>
          <t>VÄSTERNORRLANDS LÄN</t>
        </is>
      </c>
      <c r="G217" t="inlineStr">
        <is>
          <t>HÄRNÖSAND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45147</v>
      </c>
      <c r="E218" s="1" t="n">
        <v>46288</v>
      </c>
      <c r="F218" t="inlineStr">
        <is>
          <t>VÄSTERNORRLANDS LÄN</t>
        </is>
      </c>
      <c r="G218" t="inlineStr">
        <is>
          <t>HÄRNÖSAND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45919</v>
      </c>
      <c r="E219" s="1" t="n">
        <v>46288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46288</v>
      </c>
      <c r="F220" t="inlineStr">
        <is>
          <t>VÄSTERNORRLANDS LÄN</t>
        </is>
      </c>
      <c r="G220" t="inlineStr">
        <is>
          <t>HÄRNÖSAND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46288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46288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46288</v>
      </c>
      <c r="F223" t="inlineStr">
        <is>
          <t>VÄSTERNORRLANDS LÄN</t>
        </is>
      </c>
      <c r="G223" t="inlineStr">
        <is>
          <t>HÄRNÖSAND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46288</v>
      </c>
      <c r="F224" t="inlineStr">
        <is>
          <t>VÄSTERNORRLANDS LÄN</t>
        </is>
      </c>
      <c r="G224" t="inlineStr">
        <is>
          <t>HÄRNÖSAND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46024</v>
      </c>
      <c r="E225" s="1" t="n">
        <v>46288</v>
      </c>
      <c r="F225" t="inlineStr">
        <is>
          <t>VÄSTERNORRLANDS LÄN</t>
        </is>
      </c>
      <c r="G225" t="inlineStr">
        <is>
          <t>HÄRNÖSAND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40237-2023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46288</v>
      </c>
      <c r="F226" t="inlineStr">
        <is>
          <t>VÄSTERNORRLANDS LÄN</t>
        </is>
      </c>
      <c r="G226" t="inlineStr">
        <is>
          <t>HÄRNÖSAND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46288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46288</v>
      </c>
      <c r="F228" t="inlineStr">
        <is>
          <t>VÄSTERNORRLANDS LÄN</t>
        </is>
      </c>
      <c r="G228" t="inlineStr">
        <is>
          <t>HÄRNÖSAND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45981-2025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45924</v>
      </c>
      <c r="E229" s="1" t="n">
        <v>46288</v>
      </c>
      <c r="F229" t="inlineStr">
        <is>
          <t>VÄSTERNORRLANDS LÄN</t>
        </is>
      </c>
      <c r="G229" t="inlineStr">
        <is>
          <t>HÄRNÖSAND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46288</v>
      </c>
      <c r="F230" t="inlineStr">
        <is>
          <t>VÄSTERNORRLANDS LÄN</t>
        </is>
      </c>
      <c r="G230" t="inlineStr">
        <is>
          <t>HÄRNÖSAND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46288</v>
      </c>
      <c r="F231" t="inlineStr">
        <is>
          <t>VÄSTERNORRLANDS LÄN</t>
        </is>
      </c>
      <c r="G231" t="inlineStr">
        <is>
          <t>HÄRNÖSAND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46288</v>
      </c>
      <c r="F232" t="inlineStr">
        <is>
          <t>VÄSTERNORRLANDS LÄN</t>
        </is>
      </c>
      <c r="G232" t="inlineStr">
        <is>
          <t>HÄRNÖSAND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46288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46288</v>
      </c>
      <c r="F234" t="inlineStr">
        <is>
          <t>VÄSTERNORRLANDS LÄN</t>
        </is>
      </c>
      <c r="G234" t="inlineStr">
        <is>
          <t>HÄRNÖSAND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46288</v>
      </c>
      <c r="F235" t="inlineStr">
        <is>
          <t>VÄSTERNORRLANDS LÄN</t>
        </is>
      </c>
      <c r="G235" t="inlineStr">
        <is>
          <t>HÄRNÖSAND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46288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46288</v>
      </c>
      <c r="F237" t="inlineStr">
        <is>
          <t>VÄSTERNORRLANDS LÄN</t>
        </is>
      </c>
      <c r="G237" t="inlineStr">
        <is>
          <t>HÄRNÖSAND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46288</v>
      </c>
      <c r="F238" t="inlineStr">
        <is>
          <t>VÄSTERNORRLANDS LÄN</t>
        </is>
      </c>
      <c r="G238" t="inlineStr">
        <is>
          <t>HÄRNÖSAND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45526</v>
      </c>
      <c r="E239" s="1" t="n">
        <v>46288</v>
      </c>
      <c r="F239" t="inlineStr">
        <is>
          <t>VÄSTERNORRLANDS LÄN</t>
        </is>
      </c>
      <c r="G239" t="inlineStr">
        <is>
          <t>HÄRNÖSAND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46288</v>
      </c>
      <c r="F240" t="inlineStr">
        <is>
          <t>VÄSTERNORRLANDS LÄN</t>
        </is>
      </c>
      <c r="G240" t="inlineStr">
        <is>
          <t>HÄRNÖSAND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34011-2024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45523</v>
      </c>
      <c r="E241" s="1" t="n">
        <v>46288</v>
      </c>
      <c r="F241" t="inlineStr">
        <is>
          <t>VÄSTERNORRLANDS LÄN</t>
        </is>
      </c>
      <c r="G241" t="inlineStr">
        <is>
          <t>HÄRNÖSAND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46288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46288</v>
      </c>
      <c r="F243" t="inlineStr">
        <is>
          <t>VÄSTERNORRLANDS LÄN</t>
        </is>
      </c>
      <c r="G243" t="inlineStr">
        <is>
          <t>HÄRNÖSAND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45840</v>
      </c>
      <c r="E244" s="1" t="n">
        <v>46288</v>
      </c>
      <c r="F244" t="inlineStr">
        <is>
          <t>VÄSTERNORRLANDS LÄN</t>
        </is>
      </c>
      <c r="G244" t="inlineStr">
        <is>
          <t>HÄRNÖSAND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46288</v>
      </c>
      <c r="F245" t="inlineStr">
        <is>
          <t>VÄSTERNORRLANDS LÄN</t>
        </is>
      </c>
      <c r="G245" t="inlineStr">
        <is>
          <t>HÄRNÖSAND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46288</v>
      </c>
      <c r="F246" t="inlineStr">
        <is>
          <t>VÄSTERNORRLANDS LÄN</t>
        </is>
      </c>
      <c r="G246" t="inlineStr">
        <is>
          <t>HÄRNÖSAND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32180-2024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45511</v>
      </c>
      <c r="E247" s="1" t="n">
        <v>46288</v>
      </c>
      <c r="F247" t="inlineStr">
        <is>
          <t>VÄSTERNORRLANDS LÄN</t>
        </is>
      </c>
      <c r="G247" t="inlineStr">
        <is>
          <t>HÄRNÖSAND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46288</v>
      </c>
      <c r="F248" t="inlineStr">
        <is>
          <t>VÄSTERNORRLANDS LÄN</t>
        </is>
      </c>
      <c r="G248" t="inlineStr">
        <is>
          <t>HÄRNÖSAND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46288</v>
      </c>
      <c r="F249" t="inlineStr">
        <is>
          <t>VÄSTERNORRLANDS LÄN</t>
        </is>
      </c>
      <c r="G249" t="inlineStr">
        <is>
          <t>HÄRNÖSAND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46288</v>
      </c>
      <c r="F250" t="inlineStr">
        <is>
          <t>VÄSTERNORRLANDS LÄN</t>
        </is>
      </c>
      <c r="G250" t="inlineStr">
        <is>
          <t>HÄRNÖSAND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46288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25007-2022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44728</v>
      </c>
      <c r="E252" s="1" t="n">
        <v>46288</v>
      </c>
      <c r="F252" t="inlineStr">
        <is>
          <t>VÄSTERNORRLANDS LÄN</t>
        </is>
      </c>
      <c r="G252" t="inlineStr">
        <is>
          <t>HÄRNÖSAND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46288</v>
      </c>
      <c r="F253" t="inlineStr">
        <is>
          <t>VÄSTERNORRLANDS LÄN</t>
        </is>
      </c>
      <c r="G253" t="inlineStr">
        <is>
          <t>HÄRNÖSAND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46288</v>
      </c>
      <c r="F254" t="inlineStr">
        <is>
          <t>VÄSTERNORRLANDS LÄN</t>
        </is>
      </c>
      <c r="G254" t="inlineStr">
        <is>
          <t>HÄRNÖSAND</t>
        </is>
      </c>
      <c r="I254" t="n">
        <v>16.7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46288</v>
      </c>
      <c r="F255" t="inlineStr">
        <is>
          <t>VÄSTERNORRLANDS LÄN</t>
        </is>
      </c>
      <c r="G255" t="inlineStr">
        <is>
          <t>HÄRNÖSAND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46288</v>
      </c>
      <c r="F256" t="inlineStr">
        <is>
          <t>VÄSTERNORRLANDS LÄN</t>
        </is>
      </c>
      <c r="G256" t="inlineStr">
        <is>
          <t>HÄRNÖSAND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46288</v>
      </c>
      <c r="F257" t="inlineStr">
        <is>
          <t>VÄSTERNORRLANDS LÄN</t>
        </is>
      </c>
      <c r="G257" t="inlineStr">
        <is>
          <t>HÄRNÖSAND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44971</v>
      </c>
      <c r="E258" s="1" t="n">
        <v>46288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45489</v>
      </c>
      <c r="E259" s="1" t="n">
        <v>46288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46288</v>
      </c>
      <c r="F260" t="inlineStr">
        <is>
          <t>VÄSTERNORRLANDS LÄN</t>
        </is>
      </c>
      <c r="G260" t="inlineStr">
        <is>
          <t>HÄRNÖSAND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44791</v>
      </c>
      <c r="E261" s="1" t="n">
        <v>46288</v>
      </c>
      <c r="F261" t="inlineStr">
        <is>
          <t>VÄSTERNORRLANDS LÄN</t>
        </is>
      </c>
      <c r="G261" t="inlineStr">
        <is>
          <t>HÄRNÖSAND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46288</v>
      </c>
      <c r="F262" t="inlineStr">
        <is>
          <t>VÄSTERNORRLANDS LÄN</t>
        </is>
      </c>
      <c r="G262" t="inlineStr">
        <is>
          <t>HÄRNÖSAND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45126</v>
      </c>
      <c r="E263" s="1" t="n">
        <v>46288</v>
      </c>
      <c r="F263" t="inlineStr">
        <is>
          <t>VÄSTERNORRLANDS LÄN</t>
        </is>
      </c>
      <c r="G263" t="inlineStr">
        <is>
          <t>HÄRNÖSAND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46288</v>
      </c>
      <c r="F264" t="inlineStr">
        <is>
          <t>VÄSTERNORRLANDS LÄN</t>
        </is>
      </c>
      <c r="G264" t="inlineStr">
        <is>
          <t>HÄRNÖSAND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46288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23130-2026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46161</v>
      </c>
      <c r="E266" s="1" t="n">
        <v>46288</v>
      </c>
      <c r="F266" t="inlineStr">
        <is>
          <t>VÄSTERNORRLANDS LÄN</t>
        </is>
      </c>
      <c r="G266" t="inlineStr">
        <is>
          <t>HÄRNÖSAND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46288</v>
      </c>
      <c r="F267" t="inlineStr">
        <is>
          <t>VÄSTERNORRLANDS LÄN</t>
        </is>
      </c>
      <c r="G267" t="inlineStr">
        <is>
          <t>HÄRNÖSAND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46288</v>
      </c>
      <c r="F268" t="inlineStr">
        <is>
          <t>VÄSTERNORRLANDS LÄN</t>
        </is>
      </c>
      <c r="G268" t="inlineStr">
        <is>
          <t>HÄRNÖSAND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45786</v>
      </c>
      <c r="E269" s="1" t="n">
        <v>46288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31.8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46288</v>
      </c>
      <c r="F270" t="inlineStr">
        <is>
          <t>VÄSTERNORRLANDS LÄN</t>
        </is>
      </c>
      <c r="G270" t="inlineStr">
        <is>
          <t>HÄRNÖSAND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46288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31.8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46288</v>
      </c>
      <c r="F272" t="inlineStr">
        <is>
          <t>VÄSTERNORRLANDS LÄN</t>
        </is>
      </c>
      <c r="G272" t="inlineStr">
        <is>
          <t>HÄRNÖSAND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46288</v>
      </c>
      <c r="F273" t="inlineStr">
        <is>
          <t>VÄSTERNORRLANDS LÄN</t>
        </is>
      </c>
      <c r="G273" t="inlineStr">
        <is>
          <t>HÄRNÖSAND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46160</v>
      </c>
      <c r="E274" s="1" t="n">
        <v>46288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46288</v>
      </c>
      <c r="F275" t="inlineStr">
        <is>
          <t>VÄSTERNORRLANDS LÄN</t>
        </is>
      </c>
      <c r="G275" t="inlineStr">
        <is>
          <t>HÄRNÖSAND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46288</v>
      </c>
      <c r="F276" t="inlineStr">
        <is>
          <t>VÄSTERNORRLANDS LÄN</t>
        </is>
      </c>
      <c r="G276" t="inlineStr">
        <is>
          <t>HÄRNÖSAND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46288</v>
      </c>
      <c r="F277" t="inlineStr">
        <is>
          <t>VÄSTERNORRLANDS LÄN</t>
        </is>
      </c>
      <c r="G277" t="inlineStr">
        <is>
          <t>HÄRNÖSAND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52237-2022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44869</v>
      </c>
      <c r="E278" s="1" t="n">
        <v>46288</v>
      </c>
      <c r="F278" t="inlineStr">
        <is>
          <t>VÄSTERNORRLANDS LÄN</t>
        </is>
      </c>
      <c r="G278" t="inlineStr">
        <is>
          <t>HÄRNÖSAND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46288</v>
      </c>
      <c r="F279" t="inlineStr">
        <is>
          <t>VÄSTERNORRLANDS LÄN</t>
        </is>
      </c>
      <c r="G279" t="inlineStr">
        <is>
          <t>HÄRNÖSAND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46161</v>
      </c>
      <c r="E280" s="1" t="n">
        <v>46288</v>
      </c>
      <c r="F280" t="inlineStr">
        <is>
          <t>VÄSTERNORRLANDS LÄN</t>
        </is>
      </c>
      <c r="G280" t="inlineStr">
        <is>
          <t>HÄRNÖSAND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13611-2023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45006</v>
      </c>
      <c r="E281" s="1" t="n">
        <v>46288</v>
      </c>
      <c r="F281" t="inlineStr">
        <is>
          <t>VÄSTERNORRLANDS LÄN</t>
        </is>
      </c>
      <c r="G281" t="inlineStr">
        <is>
          <t>HÄRNÖSAND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46288</v>
      </c>
      <c r="F282" t="inlineStr">
        <is>
          <t>VÄSTERNORRLANDS LÄN</t>
        </is>
      </c>
      <c r="G282" t="inlineStr">
        <is>
          <t>HÄRNÖSAND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46161</v>
      </c>
      <c r="E283" s="1" t="n">
        <v>46288</v>
      </c>
      <c r="F283" t="inlineStr">
        <is>
          <t>VÄSTERNORRLANDS LÄN</t>
        </is>
      </c>
      <c r="G283" t="inlineStr">
        <is>
          <t>HÄRNÖSAND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45428</v>
      </c>
      <c r="E284" s="1" t="n">
        <v>46288</v>
      </c>
      <c r="F284" t="inlineStr">
        <is>
          <t>VÄSTERNORRLANDS LÄN</t>
        </is>
      </c>
      <c r="G284" t="inlineStr">
        <is>
          <t>HÄRNÖSAND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45562</v>
      </c>
      <c r="E285" s="1" t="n">
        <v>46288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46288</v>
      </c>
      <c r="F286" t="inlineStr">
        <is>
          <t>VÄSTERNORRLANDS LÄN</t>
        </is>
      </c>
      <c r="G286" t="inlineStr">
        <is>
          <t>HÄRNÖSAND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46288</v>
      </c>
      <c r="F287" t="inlineStr">
        <is>
          <t>VÄSTERNORRLANDS LÄN</t>
        </is>
      </c>
      <c r="G287" t="inlineStr">
        <is>
          <t>HÄRNÖSAND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46288</v>
      </c>
      <c r="F288" t="inlineStr">
        <is>
          <t>VÄSTERNORRLANDS LÄN</t>
        </is>
      </c>
      <c r="G288" t="inlineStr">
        <is>
          <t>HÄRNÖSAND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16866-2024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45409</v>
      </c>
      <c r="E289" s="1" t="n">
        <v>46288</v>
      </c>
      <c r="F289" t="inlineStr">
        <is>
          <t>VÄSTERNORRLANDS LÄN</t>
        </is>
      </c>
      <c r="G289" t="inlineStr">
        <is>
          <t>HÄRNÖSAND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46288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46288</v>
      </c>
      <c r="F291" t="inlineStr">
        <is>
          <t>VÄSTERNORRLANDS LÄN</t>
        </is>
      </c>
      <c r="G291" t="inlineStr">
        <is>
          <t>HÄRNÖSAND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46288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46288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45409</v>
      </c>
      <c r="E294" s="1" t="n">
        <v>46288</v>
      </c>
      <c r="F294" t="inlineStr">
        <is>
          <t>VÄSTERNORRLANDS LÄN</t>
        </is>
      </c>
      <c r="G294" t="inlineStr">
        <is>
          <t>HÄRNÖSAND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46288</v>
      </c>
      <c r="F295" t="inlineStr">
        <is>
          <t>VÄSTERNORRLANDS LÄN</t>
        </is>
      </c>
      <c r="G295" t="inlineStr">
        <is>
          <t>HÄRNÖSAND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46288</v>
      </c>
      <c r="F296" t="inlineStr">
        <is>
          <t>VÄSTERNORRLANDS LÄN</t>
        </is>
      </c>
      <c r="G296" t="inlineStr">
        <is>
          <t>HÄRNÖSAND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46288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46288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46288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46288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46288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46288</v>
      </c>
      <c r="F302" t="inlineStr">
        <is>
          <t>VÄSTERNORRLANDS LÄN</t>
        </is>
      </c>
      <c r="G302" t="inlineStr">
        <is>
          <t>HÄRNÖSAND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46288</v>
      </c>
      <c r="F303" t="inlineStr">
        <is>
          <t>VÄSTERNORRLANDS LÄN</t>
        </is>
      </c>
      <c r="G303" t="inlineStr">
        <is>
          <t>HÄRNÖSAND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46288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46288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46288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45638</v>
      </c>
      <c r="E307" s="1" t="n">
        <v>46288</v>
      </c>
      <c r="F307" t="inlineStr">
        <is>
          <t>VÄSTERNORRLANDS LÄN</t>
        </is>
      </c>
      <c r="G307" t="inlineStr">
        <is>
          <t>HÄRNÖSAND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46288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46149</v>
      </c>
      <c r="E309" s="1" t="n">
        <v>46288</v>
      </c>
      <c r="F309" t="inlineStr">
        <is>
          <t>VÄSTERNORRLANDS LÄN</t>
        </is>
      </c>
      <c r="G309" t="inlineStr">
        <is>
          <t>HÄRNÖSAND</t>
        </is>
      </c>
      <c r="I309" t="n">
        <v>13.8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46288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46288</v>
      </c>
      <c r="F311" t="inlineStr">
        <is>
          <t>VÄSTERNORRLANDS LÄN</t>
        </is>
      </c>
      <c r="G311" t="inlineStr">
        <is>
          <t>HÄRNÖSAND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45987</v>
      </c>
      <c r="E312" s="1" t="n">
        <v>46288</v>
      </c>
      <c r="F312" t="inlineStr">
        <is>
          <t>VÄSTERNORRLANDS LÄN</t>
        </is>
      </c>
      <c r="G312" t="inlineStr">
        <is>
          <t>HÄRNÖSAND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46288</v>
      </c>
      <c r="F313" t="inlineStr">
        <is>
          <t>VÄSTERNORRLANDS LÄN</t>
        </is>
      </c>
      <c r="G313" t="inlineStr">
        <is>
          <t>HÄRNÖSAND</t>
        </is>
      </c>
      <c r="I313" t="n">
        <v>12.3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46288</v>
      </c>
      <c r="F314" t="inlineStr">
        <is>
          <t>VÄSTERNORRLANDS LÄN</t>
        </is>
      </c>
      <c r="G314" t="inlineStr">
        <is>
          <t>HÄRNÖSAND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46288</v>
      </c>
      <c r="F315" t="inlineStr">
        <is>
          <t>VÄSTERNORRLANDS LÄN</t>
        </is>
      </c>
      <c r="G315" t="inlineStr">
        <is>
          <t>HÄRNÖSAND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45462</v>
      </c>
      <c r="E316" s="1" t="n">
        <v>46288</v>
      </c>
      <c r="F316" t="inlineStr">
        <is>
          <t>VÄSTERNORRLANDS LÄN</t>
        </is>
      </c>
      <c r="G316" t="inlineStr">
        <is>
          <t>HÄRNÖSAND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46288</v>
      </c>
      <c r="F317" t="inlineStr">
        <is>
          <t>VÄSTERNORRLANDS LÄN</t>
        </is>
      </c>
      <c r="G317" t="inlineStr">
        <is>
          <t>HÄRNÖSAND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46288</v>
      </c>
      <c r="F318" t="inlineStr">
        <is>
          <t>VÄSTERNORRLANDS LÄN</t>
        </is>
      </c>
      <c r="G318" t="inlineStr">
        <is>
          <t>HÄRNÖSAND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45161</v>
      </c>
      <c r="E319" s="1" t="n">
        <v>46288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45418</v>
      </c>
      <c r="E320" s="1" t="n">
        <v>46288</v>
      </c>
      <c r="F320" t="inlineStr">
        <is>
          <t>VÄSTERNORRLANDS LÄN</t>
        </is>
      </c>
      <c r="G320" t="inlineStr">
        <is>
          <t>HÄRNÖSAND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45091</v>
      </c>
      <c r="E321" s="1" t="n">
        <v>46288</v>
      </c>
      <c r="F321" t="inlineStr">
        <is>
          <t>VÄSTERNORRLANDS LÄN</t>
        </is>
      </c>
      <c r="G321" t="inlineStr">
        <is>
          <t>HÄRNÖSAND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46288</v>
      </c>
      <c r="F322" t="inlineStr">
        <is>
          <t>VÄSTERNORRLANDS LÄN</t>
        </is>
      </c>
      <c r="G322" t="inlineStr">
        <is>
          <t>HÄRNÖSAND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46288</v>
      </c>
      <c r="F323" t="inlineStr">
        <is>
          <t>VÄSTERNORRLANDS LÄN</t>
        </is>
      </c>
      <c r="G323" t="inlineStr">
        <is>
          <t>HÄRNÖSAND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45126</v>
      </c>
      <c r="E324" s="1" t="n">
        <v>46288</v>
      </c>
      <c r="F324" t="inlineStr">
        <is>
          <t>VÄSTERNORRLANDS LÄN</t>
        </is>
      </c>
      <c r="G324" t="inlineStr">
        <is>
          <t>HÄRNÖSAND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46288</v>
      </c>
      <c r="F325" t="inlineStr">
        <is>
          <t>VÄSTERNORRLANDS LÄN</t>
        </is>
      </c>
      <c r="G325" t="inlineStr">
        <is>
          <t>HÄRNÖSAND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46288</v>
      </c>
      <c r="F326" t="inlineStr">
        <is>
          <t>VÄSTERNORRLANDS LÄN</t>
        </is>
      </c>
      <c r="G326" t="inlineStr">
        <is>
          <t>HÄRNÖSAND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46288</v>
      </c>
      <c r="F327" t="inlineStr">
        <is>
          <t>VÄSTERNORRLANDS LÄN</t>
        </is>
      </c>
      <c r="G327" t="inlineStr">
        <is>
          <t>HÄRNÖSAND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46288</v>
      </c>
      <c r="F328" t="inlineStr">
        <is>
          <t>VÄSTERNORRLANDS LÄN</t>
        </is>
      </c>
      <c r="G328" t="inlineStr">
        <is>
          <t>HÄRNÖSAND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46288</v>
      </c>
      <c r="F329" t="inlineStr">
        <is>
          <t>VÄSTERNORRLANDS LÄN</t>
        </is>
      </c>
      <c r="G329" t="inlineStr">
        <is>
          <t>HÄRNÖSAND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46165</v>
      </c>
      <c r="E330" s="1" t="n">
        <v>46288</v>
      </c>
      <c r="F330" t="inlineStr">
        <is>
          <t>VÄSTERNORRLANDS LÄN</t>
        </is>
      </c>
      <c r="G330" t="inlineStr">
        <is>
          <t>HÄRNÖSAND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46288</v>
      </c>
      <c r="F331" t="inlineStr">
        <is>
          <t>VÄSTERNORRLANDS LÄN</t>
        </is>
      </c>
      <c r="G331" t="inlineStr">
        <is>
          <t>HÄRNÖSAND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45723</v>
      </c>
      <c r="E332" s="1" t="n">
        <v>46288</v>
      </c>
      <c r="F332" t="inlineStr">
        <is>
          <t>VÄSTERNORRLANDS LÄN</t>
        </is>
      </c>
      <c r="G332" t="inlineStr">
        <is>
          <t>HÄRNÖSAND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46288</v>
      </c>
      <c r="F333" t="inlineStr">
        <is>
          <t>VÄSTERNORRLANDS LÄN</t>
        </is>
      </c>
      <c r="G333" t="inlineStr">
        <is>
          <t>HÄRNÖSAND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45733</v>
      </c>
      <c r="E334" s="1" t="n">
        <v>46288</v>
      </c>
      <c r="F334" t="inlineStr">
        <is>
          <t>VÄSTERNORRLANDS LÄN</t>
        </is>
      </c>
      <c r="G334" t="inlineStr">
        <is>
          <t>HÄRNÖSAND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45293</v>
      </c>
      <c r="E335" s="1" t="n">
        <v>46288</v>
      </c>
      <c r="F335" t="inlineStr">
        <is>
          <t>VÄSTERNORRLANDS LÄN</t>
        </is>
      </c>
      <c r="G335" t="inlineStr">
        <is>
          <t>HÄRNÖSAND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45392</v>
      </c>
      <c r="E336" s="1" t="n">
        <v>46288</v>
      </c>
      <c r="F336" t="inlineStr">
        <is>
          <t>VÄSTERNORRLANDS LÄN</t>
        </is>
      </c>
      <c r="G336" t="inlineStr">
        <is>
          <t>HÄRNÖSAND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46288</v>
      </c>
      <c r="F337" t="inlineStr">
        <is>
          <t>VÄSTERNORRLANDS LÄN</t>
        </is>
      </c>
      <c r="G337" t="inlineStr">
        <is>
          <t>HÄRNÖSAND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18885-2023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45044</v>
      </c>
      <c r="E338" s="1" t="n">
        <v>46288</v>
      </c>
      <c r="F338" t="inlineStr">
        <is>
          <t>VÄSTERNORRLANDS LÄN</t>
        </is>
      </c>
      <c r="G338" t="inlineStr">
        <is>
          <t>HÄRNÖSAND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46288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46175</v>
      </c>
      <c r="E340" s="1" t="n">
        <v>46288</v>
      </c>
      <c r="F340" t="inlineStr">
        <is>
          <t>VÄSTERNORRLANDS LÄN</t>
        </is>
      </c>
      <c r="G340" t="inlineStr">
        <is>
          <t>HÄRNÖSAND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46288</v>
      </c>
      <c r="F341" t="inlineStr">
        <is>
          <t>VÄSTERNORRLANDS LÄN</t>
        </is>
      </c>
      <c r="G341" t="inlineStr">
        <is>
          <t>HÄRNÖSAND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46177</v>
      </c>
      <c r="E342" s="1" t="n">
        <v>46288</v>
      </c>
      <c r="F342" t="inlineStr">
        <is>
          <t>VÄSTERNORRLANDS LÄN</t>
        </is>
      </c>
      <c r="G342" t="inlineStr">
        <is>
          <t>HÄRNÖSAND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46177</v>
      </c>
      <c r="E343" s="1" t="n">
        <v>46288</v>
      </c>
      <c r="F343" t="inlineStr">
        <is>
          <t>VÄSTERNORRLANDS LÄN</t>
        </is>
      </c>
      <c r="G343" t="inlineStr">
        <is>
          <t>HÄRNÖSAND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46177</v>
      </c>
      <c r="E344" s="1" t="n">
        <v>46288</v>
      </c>
      <c r="F344" t="inlineStr">
        <is>
          <t>VÄSTERNORRLANDS LÄN</t>
        </is>
      </c>
      <c r="G344" t="inlineStr">
        <is>
          <t>HÄRNÖSAND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46288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46177</v>
      </c>
      <c r="E346" s="1" t="n">
        <v>46288</v>
      </c>
      <c r="F346" t="inlineStr">
        <is>
          <t>VÄSTERNORRLANDS LÄN</t>
        </is>
      </c>
      <c r="G346" t="inlineStr">
        <is>
          <t>HÄRNÖSAND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46288</v>
      </c>
      <c r="F347" t="inlineStr">
        <is>
          <t>VÄSTERNORRLANDS LÄN</t>
        </is>
      </c>
      <c r="G347" t="inlineStr">
        <is>
          <t>HÄRNÖSAND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46288</v>
      </c>
      <c r="F348" t="inlineStr">
        <is>
          <t>VÄSTERNORRLANDS LÄN</t>
        </is>
      </c>
      <c r="G348" t="inlineStr">
        <is>
          <t>HÄRNÖSAND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59073-2022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44897</v>
      </c>
      <c r="E349" s="1" t="n">
        <v>46288</v>
      </c>
      <c r="F349" t="inlineStr">
        <is>
          <t>VÄSTERNORRLANDS LÄN</t>
        </is>
      </c>
      <c r="G349" t="inlineStr">
        <is>
          <t>HÄRNÖSAND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46288</v>
      </c>
      <c r="F350" t="inlineStr">
        <is>
          <t>VÄSTERNORRLANDS LÄN</t>
        </is>
      </c>
      <c r="G350" t="inlineStr">
        <is>
          <t>HÄRNÖSAND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46288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12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25430-2022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44732</v>
      </c>
      <c r="E352" s="1" t="n">
        <v>46288</v>
      </c>
      <c r="F352" t="inlineStr">
        <is>
          <t>VÄSTERNORRLANDS LÄN</t>
        </is>
      </c>
      <c r="G352" t="inlineStr">
        <is>
          <t>HÄRNÖSAND</t>
        </is>
      </c>
      <c r="I352" t="n">
        <v>18.7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44596</v>
      </c>
      <c r="E353" s="1" t="n">
        <v>46288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Övriga statliga verk och myndigheter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21471-2022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44706</v>
      </c>
      <c r="E354" s="1" t="n">
        <v>46288</v>
      </c>
      <c r="F354" t="inlineStr">
        <is>
          <t>VÄSTERNORRLANDS LÄN</t>
        </is>
      </c>
      <c r="G354" t="inlineStr">
        <is>
          <t>HÄRNÖSAND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45512</v>
      </c>
      <c r="E355" s="1" t="n">
        <v>46288</v>
      </c>
      <c r="F355" t="inlineStr">
        <is>
          <t>VÄSTERNORRLANDS LÄN</t>
        </is>
      </c>
      <c r="G355" t="inlineStr">
        <is>
          <t>HÄRNÖSAND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46023</v>
      </c>
      <c r="E356" s="1" t="n">
        <v>46288</v>
      </c>
      <c r="F356" t="inlineStr">
        <is>
          <t>VÄSTERNORRLANDS LÄN</t>
        </is>
      </c>
      <c r="G356" t="inlineStr">
        <is>
          <t>HÄRNÖSAND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46023</v>
      </c>
      <c r="E357" s="1" t="n">
        <v>46288</v>
      </c>
      <c r="F357" t="inlineStr">
        <is>
          <t>VÄSTERNORRLANDS LÄN</t>
        </is>
      </c>
      <c r="G357" t="inlineStr">
        <is>
          <t>HÄRNÖSAND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46024</v>
      </c>
      <c r="E358" s="1" t="n">
        <v>46288</v>
      </c>
      <c r="F358" t="inlineStr">
        <is>
          <t>VÄSTERNORRLANDS LÄN</t>
        </is>
      </c>
      <c r="G358" t="inlineStr">
        <is>
          <t>HÄRNÖSAND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46288</v>
      </c>
      <c r="F359" t="inlineStr">
        <is>
          <t>VÄSTERNORRLANDS LÄN</t>
        </is>
      </c>
      <c r="G359" t="inlineStr">
        <is>
          <t>HÄRNÖSAND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46288</v>
      </c>
      <c r="F360" t="inlineStr">
        <is>
          <t>VÄSTERNORRLANDS LÄN</t>
        </is>
      </c>
      <c r="G360" t="inlineStr">
        <is>
          <t>HÄRNÖSAND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46288</v>
      </c>
      <c r="F361" t="inlineStr">
        <is>
          <t>VÄSTERNORRLANDS LÄN</t>
        </is>
      </c>
      <c r="G361" t="inlineStr">
        <is>
          <t>HÄRNÖSAND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46288</v>
      </c>
      <c r="F362" t="inlineStr">
        <is>
          <t>VÄSTERNORRLANDS LÄN</t>
        </is>
      </c>
      <c r="G362" t="inlineStr">
        <is>
          <t>HÄRNÖSAND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46026</v>
      </c>
      <c r="E363" s="1" t="n">
        <v>46288</v>
      </c>
      <c r="F363" t="inlineStr">
        <is>
          <t>VÄSTERNORRLANDS LÄN</t>
        </is>
      </c>
      <c r="G363" t="inlineStr">
        <is>
          <t>HÄRNÖSAND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46024</v>
      </c>
      <c r="E364" s="1" t="n">
        <v>46288</v>
      </c>
      <c r="F364" t="inlineStr">
        <is>
          <t>VÄSTERNORRLANDS LÄN</t>
        </is>
      </c>
      <c r="G364" t="inlineStr">
        <is>
          <t>HÄRNÖSAND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46288</v>
      </c>
      <c r="F365" t="inlineStr">
        <is>
          <t>VÄSTERNORRLANDS LÄN</t>
        </is>
      </c>
      <c r="G365" t="inlineStr">
        <is>
          <t>HÄRNÖSAND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46288</v>
      </c>
      <c r="F366" t="inlineStr">
        <is>
          <t>VÄSTERNORRLANDS LÄN</t>
        </is>
      </c>
      <c r="G366" t="inlineStr">
        <is>
          <t>HÄRNÖSAND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46288</v>
      </c>
      <c r="F367" t="inlineStr">
        <is>
          <t>VÄSTERNORRLANDS LÄN</t>
        </is>
      </c>
      <c r="G367" t="inlineStr">
        <is>
          <t>HÄRNÖSAND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780-2026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46029</v>
      </c>
      <c r="E368" s="1" t="n">
        <v>46288</v>
      </c>
      <c r="F368" t="inlineStr">
        <is>
          <t>VÄSTERNORRLANDS LÄN</t>
        </is>
      </c>
      <c r="G368" t="inlineStr">
        <is>
          <t>HÄRNÖSAND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46288</v>
      </c>
      <c r="F369" t="inlineStr">
        <is>
          <t>VÄSTERNORRLANDS LÄN</t>
        </is>
      </c>
      <c r="G369" t="inlineStr">
        <is>
          <t>HÄRNÖSAND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46288</v>
      </c>
      <c r="F370" t="inlineStr">
        <is>
          <t>VÄSTERNORRLANDS LÄN</t>
        </is>
      </c>
      <c r="G370" t="inlineStr">
        <is>
          <t>HÄRNÖSAND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46288</v>
      </c>
      <c r="F371" t="inlineStr">
        <is>
          <t>VÄSTERNORRLANDS LÄN</t>
        </is>
      </c>
      <c r="G371" t="inlineStr">
        <is>
          <t>HÄRNÖSAND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46288</v>
      </c>
      <c r="F372" t="inlineStr">
        <is>
          <t>VÄSTERNORRLANDS LÄN</t>
        </is>
      </c>
      <c r="G372" t="inlineStr">
        <is>
          <t>HÄRNÖSAND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46035</v>
      </c>
      <c r="E373" s="1" t="n">
        <v>46288</v>
      </c>
      <c r="F373" t="inlineStr">
        <is>
          <t>VÄSTERNORRLANDS LÄN</t>
        </is>
      </c>
      <c r="G373" t="inlineStr">
        <is>
          <t>HÄRNÖSAND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46288</v>
      </c>
      <c r="F374" t="inlineStr">
        <is>
          <t>VÄSTERNORRLANDS LÄN</t>
        </is>
      </c>
      <c r="G374" t="inlineStr">
        <is>
          <t>HÄRNÖSAND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46288</v>
      </c>
      <c r="F375" t="inlineStr">
        <is>
          <t>VÄSTERNORRLANDS LÄN</t>
        </is>
      </c>
      <c r="G375" t="inlineStr">
        <is>
          <t>HÄRNÖSAND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46038</v>
      </c>
      <c r="E376" s="1" t="n">
        <v>46288</v>
      </c>
      <c r="F376" t="inlineStr">
        <is>
          <t>VÄSTERNORRLANDS LÄN</t>
        </is>
      </c>
      <c r="G376" t="inlineStr">
        <is>
          <t>HÄRNÖSAND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46288</v>
      </c>
      <c r="F377" t="inlineStr">
        <is>
          <t>VÄSTERNORRLANDS LÄN</t>
        </is>
      </c>
      <c r="G377" t="inlineStr">
        <is>
          <t>HÄRNÖSAND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46288</v>
      </c>
      <c r="F378" t="inlineStr">
        <is>
          <t>VÄSTERNORRLANDS LÄN</t>
        </is>
      </c>
      <c r="G378" t="inlineStr">
        <is>
          <t>HÄRNÖSAND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46288</v>
      </c>
      <c r="F379" t="inlineStr">
        <is>
          <t>VÄSTERNORRLANDS LÄN</t>
        </is>
      </c>
      <c r="G379" t="inlineStr">
        <is>
          <t>HÄRNÖSAND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45800</v>
      </c>
      <c r="E380" s="1" t="n">
        <v>46288</v>
      </c>
      <c r="F380" t="inlineStr">
        <is>
          <t>VÄSTERNORRLANDS LÄN</t>
        </is>
      </c>
      <c r="G380" t="inlineStr">
        <is>
          <t>HÄRNÖSAND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46189</v>
      </c>
      <c r="E381" s="1" t="n">
        <v>46288</v>
      </c>
      <c r="F381" t="inlineStr">
        <is>
          <t>VÄSTERNORRLANDS LÄN</t>
        </is>
      </c>
      <c r="G381" t="inlineStr">
        <is>
          <t>HÄRNÖSAND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46189</v>
      </c>
      <c r="E382" s="1" t="n">
        <v>46288</v>
      </c>
      <c r="F382" t="inlineStr">
        <is>
          <t>VÄSTERNORRLANDS LÄN</t>
        </is>
      </c>
      <c r="G382" t="inlineStr">
        <is>
          <t>HÄRNÖSAND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46288</v>
      </c>
      <c r="F383" t="inlineStr">
        <is>
          <t>VÄSTERNORRLANDS LÄN</t>
        </is>
      </c>
      <c r="G383" t="inlineStr">
        <is>
          <t>HÄRNÖSAND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46288</v>
      </c>
      <c r="F384" t="inlineStr">
        <is>
          <t>VÄSTERNORRLANDS LÄN</t>
        </is>
      </c>
      <c r="G384" t="inlineStr">
        <is>
          <t>HÄRNÖSAND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46288</v>
      </c>
      <c r="F385" t="inlineStr">
        <is>
          <t>VÄSTERNORRLANDS LÄN</t>
        </is>
      </c>
      <c r="G385" t="inlineStr">
        <is>
          <t>HÄRNÖSAND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54091-2024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45616</v>
      </c>
      <c r="E386" s="1" t="n">
        <v>46288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46288</v>
      </c>
      <c r="F387" t="inlineStr">
        <is>
          <t>VÄSTERNORRLANDS LÄN</t>
        </is>
      </c>
      <c r="G387" t="inlineStr">
        <is>
          <t>HÄRNÖSAND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46288</v>
      </c>
      <c r="F388" t="inlineStr">
        <is>
          <t>VÄSTERNORRLANDS LÄN</t>
        </is>
      </c>
      <c r="G388" t="inlineStr">
        <is>
          <t>HÄRNÖSAND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46288</v>
      </c>
      <c r="F389" t="inlineStr">
        <is>
          <t>VÄSTERNORRLANDS LÄN</t>
        </is>
      </c>
      <c r="G389" t="inlineStr">
        <is>
          <t>HÄRNÖSAND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46288</v>
      </c>
      <c r="F390" t="inlineStr">
        <is>
          <t>VÄSTERNORRLANDS LÄN</t>
        </is>
      </c>
      <c r="G390" t="inlineStr">
        <is>
          <t>HÄRNÖSAND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46288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46288</v>
      </c>
      <c r="F392" t="inlineStr">
        <is>
          <t>VÄSTERNORRLANDS LÄN</t>
        </is>
      </c>
      <c r="G392" t="inlineStr">
        <is>
          <t>HÄRNÖSAND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46054</v>
      </c>
      <c r="E393" s="1" t="n">
        <v>46288</v>
      </c>
      <c r="F393" t="inlineStr">
        <is>
          <t>VÄSTERNORRLANDS LÄN</t>
        </is>
      </c>
      <c r="G393" t="inlineStr">
        <is>
          <t>HÄRNÖSAND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46288</v>
      </c>
      <c r="F394" t="inlineStr">
        <is>
          <t>VÄSTERNORRLANDS LÄN</t>
        </is>
      </c>
      <c r="G394" t="inlineStr">
        <is>
          <t>HÄRNÖSAND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46288</v>
      </c>
      <c r="F395" t="inlineStr">
        <is>
          <t>VÄSTERNORRLANDS LÄN</t>
        </is>
      </c>
      <c r="G395" t="inlineStr">
        <is>
          <t>HÄRNÖSAND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46052</v>
      </c>
      <c r="E396" s="1" t="n">
        <v>46288</v>
      </c>
      <c r="F396" t="inlineStr">
        <is>
          <t>VÄSTERNORRLANDS LÄN</t>
        </is>
      </c>
      <c r="G396" t="inlineStr">
        <is>
          <t>HÄRNÖSAND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46288</v>
      </c>
      <c r="F397" t="inlineStr">
        <is>
          <t>VÄSTERNORRLANDS LÄN</t>
        </is>
      </c>
      <c r="G397" t="inlineStr">
        <is>
          <t>HÄRNÖSAND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46288</v>
      </c>
      <c r="F398" t="inlineStr">
        <is>
          <t>VÄSTERNORRLANDS LÄN</t>
        </is>
      </c>
      <c r="G398" t="inlineStr">
        <is>
          <t>HÄRNÖSAND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46288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39433-2023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45163</v>
      </c>
      <c r="E400" s="1" t="n">
        <v>46288</v>
      </c>
      <c r="F400" t="inlineStr">
        <is>
          <t>VÄSTERNORRLANDS LÄN</t>
        </is>
      </c>
      <c r="G400" t="inlineStr">
        <is>
          <t>HÄRNÖSAND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46288</v>
      </c>
      <c r="F401" t="inlineStr">
        <is>
          <t>VÄSTERNORRLANDS LÄN</t>
        </is>
      </c>
      <c r="G401" t="inlineStr">
        <is>
          <t>HÄRNÖSAND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46288</v>
      </c>
      <c r="F402" t="inlineStr">
        <is>
          <t>VÄSTERNORRLANDS LÄN</t>
        </is>
      </c>
      <c r="G402" t="inlineStr">
        <is>
          <t>HÄRNÖSAND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46288</v>
      </c>
      <c r="F403" t="inlineStr">
        <is>
          <t>VÄSTERNORRLANDS LÄN</t>
        </is>
      </c>
      <c r="G403" t="inlineStr">
        <is>
          <t>HÄRNÖSAND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46288</v>
      </c>
      <c r="F404" t="inlineStr">
        <is>
          <t>VÄSTERNORRLANDS LÄN</t>
        </is>
      </c>
      <c r="G404" t="inlineStr">
        <is>
          <t>HÄRNÖSAND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47552-2022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44853</v>
      </c>
      <c r="E405" s="1" t="n">
        <v>46288</v>
      </c>
      <c r="F405" t="inlineStr">
        <is>
          <t>VÄSTERNORRLANDS LÄN</t>
        </is>
      </c>
      <c r="G405" t="inlineStr">
        <is>
          <t>HÄRNÖSAND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45138</v>
      </c>
      <c r="E406" s="1" t="n">
        <v>46288</v>
      </c>
      <c r="F406" t="inlineStr">
        <is>
          <t>VÄSTERNORRLANDS LÄN</t>
        </is>
      </c>
      <c r="G406" t="inlineStr">
        <is>
          <t>HÄRNÖSAND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46195</v>
      </c>
      <c r="E407" s="1" t="n">
        <v>46288</v>
      </c>
      <c r="F407" t="inlineStr">
        <is>
          <t>VÄSTERNORRLANDS LÄN</t>
        </is>
      </c>
      <c r="G407" t="inlineStr">
        <is>
          <t>HÄRNÖSAND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46288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46288</v>
      </c>
      <c r="F409" t="inlineStr">
        <is>
          <t>VÄSTERNORRLANDS LÄN</t>
        </is>
      </c>
      <c r="G409" t="inlineStr">
        <is>
          <t>HÄRNÖSAND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46288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Kyrkan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46288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Kyrkan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46288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Kyrkan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46288</v>
      </c>
      <c r="F413" t="inlineStr">
        <is>
          <t>VÄSTERNORRLANDS LÄN</t>
        </is>
      </c>
      <c r="G413" t="inlineStr">
        <is>
          <t>HÄRNÖSAND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35595-2024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45531</v>
      </c>
      <c r="E414" s="1" t="n">
        <v>46288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51001-2022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44867</v>
      </c>
      <c r="E415" s="1" t="n">
        <v>46288</v>
      </c>
      <c r="F415" t="inlineStr">
        <is>
          <t>VÄSTERNORRLANDS LÄN</t>
        </is>
      </c>
      <c r="G415" t="inlineStr">
        <is>
          <t>HÄRNÖSAND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46288</v>
      </c>
      <c r="F416" t="inlineStr">
        <is>
          <t>VÄSTERNORRLANDS LÄN</t>
        </is>
      </c>
      <c r="G416" t="inlineStr">
        <is>
          <t>HÄRNÖSAND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45390</v>
      </c>
      <c r="E417" s="1" t="n">
        <v>46288</v>
      </c>
      <c r="F417" t="inlineStr">
        <is>
          <t>VÄSTERNORRLANDS LÄN</t>
        </is>
      </c>
      <c r="G417" t="inlineStr">
        <is>
          <t>HÄRNÖSAND</t>
        </is>
      </c>
      <c r="I417" t="n">
        <v>14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45678</v>
      </c>
      <c r="E418" s="1" t="n">
        <v>46288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46288</v>
      </c>
      <c r="F419" t="inlineStr">
        <is>
          <t>VÄSTERNORRLANDS LÄN</t>
        </is>
      </c>
      <c r="G419" t="inlineStr">
        <is>
          <t>HÄRNÖSAND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46288</v>
      </c>
      <c r="F420" t="inlineStr">
        <is>
          <t>VÄSTERNORRLANDS LÄN</t>
        </is>
      </c>
      <c r="G420" t="inlineStr">
        <is>
          <t>HÄRNÖSAND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46288</v>
      </c>
      <c r="F421" t="inlineStr">
        <is>
          <t>VÄSTERNORRLANDS LÄN</t>
        </is>
      </c>
      <c r="G421" t="inlineStr">
        <is>
          <t>HÄRNÖSAND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9642-2026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46288</v>
      </c>
      <c r="F422" t="inlineStr">
        <is>
          <t>VÄSTERNORRLANDS LÄN</t>
        </is>
      </c>
      <c r="G422" t="inlineStr">
        <is>
          <t>HÄRNÖSAND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46288</v>
      </c>
      <c r="F423" t="inlineStr">
        <is>
          <t>VÄSTERNORRLANDS LÄN</t>
        </is>
      </c>
      <c r="G423" t="inlineStr">
        <is>
          <t>HÄRNÖSAND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46077</v>
      </c>
      <c r="E424" s="1" t="n">
        <v>46288</v>
      </c>
      <c r="F424" t="inlineStr">
        <is>
          <t>VÄSTERNORRLANDS LÄN</t>
        </is>
      </c>
      <c r="G424" t="inlineStr">
        <is>
          <t>HÄRNÖSAND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46288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Kyrkan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16979-2022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44676</v>
      </c>
      <c r="E426" s="1" t="n">
        <v>46288</v>
      </c>
      <c r="F426" t="inlineStr">
        <is>
          <t>VÄSTERNORRLANDS LÄN</t>
        </is>
      </c>
      <c r="G426" t="inlineStr">
        <is>
          <t>HÄRNÖSAND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11202-2026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46080</v>
      </c>
      <c r="E427" s="1" t="n">
        <v>46288</v>
      </c>
      <c r="F427" t="inlineStr">
        <is>
          <t>VÄSTERNORRLANDS LÄN</t>
        </is>
      </c>
      <c r="G427" t="inlineStr">
        <is>
          <t>HÄRNÖSAND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46288</v>
      </c>
      <c r="F428" t="inlineStr">
        <is>
          <t>VÄSTERNORRLANDS LÄN</t>
        </is>
      </c>
      <c r="G428" t="inlineStr">
        <is>
          <t>HÄRNÖSAND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46288</v>
      </c>
      <c r="F429" t="inlineStr">
        <is>
          <t>VÄSTERNORRLANDS LÄN</t>
        </is>
      </c>
      <c r="G429" t="inlineStr">
        <is>
          <t>HÄRNÖSAND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45015</v>
      </c>
      <c r="E430" s="1" t="n">
        <v>46288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46087</v>
      </c>
      <c r="E431" s="1" t="n">
        <v>46288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Övriga statliga verk och myndigheter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45749</v>
      </c>
      <c r="E432" s="1" t="n">
        <v>46288</v>
      </c>
      <c r="F432" t="inlineStr">
        <is>
          <t>VÄSTERNORRLANDS LÄN</t>
        </is>
      </c>
      <c r="G432" t="inlineStr">
        <is>
          <t>HÄRNÖSAND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46091</v>
      </c>
      <c r="E433" s="1" t="n">
        <v>46288</v>
      </c>
      <c r="F433" t="inlineStr">
        <is>
          <t>VÄSTERNORRLANDS LÄN</t>
        </is>
      </c>
      <c r="G433" t="inlineStr">
        <is>
          <t>HÄRNÖSAND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46091</v>
      </c>
      <c r="E434" s="1" t="n">
        <v>46288</v>
      </c>
      <c r="F434" t="inlineStr">
        <is>
          <t>VÄSTERNORRLANDS LÄN</t>
        </is>
      </c>
      <c r="G434" t="inlineStr">
        <is>
          <t>HÄRNÖSAND</t>
        </is>
      </c>
      <c r="I434" t="n">
        <v>9.9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12637-2026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46091</v>
      </c>
      <c r="E435" s="1" t="n">
        <v>46288</v>
      </c>
      <c r="F435" t="inlineStr">
        <is>
          <t>VÄSTERNORRLANDS LÄN</t>
        </is>
      </c>
      <c r="G435" t="inlineStr">
        <is>
          <t>HÄRNÖSAND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12650-2026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46091</v>
      </c>
      <c r="E436" s="1" t="n">
        <v>46288</v>
      </c>
      <c r="F436" t="inlineStr">
        <is>
          <t>VÄSTERNORRLANDS LÄN</t>
        </is>
      </c>
      <c r="G436" t="inlineStr">
        <is>
          <t>HÄRNÖSAND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12623-2026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46091</v>
      </c>
      <c r="E437" s="1" t="n">
        <v>46288</v>
      </c>
      <c r="F437" t="inlineStr">
        <is>
          <t>VÄSTERNORRLANDS LÄN</t>
        </is>
      </c>
      <c r="G437" t="inlineStr">
        <is>
          <t>HÄRNÖSAND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46288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45313</v>
      </c>
      <c r="E439" s="1" t="n">
        <v>46288</v>
      </c>
      <c r="F439" t="inlineStr">
        <is>
          <t>VÄSTERNORRLANDS LÄN</t>
        </is>
      </c>
      <c r="G439" t="inlineStr">
        <is>
          <t>HÄRNÖSAND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13488-2026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46288</v>
      </c>
      <c r="F440" t="inlineStr">
        <is>
          <t>VÄSTERNORRLANDS LÄN</t>
        </is>
      </c>
      <c r="G440" t="inlineStr">
        <is>
          <t>HÄRNÖSAND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46203</v>
      </c>
      <c r="E441" s="1" t="n">
        <v>46288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46288</v>
      </c>
      <c r="F442" t="inlineStr">
        <is>
          <t>VÄSTERNORRLANDS LÄN</t>
        </is>
      </c>
      <c r="G442" t="inlineStr">
        <is>
          <t>HÄRNÖSAND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55895-2024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46288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14665-2026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46101</v>
      </c>
      <c r="E444" s="1" t="n">
        <v>46288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16.2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46288</v>
      </c>
      <c r="F445" t="inlineStr">
        <is>
          <t>VÄSTERNORRLANDS LÄN</t>
        </is>
      </c>
      <c r="G445" t="inlineStr">
        <is>
          <t>HÄRNÖSAND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44971</v>
      </c>
      <c r="E446" s="1" t="n">
        <v>46288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46288</v>
      </c>
      <c r="F447" t="inlineStr">
        <is>
          <t>VÄSTERNORRLANDS LÄN</t>
        </is>
      </c>
      <c r="G447" t="inlineStr">
        <is>
          <t>HÄRNÖSAND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46288</v>
      </c>
      <c r="F448" t="inlineStr">
        <is>
          <t>VÄSTERNORRLANDS LÄN</t>
        </is>
      </c>
      <c r="G448" t="inlineStr">
        <is>
          <t>HÄRNÖSAND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46288</v>
      </c>
      <c r="F449" t="inlineStr">
        <is>
          <t>VÄSTERNORRLANDS LÄN</t>
        </is>
      </c>
      <c r="G449" t="inlineStr">
        <is>
          <t>HÄRNÖSAND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46288</v>
      </c>
      <c r="F450" t="inlineStr">
        <is>
          <t>VÄSTERNORRLANDS LÄN</t>
        </is>
      </c>
      <c r="G450" t="inlineStr">
        <is>
          <t>HÄRNÖSAND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46105</v>
      </c>
      <c r="E451" s="1" t="n">
        <v>46288</v>
      </c>
      <c r="F451" t="inlineStr">
        <is>
          <t>VÄSTERNORRLANDS LÄN</t>
        </is>
      </c>
      <c r="G451" t="inlineStr">
        <is>
          <t>HÄRNÖSAND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46105</v>
      </c>
      <c r="E452" s="1" t="n">
        <v>46288</v>
      </c>
      <c r="F452" t="inlineStr">
        <is>
          <t>VÄSTERNORRLANDS LÄN</t>
        </is>
      </c>
      <c r="G452" t="inlineStr">
        <is>
          <t>HÄRNÖSAND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46288</v>
      </c>
      <c r="F453" t="inlineStr">
        <is>
          <t>VÄSTERNORRLANDS LÄN</t>
        </is>
      </c>
      <c r="G453" t="inlineStr">
        <is>
          <t>HÄRNÖSAND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46288</v>
      </c>
      <c r="F454" t="inlineStr">
        <is>
          <t>VÄSTERNORRLANDS LÄN</t>
        </is>
      </c>
      <c r="G454" t="inlineStr">
        <is>
          <t>HÄRNÖSAND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45687-2022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44845</v>
      </c>
      <c r="E455" s="1" t="n">
        <v>46288</v>
      </c>
      <c r="F455" t="inlineStr">
        <is>
          <t>VÄSTERNORRLANDS LÄN</t>
        </is>
      </c>
      <c r="G455" t="inlineStr">
        <is>
          <t>HÄRNÖSAND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46204</v>
      </c>
      <c r="E456" s="1" t="n">
        <v>46288</v>
      </c>
      <c r="F456" t="inlineStr">
        <is>
          <t>VÄSTERNORRLANDS LÄN</t>
        </is>
      </c>
      <c r="G456" t="inlineStr">
        <is>
          <t>HÄRNÖSAND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46288</v>
      </c>
      <c r="F457" t="inlineStr">
        <is>
          <t>VÄSTERNORRLANDS LÄN</t>
        </is>
      </c>
      <c r="G457" t="inlineStr">
        <is>
          <t>HÄRNÖSAND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46288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15921-2026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46107</v>
      </c>
      <c r="E459" s="1" t="n">
        <v>46288</v>
      </c>
      <c r="F459" t="inlineStr">
        <is>
          <t>VÄSTERNORRLANDS LÄN</t>
        </is>
      </c>
      <c r="G459" t="inlineStr">
        <is>
          <t>HÄRNÖSAND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45409</v>
      </c>
      <c r="E460" s="1" t="n">
        <v>46288</v>
      </c>
      <c r="F460" t="inlineStr">
        <is>
          <t>VÄSTERNORRLANDS LÄN</t>
        </is>
      </c>
      <c r="G460" t="inlineStr">
        <is>
          <t>HÄRNÖSAND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44580</v>
      </c>
      <c r="E461" s="1" t="n">
        <v>46288</v>
      </c>
      <c r="F461" t="inlineStr">
        <is>
          <t>VÄSTERNORRLANDS LÄN</t>
        </is>
      </c>
      <c r="G461" t="inlineStr">
        <is>
          <t>HÄRNÖSAND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15930-2026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46107</v>
      </c>
      <c r="E462" s="1" t="n">
        <v>46288</v>
      </c>
      <c r="F462" t="inlineStr">
        <is>
          <t>VÄSTERNORRLANDS LÄN</t>
        </is>
      </c>
      <c r="G462" t="inlineStr">
        <is>
          <t>HÄRNÖSAND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58588-2022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44894</v>
      </c>
      <c r="E463" s="1" t="n">
        <v>46288</v>
      </c>
      <c r="F463" t="inlineStr">
        <is>
          <t>VÄSTERNORRLANDS LÄN</t>
        </is>
      </c>
      <c r="G463" t="inlineStr">
        <is>
          <t>HÄRNÖSAND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46288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46288</v>
      </c>
      <c r="F465" t="inlineStr">
        <is>
          <t>VÄSTERNORRLANDS LÄN</t>
        </is>
      </c>
      <c r="G465" t="inlineStr">
        <is>
          <t>HÄRNÖSAND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10549-2024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46288</v>
      </c>
      <c r="F466" t="inlineStr">
        <is>
          <t>VÄSTERNORRLANDS LÄN</t>
        </is>
      </c>
      <c r="G466" t="inlineStr">
        <is>
          <t>HÄRNÖSAND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17661-2026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46120</v>
      </c>
      <c r="E467" s="1" t="n">
        <v>46288</v>
      </c>
      <c r="F467" t="inlineStr">
        <is>
          <t>VÄSTERNORRLANDS LÄN</t>
        </is>
      </c>
      <c r="G467" t="inlineStr">
        <is>
          <t>HÄRNÖSAND</t>
        </is>
      </c>
      <c r="I467" t="n">
        <v>10.8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46288</v>
      </c>
      <c r="F468" t="inlineStr">
        <is>
          <t>VÄSTERNORRLANDS LÄN</t>
        </is>
      </c>
      <c r="G468" t="inlineStr">
        <is>
          <t>HÄRNÖSAND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46288</v>
      </c>
      <c r="F469" t="inlineStr">
        <is>
          <t>VÄSTERNORRLANDS LÄN</t>
        </is>
      </c>
      <c r="G469" t="inlineStr">
        <is>
          <t>HÄRNÖSAND</t>
        </is>
      </c>
      <c r="I469" t="n">
        <v>14.6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46288</v>
      </c>
      <c r="F470" t="inlineStr">
        <is>
          <t>VÄSTERNORRLANDS LÄN</t>
        </is>
      </c>
      <c r="G470" t="inlineStr">
        <is>
          <t>HÄRNÖSAND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45251</v>
      </c>
      <c r="E471" s="1" t="n">
        <v>46288</v>
      </c>
      <c r="F471" t="inlineStr">
        <is>
          <t>VÄSTERNORRLANDS LÄN</t>
        </is>
      </c>
      <c r="G471" t="inlineStr">
        <is>
          <t>HÄRNÖSAND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61102-2021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44498</v>
      </c>
      <c r="E472" s="1" t="n">
        <v>46288</v>
      </c>
      <c r="F472" t="inlineStr">
        <is>
          <t>VÄSTERNORRLANDS LÄN</t>
        </is>
      </c>
      <c r="G472" t="inlineStr">
        <is>
          <t>HÄRNÖSAND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45376</v>
      </c>
      <c r="E473" s="1" t="n">
        <v>46288</v>
      </c>
      <c r="F473" t="inlineStr">
        <is>
          <t>VÄSTERNORRLANDS LÄN</t>
        </is>
      </c>
      <c r="G473" t="inlineStr">
        <is>
          <t>HÄRNÖSAND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46288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31.9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33747-2026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46251</v>
      </c>
      <c r="E475" s="1" t="n">
        <v>46288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46127</v>
      </c>
      <c r="E476" s="1" t="n">
        <v>46288</v>
      </c>
      <c r="F476" t="inlineStr">
        <is>
          <t>VÄSTERNORRLANDS LÄN</t>
        </is>
      </c>
      <c r="G476" t="inlineStr">
        <is>
          <t>HÄRNÖSAND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50338-2022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44865</v>
      </c>
      <c r="E477" s="1" t="n">
        <v>46288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45699</v>
      </c>
      <c r="E478" s="1" t="n">
        <v>46288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46288</v>
      </c>
      <c r="F479" t="inlineStr">
        <is>
          <t>VÄSTERNORRLANDS LÄN</t>
        </is>
      </c>
      <c r="G479" t="inlineStr">
        <is>
          <t>HÄRNÖSAND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46288</v>
      </c>
      <c r="F480" t="inlineStr">
        <is>
          <t>VÄSTERNORRLANDS LÄN</t>
        </is>
      </c>
      <c r="G480" t="inlineStr">
        <is>
          <t>HÄRNÖSAND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46288</v>
      </c>
      <c r="F481" t="inlineStr">
        <is>
          <t>VÄSTERNORRLANDS LÄN</t>
        </is>
      </c>
      <c r="G481" t="inlineStr">
        <is>
          <t>HÄRNÖSAND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18979-2023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45044</v>
      </c>
      <c r="E482" s="1" t="n">
        <v>46288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45502</v>
      </c>
      <c r="E483" s="1" t="n">
        <v>46288</v>
      </c>
      <c r="F483" t="inlineStr">
        <is>
          <t>VÄSTERNORRLANDS LÄN</t>
        </is>
      </c>
      <c r="G483" t="inlineStr">
        <is>
          <t>HÄRNÖSAND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30216-2026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46288</v>
      </c>
      <c r="F484" t="inlineStr">
        <is>
          <t>VÄSTERNORRLANDS LÄN</t>
        </is>
      </c>
      <c r="G484" t="inlineStr">
        <is>
          <t>HÄRNÖSAND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46288</v>
      </c>
      <c r="F485" t="inlineStr">
        <is>
          <t>VÄSTERNORRLANDS LÄN</t>
        </is>
      </c>
      <c r="G485" t="inlineStr">
        <is>
          <t>HÄRNÖSAND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24452-2022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44726</v>
      </c>
      <c r="E486" s="1" t="n">
        <v>46288</v>
      </c>
      <c r="F486" t="inlineStr">
        <is>
          <t>VÄSTERNORRLANDS LÄN</t>
        </is>
      </c>
      <c r="G486" t="inlineStr">
        <is>
          <t>HÄRNÖSAND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46288</v>
      </c>
      <c r="F487" t="inlineStr">
        <is>
          <t>VÄSTERNORRLANDS LÄN</t>
        </is>
      </c>
      <c r="G487" t="inlineStr">
        <is>
          <t>HÄRNÖSAND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25746-2025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45800</v>
      </c>
      <c r="E488" s="1" t="n">
        <v>46288</v>
      </c>
      <c r="F488" t="inlineStr">
        <is>
          <t>VÄSTERNORRLANDS LÄN</t>
        </is>
      </c>
      <c r="G488" t="inlineStr">
        <is>
          <t>HÄRNÖSAND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46288</v>
      </c>
      <c r="F489" t="inlineStr">
        <is>
          <t>VÄSTERNORRLANDS LÄN</t>
        </is>
      </c>
      <c r="G489" t="inlineStr">
        <is>
          <t>HÄRNÖSAND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46288</v>
      </c>
      <c r="F490" t="inlineStr">
        <is>
          <t>VÄSTERNORRLANDS LÄN</t>
        </is>
      </c>
      <c r="G490" t="inlineStr">
        <is>
          <t>HÄRNÖSAND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33659-2026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46248</v>
      </c>
      <c r="E491" s="1" t="n">
        <v>46288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46252</v>
      </c>
      <c r="E492" s="1" t="n">
        <v>46288</v>
      </c>
      <c r="F492" t="inlineStr">
        <is>
          <t>VÄSTERNORRLANDS LÄN</t>
        </is>
      </c>
      <c r="G492" t="inlineStr">
        <is>
          <t>HÄRNÖSAND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56165-2022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44889</v>
      </c>
      <c r="E493" s="1" t="n">
        <v>46288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29813-2022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44755</v>
      </c>
      <c r="E494" s="1" t="n">
        <v>46288</v>
      </c>
      <c r="F494" t="inlineStr">
        <is>
          <t>VÄSTERNORRLANDS LÄN</t>
        </is>
      </c>
      <c r="G494" t="inlineStr">
        <is>
          <t>HÄRNÖSAND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46209</v>
      </c>
      <c r="E495" s="1" t="n">
        <v>46288</v>
      </c>
      <c r="F495" t="inlineStr">
        <is>
          <t>VÄSTERNORRLANDS LÄN</t>
        </is>
      </c>
      <c r="G495" t="inlineStr">
        <is>
          <t>HÄRNÖSAND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54252-2022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46288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45194</v>
      </c>
      <c r="E497" s="1" t="n">
        <v>46288</v>
      </c>
      <c r="F497" t="inlineStr">
        <is>
          <t>VÄSTERNORRLANDS LÄN</t>
        </is>
      </c>
      <c r="G497" t="inlineStr">
        <is>
          <t>HÄRNÖSAND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45505</v>
      </c>
      <c r="E498" s="1" t="n">
        <v>46288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46320-2022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44847</v>
      </c>
      <c r="E499" s="1" t="n">
        <v>46288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Kyrkan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46288</v>
      </c>
      <c r="F500" t="inlineStr">
        <is>
          <t>VÄSTERNORRLANDS LÄN</t>
        </is>
      </c>
      <c r="G500" t="inlineStr">
        <is>
          <t>HÄRNÖSAND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46319-2022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44847</v>
      </c>
      <c r="E501" s="1" t="n">
        <v>46288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Kyrkan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45723</v>
      </c>
      <c r="E502" s="1" t="n">
        <v>46288</v>
      </c>
      <c r="F502" t="inlineStr">
        <is>
          <t>VÄSTERNORRLANDS LÄN</t>
        </is>
      </c>
      <c r="G502" t="inlineStr">
        <is>
          <t>HÄRNÖSAND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45482</v>
      </c>
      <c r="E503" s="1" t="n">
        <v>46288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46211</v>
      </c>
      <c r="E504" s="1" t="n">
        <v>46288</v>
      </c>
      <c r="F504" t="inlineStr">
        <is>
          <t>VÄSTERNORRLANDS LÄN</t>
        </is>
      </c>
      <c r="G504" t="inlineStr">
        <is>
          <t>HÄRNÖSAND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46288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4819-2024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46288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46213</v>
      </c>
      <c r="E507" s="1" t="n">
        <v>46288</v>
      </c>
      <c r="F507" t="inlineStr">
        <is>
          <t>VÄSTERNORRLANDS LÄN</t>
        </is>
      </c>
      <c r="G507" t="inlineStr">
        <is>
          <t>HÄRNÖSAND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45390</v>
      </c>
      <c r="E508" s="1" t="n">
        <v>46288</v>
      </c>
      <c r="F508" t="inlineStr">
        <is>
          <t>VÄSTERNORRLANDS LÄN</t>
        </is>
      </c>
      <c r="G508" t="inlineStr">
        <is>
          <t>HÄRNÖSAND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46288</v>
      </c>
      <c r="F509" t="inlineStr">
        <is>
          <t>VÄSTERNORRLANDS LÄN</t>
        </is>
      </c>
      <c r="G509" t="inlineStr">
        <is>
          <t>HÄRNÖSAND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60970-2021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44496</v>
      </c>
      <c r="E510" s="1" t="n">
        <v>46288</v>
      </c>
      <c r="F510" t="inlineStr">
        <is>
          <t>VÄSTERNORRLANDS LÄN</t>
        </is>
      </c>
      <c r="G510" t="inlineStr">
        <is>
          <t>HÄRNÖSAND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52987-2022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44875</v>
      </c>
      <c r="E511" s="1" t="n">
        <v>46288</v>
      </c>
      <c r="F511" t="inlineStr">
        <is>
          <t>VÄSTERNORRLANDS LÄN</t>
        </is>
      </c>
      <c r="G511" t="inlineStr">
        <is>
          <t>HÄRNÖSAND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69269-2021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44531</v>
      </c>
      <c r="E512" s="1" t="n">
        <v>46288</v>
      </c>
      <c r="F512" t="inlineStr">
        <is>
          <t>VÄSTERNORRLANDS LÄN</t>
        </is>
      </c>
      <c r="G512" t="inlineStr">
        <is>
          <t>HÄRNÖSAND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45729</v>
      </c>
      <c r="E513" s="1" t="n">
        <v>46288</v>
      </c>
      <c r="F513" t="inlineStr">
        <is>
          <t>VÄSTERNORRLANDS LÄN</t>
        </is>
      </c>
      <c r="G513" t="inlineStr">
        <is>
          <t>HÄRNÖSAND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46215</v>
      </c>
      <c r="E514" s="1" t="n">
        <v>46288</v>
      </c>
      <c r="F514" t="inlineStr">
        <is>
          <t>VÄSTERNORRLANDS LÄN</t>
        </is>
      </c>
      <c r="G514" t="inlineStr">
        <is>
          <t>HÄRNÖSAND</t>
        </is>
      </c>
      <c r="I514" t="n">
        <v>12.7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46215</v>
      </c>
      <c r="E515" s="1" t="n">
        <v>46288</v>
      </c>
      <c r="F515" t="inlineStr">
        <is>
          <t>VÄSTERNORRLANDS LÄN</t>
        </is>
      </c>
      <c r="G515" t="inlineStr">
        <is>
          <t>HÄRNÖSAND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45348</v>
      </c>
      <c r="E516" s="1" t="n">
        <v>46288</v>
      </c>
      <c r="F516" t="inlineStr">
        <is>
          <t>VÄSTERNORRLANDS LÄN</t>
        </is>
      </c>
      <c r="G516" t="inlineStr">
        <is>
          <t>HÄRNÖSAND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38146-2024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45545</v>
      </c>
      <c r="E517" s="1" t="n">
        <v>46288</v>
      </c>
      <c r="F517" t="inlineStr">
        <is>
          <t>VÄSTERNORRLANDS LÄN</t>
        </is>
      </c>
      <c r="G517" t="inlineStr">
        <is>
          <t>HÄRNÖSAND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46213</v>
      </c>
      <c r="E518" s="1" t="n">
        <v>46288</v>
      </c>
      <c r="F518" t="inlineStr">
        <is>
          <t>VÄSTERNORRLANDS LÄN</t>
        </is>
      </c>
      <c r="G518" t="inlineStr">
        <is>
          <t>HÄRNÖSAND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46213</v>
      </c>
      <c r="E519" s="1" t="n">
        <v>46288</v>
      </c>
      <c r="F519" t="inlineStr">
        <is>
          <t>VÄSTERNORRLANDS LÄN</t>
        </is>
      </c>
      <c r="G519" t="inlineStr">
        <is>
          <t>HÄRNÖSAND</t>
        </is>
      </c>
      <c r="I519" t="n">
        <v>13.6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49346-2024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45595</v>
      </c>
      <c r="E520" s="1" t="n">
        <v>46288</v>
      </c>
      <c r="F520" t="inlineStr">
        <is>
          <t>VÄSTERNORRLANDS LÄN</t>
        </is>
      </c>
      <c r="G520" t="inlineStr">
        <is>
          <t>HÄRNÖSAND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49364-2024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45595</v>
      </c>
      <c r="E521" s="1" t="n">
        <v>46288</v>
      </c>
      <c r="F521" t="inlineStr">
        <is>
          <t>VÄSTERNORRLANDS LÄN</t>
        </is>
      </c>
      <c r="G521" t="inlineStr">
        <is>
          <t>HÄRNÖSAND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64377-2023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45280</v>
      </c>
      <c r="E522" s="1" t="n">
        <v>46288</v>
      </c>
      <c r="F522" t="inlineStr">
        <is>
          <t>VÄSTERNORRLANDS LÄN</t>
        </is>
      </c>
      <c r="G522" t="inlineStr">
        <is>
          <t>HÄRNÖSAND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19827-2022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44694</v>
      </c>
      <c r="E523" s="1" t="n">
        <v>46288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35125-2026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46260</v>
      </c>
      <c r="E524" s="1" t="n">
        <v>46288</v>
      </c>
      <c r="F524" t="inlineStr">
        <is>
          <t>VÄSTERNORRLANDS LÄN</t>
        </is>
      </c>
      <c r="G524" t="inlineStr">
        <is>
          <t>HÄRNÖSAND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46288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44743</v>
      </c>
      <c r="E526" s="1" t="n">
        <v>46288</v>
      </c>
      <c r="F526" t="inlineStr">
        <is>
          <t>VÄSTERNORRLANDS LÄN</t>
        </is>
      </c>
      <c r="G526" t="inlineStr">
        <is>
          <t>HÄRNÖSAND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37172-2022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44806</v>
      </c>
      <c r="E527" s="1" t="n">
        <v>46288</v>
      </c>
      <c r="F527" t="inlineStr">
        <is>
          <t>VÄSTERNORRLANDS LÄN</t>
        </is>
      </c>
      <c r="G527" t="inlineStr">
        <is>
          <t>HÄRNÖSAND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37172-2022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46288</v>
      </c>
      <c r="F528" t="inlineStr">
        <is>
          <t>VÄSTERNORRLANDS LÄN</t>
        </is>
      </c>
      <c r="G528" t="inlineStr">
        <is>
          <t>HÄRNÖSAND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46219</v>
      </c>
      <c r="E529" s="1" t="n">
        <v>46288</v>
      </c>
      <c r="F529" t="inlineStr">
        <is>
          <t>VÄSTERNORRLANDS LÄN</t>
        </is>
      </c>
      <c r="G529" t="inlineStr">
        <is>
          <t>HÄRNÖSAND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46219</v>
      </c>
      <c r="E530" s="1" t="n">
        <v>46288</v>
      </c>
      <c r="F530" t="inlineStr">
        <is>
          <t>VÄSTERNORRLANDS LÄN</t>
        </is>
      </c>
      <c r="G530" t="inlineStr">
        <is>
          <t>HÄRNÖSAND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46288</v>
      </c>
      <c r="F531" t="inlineStr">
        <is>
          <t>VÄSTERNORRLANDS LÄN</t>
        </is>
      </c>
      <c r="G531" t="inlineStr">
        <is>
          <t>HÄRNÖSAND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46288</v>
      </c>
      <c r="F532" t="inlineStr">
        <is>
          <t>VÄSTERNORRLANDS LÄN</t>
        </is>
      </c>
      <c r="G532" t="inlineStr">
        <is>
          <t>HÄRNÖSAND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45714</v>
      </c>
      <c r="E533" s="1" t="n">
        <v>46288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46288</v>
      </c>
      <c r="F534" t="inlineStr">
        <is>
          <t>VÄSTERNORRLANDS LÄN</t>
        </is>
      </c>
      <c r="G534" t="inlineStr">
        <is>
          <t>HÄRNÖSAND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46262</v>
      </c>
      <c r="E535" s="1" t="n">
        <v>46288</v>
      </c>
      <c r="F535" t="inlineStr">
        <is>
          <t>VÄSTERNORRLANDS LÄN</t>
        </is>
      </c>
      <c r="G535" t="inlineStr">
        <is>
          <t>HÄRNÖSAND</t>
        </is>
      </c>
      <c r="I535" t="n">
        <v>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35670-2026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46288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22.1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11043-2023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44991</v>
      </c>
      <c r="E537" s="1" t="n">
        <v>46288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58869-2023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45250</v>
      </c>
      <c r="E538" s="1" t="n">
        <v>46288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46288</v>
      </c>
      <c r="F539" t="inlineStr">
        <is>
          <t>VÄSTERNORRLANDS LÄN</t>
        </is>
      </c>
      <c r="G539" t="inlineStr">
        <is>
          <t>HÄRNÖSAND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64749-2023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45281</v>
      </c>
      <c r="E540" s="1" t="n">
        <v>46288</v>
      </c>
      <c r="F540" t="inlineStr">
        <is>
          <t>VÄSTERNORRLANDS LÄN</t>
        </is>
      </c>
      <c r="G540" t="inlineStr">
        <is>
          <t>HÄRNÖSAND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44957</v>
      </c>
      <c r="E541" s="1" t="n">
        <v>46288</v>
      </c>
      <c r="F541" t="inlineStr">
        <is>
          <t>VÄSTERNORRLANDS LÄN</t>
        </is>
      </c>
      <c r="G541" t="inlineStr">
        <is>
          <t>HÄRNÖSAND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61776-2023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45265</v>
      </c>
      <c r="E542" s="1" t="n">
        <v>46288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27977-2024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46288</v>
      </c>
      <c r="F543" t="inlineStr">
        <is>
          <t>VÄSTERNORRLANDS LÄN</t>
        </is>
      </c>
      <c r="G543" t="inlineStr">
        <is>
          <t>HÄRNÖSAND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45476</v>
      </c>
      <c r="E544" s="1" t="n">
        <v>46288</v>
      </c>
      <c r="F544" t="inlineStr">
        <is>
          <t>VÄSTERNORRLANDS LÄN</t>
        </is>
      </c>
      <c r="G544" t="inlineStr">
        <is>
          <t>HÄRNÖSAND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45166</v>
      </c>
      <c r="E545" s="1" t="n">
        <v>46288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48047-2022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44855</v>
      </c>
      <c r="E546" s="1" t="n">
        <v>46288</v>
      </c>
      <c r="F546" t="inlineStr">
        <is>
          <t>VÄSTERNORRLANDS LÄN</t>
        </is>
      </c>
      <c r="G546" t="inlineStr">
        <is>
          <t>HÄRNÖSAND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56395-2022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44890</v>
      </c>
      <c r="E547" s="1" t="n">
        <v>46288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Kyrkan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37333-2026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46275</v>
      </c>
      <c r="E548" s="1" t="n">
        <v>46288</v>
      </c>
      <c r="F548" t="inlineStr">
        <is>
          <t>VÄSTERNORRLANDS LÄN</t>
        </is>
      </c>
      <c r="G548" t="inlineStr">
        <is>
          <t>HÄRNÖSAND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46288</v>
      </c>
      <c r="F549" t="inlineStr">
        <is>
          <t>VÄSTERNORRLANDS LÄN</t>
        </is>
      </c>
      <c r="G549" t="inlineStr">
        <is>
          <t>HÄRNÖSAND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31956-2026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46232</v>
      </c>
      <c r="E550" s="1" t="n">
        <v>46288</v>
      </c>
      <c r="F550" t="inlineStr">
        <is>
          <t>VÄSTERNORRLANDS LÄN</t>
        </is>
      </c>
      <c r="G550" t="inlineStr">
        <is>
          <t>HÄRNÖSAND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44945</v>
      </c>
      <c r="E551" s="1" t="n">
        <v>46288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59034-2022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44903</v>
      </c>
      <c r="E552" s="1" t="n">
        <v>46288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45251</v>
      </c>
      <c r="E553" s="1" t="n">
        <v>46288</v>
      </c>
      <c r="F553" t="inlineStr">
        <is>
          <t>VÄSTERNORRLANDS LÄN</t>
        </is>
      </c>
      <c r="G553" t="inlineStr">
        <is>
          <t>HÄRNÖSAND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32418-2024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45512</v>
      </c>
      <c r="E554" s="1" t="n">
        <v>46288</v>
      </c>
      <c r="F554" t="inlineStr">
        <is>
          <t>VÄSTERNORRLANDS LÄN</t>
        </is>
      </c>
      <c r="G554" t="inlineStr">
        <is>
          <t>HÄRNÖSAND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45723</v>
      </c>
      <c r="E555" s="1" t="n">
        <v>46288</v>
      </c>
      <c r="F555" t="inlineStr">
        <is>
          <t>VÄSTERNORRLANDS LÄN</t>
        </is>
      </c>
      <c r="G555" t="inlineStr">
        <is>
          <t>HÄRNÖSAND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61574-2021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44497</v>
      </c>
      <c r="E556" s="1" t="n">
        <v>46288</v>
      </c>
      <c r="F556" t="inlineStr">
        <is>
          <t>VÄSTERNORRLANDS LÄN</t>
        </is>
      </c>
      <c r="G556" t="inlineStr">
        <is>
          <t>HÄRNÖSAND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62333-2021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44502</v>
      </c>
      <c r="E557" s="1" t="n">
        <v>46288</v>
      </c>
      <c r="F557" t="inlineStr">
        <is>
          <t>VÄSTERNORRLANDS LÄN</t>
        </is>
      </c>
      <c r="G557" t="inlineStr">
        <is>
          <t>HÄRNÖSAND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32293-2026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46237</v>
      </c>
      <c r="E558" s="1" t="n">
        <v>46288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45323</v>
      </c>
      <c r="E559" s="1" t="n">
        <v>46288</v>
      </c>
      <c r="F559" t="inlineStr">
        <is>
          <t>VÄSTERNORRLANDS LÄN</t>
        </is>
      </c>
      <c r="G559" t="inlineStr">
        <is>
          <t>HÄRNÖSAND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46281</v>
      </c>
      <c r="E560" s="1" t="n">
        <v>46288</v>
      </c>
      <c r="F560" t="inlineStr">
        <is>
          <t>VÄSTERNORRLANDS LÄN</t>
        </is>
      </c>
      <c r="G560" t="inlineStr">
        <is>
          <t>HÄRNÖSAND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38229-2026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46281</v>
      </c>
      <c r="E561" s="1" t="n">
        <v>46288</v>
      </c>
      <c r="F561" t="inlineStr">
        <is>
          <t>VÄSTERNORRLANDS LÄN</t>
        </is>
      </c>
      <c r="G561" t="inlineStr">
        <is>
          <t>HÄRNÖSAND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59715-2024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45639</v>
      </c>
      <c r="E562" s="1" t="n">
        <v>46288</v>
      </c>
      <c r="F562" t="inlineStr">
        <is>
          <t>VÄSTERNORRLANDS LÄN</t>
        </is>
      </c>
      <c r="G562" t="inlineStr">
        <is>
          <t>HÄRNÖSAND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8220-2022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44609</v>
      </c>
      <c r="E563" s="1" t="n">
        <v>46288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Övriga statliga verk och myndigheter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46239</v>
      </c>
      <c r="E564" s="1" t="n">
        <v>46288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44952</v>
      </c>
      <c r="E565" s="1" t="n">
        <v>46288</v>
      </c>
      <c r="F565" t="inlineStr">
        <is>
          <t>VÄSTERNORRLANDS LÄN</t>
        </is>
      </c>
      <c r="G565" t="inlineStr">
        <is>
          <t>HÄRNÖSAND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46282</v>
      </c>
      <c r="E566" s="1" t="n">
        <v>46288</v>
      </c>
      <c r="F566" t="inlineStr">
        <is>
          <t>VÄSTERNORRLANDS LÄN</t>
        </is>
      </c>
      <c r="G566" t="inlineStr">
        <is>
          <t>HÄRNÖSAND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44747</v>
      </c>
      <c r="E567" s="1" t="n">
        <v>46288</v>
      </c>
      <c r="F567" t="inlineStr">
        <is>
          <t>VÄSTERNORRLANDS LÄN</t>
        </is>
      </c>
      <c r="G567" t="inlineStr">
        <is>
          <t>HÄRNÖSAND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36496-2023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45152</v>
      </c>
      <c r="E568" s="1" t="n">
        <v>46288</v>
      </c>
      <c r="F568" t="inlineStr">
        <is>
          <t>VÄSTERNORRLANDS LÄN</t>
        </is>
      </c>
      <c r="G568" t="inlineStr">
        <is>
          <t>HÄRNÖSAND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45099</v>
      </c>
      <c r="E569" s="1" t="n">
        <v>46288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46189</v>
      </c>
      <c r="E570" s="1" t="n">
        <v>46288</v>
      </c>
      <c r="F570" t="inlineStr">
        <is>
          <t>VÄSTERNORRLANDS LÄN</t>
        </is>
      </c>
      <c r="G570" t="inlineStr">
        <is>
          <t>HÄRNÖSAND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9160-2026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46288</v>
      </c>
      <c r="F571" t="inlineStr">
        <is>
          <t>VÄSTERNORRLANDS LÄN</t>
        </is>
      </c>
      <c r="G571" t="inlineStr">
        <is>
          <t>HÄRNÖSAND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46288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23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46288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57154-2024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46288</v>
      </c>
      <c r="F574" t="inlineStr">
        <is>
          <t>VÄSTERNORRLANDS LÄN</t>
        </is>
      </c>
      <c r="G574" t="inlineStr">
        <is>
          <t>HÄRNÖSAND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45000</v>
      </c>
      <c r="E575" s="1" t="n">
        <v>46288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45000</v>
      </c>
      <c r="E576" s="1" t="n">
        <v>46288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39954-2022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44819</v>
      </c>
      <c r="E577" s="1" t="n">
        <v>46288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46244</v>
      </c>
      <c r="E578" s="1" t="n">
        <v>46288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Kyrkan</t>
        </is>
      </c>
      <c r="I578" t="n">
        <v>24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45762</v>
      </c>
      <c r="E579" s="1" t="n">
        <v>46288</v>
      </c>
      <c r="F579" t="inlineStr">
        <is>
          <t>VÄSTERNORRLANDS LÄN</t>
        </is>
      </c>
      <c r="G579" t="inlineStr">
        <is>
          <t>HÄRNÖSAND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46287</v>
      </c>
      <c r="E580" s="1" t="n">
        <v>46288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46288</v>
      </c>
      <c r="F581" t="inlineStr">
        <is>
          <t>VÄSTERNORRLANDS LÄN</t>
        </is>
      </c>
      <c r="G581" t="inlineStr">
        <is>
          <t>HÄRNÖSAND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45163</v>
      </c>
      <c r="E582" s="1" t="n">
        <v>46288</v>
      </c>
      <c r="F582" t="inlineStr">
        <is>
          <t>VÄSTERNORRLANDS LÄN</t>
        </is>
      </c>
      <c r="G582" t="inlineStr">
        <is>
          <t>HÄRNÖSAND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32140-2023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46288</v>
      </c>
      <c r="F583" t="inlineStr">
        <is>
          <t>VÄSTERNORRLANDS LÄN</t>
        </is>
      </c>
      <c r="G583" t="inlineStr">
        <is>
          <t>HÄRNÖSAND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4206-2025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45685</v>
      </c>
      <c r="E584" s="1" t="n">
        <v>46288</v>
      </c>
      <c r="F584" t="inlineStr">
        <is>
          <t>VÄSTERNORRLANDS LÄN</t>
        </is>
      </c>
      <c r="G584" t="inlineStr">
        <is>
          <t>HÄRNÖSAND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20822-2025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45776</v>
      </c>
      <c r="E585" s="1" t="n">
        <v>46288</v>
      </c>
      <c r="F585" t="inlineStr">
        <is>
          <t>VÄSTERNORRLANDS LÄN</t>
        </is>
      </c>
      <c r="G585" t="inlineStr">
        <is>
          <t>HÄRNÖSAND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45776</v>
      </c>
      <c r="E586" s="1" t="n">
        <v>46288</v>
      </c>
      <c r="F586" t="inlineStr">
        <is>
          <t>VÄSTERNORRLANDS LÄN</t>
        </is>
      </c>
      <c r="G586" t="inlineStr">
        <is>
          <t>HÄRNÖSAND</t>
        </is>
      </c>
      <c r="I586" t="n">
        <v>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21484-2025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45782</v>
      </c>
      <c r="E587" s="1" t="n">
        <v>46288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32.1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21480-2025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45782</v>
      </c>
      <c r="E588" s="1" t="n">
        <v>46288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12.3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42343-2024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45562</v>
      </c>
      <c r="E589" s="1" t="n">
        <v>46288</v>
      </c>
      <c r="F589" t="inlineStr">
        <is>
          <t>VÄSTERNORRLANDS LÄN</t>
        </is>
      </c>
      <c r="G589" t="inlineStr">
        <is>
          <t>HÄRNÖSAND</t>
        </is>
      </c>
      <c r="I589" t="n">
        <v>15.6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45578</v>
      </c>
      <c r="E590" s="1" t="n">
        <v>46288</v>
      </c>
      <c r="F590" t="inlineStr">
        <is>
          <t>VÄSTERNORRLANDS LÄN</t>
        </is>
      </c>
      <c r="G590" t="inlineStr">
        <is>
          <t>HÄRNÖSAND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44590-2024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45574</v>
      </c>
      <c r="E591" s="1" t="n">
        <v>46288</v>
      </c>
      <c r="F591" t="inlineStr">
        <is>
          <t>VÄSTERNORRLANDS LÄN</t>
        </is>
      </c>
      <c r="G591" t="inlineStr">
        <is>
          <t>HÄRNÖSAND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46288</v>
      </c>
      <c r="F592" t="inlineStr">
        <is>
          <t>VÄSTERNORRLANDS LÄN</t>
        </is>
      </c>
      <c r="G592" t="inlineStr">
        <is>
          <t>HÄRNÖSAND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6831-2024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45342</v>
      </c>
      <c r="E593" s="1" t="n">
        <v>46288</v>
      </c>
      <c r="F593" t="inlineStr">
        <is>
          <t>VÄSTERNORRLANDS LÄN</t>
        </is>
      </c>
      <c r="G593" t="inlineStr">
        <is>
          <t>HÄRNÖSAND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19949-2024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45433</v>
      </c>
      <c r="E594" s="1" t="n">
        <v>46288</v>
      </c>
      <c r="F594" t="inlineStr">
        <is>
          <t>VÄSTERNORRLANDS LÄN</t>
        </is>
      </c>
      <c r="G594" t="inlineStr">
        <is>
          <t>HÄRNÖSAND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8475-2024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45351</v>
      </c>
      <c r="E595" s="1" t="n">
        <v>46288</v>
      </c>
      <c r="F595" t="inlineStr">
        <is>
          <t>VÄSTERNORRLANDS LÄN</t>
        </is>
      </c>
      <c r="G595" t="inlineStr">
        <is>
          <t>HÄRNÖSAND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45793</v>
      </c>
      <c r="E596" s="1" t="n">
        <v>46288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45585-2024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46288</v>
      </c>
      <c r="F597" t="inlineStr">
        <is>
          <t>VÄSTERNORRLANDS LÄN</t>
        </is>
      </c>
      <c r="G597" t="inlineStr">
        <is>
          <t>HÄRNÖSAND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44571</v>
      </c>
      <c r="E598" s="1" t="n">
        <v>46288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61944-2023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45266</v>
      </c>
      <c r="E599" s="1" t="n">
        <v>46288</v>
      </c>
      <c r="F599" t="inlineStr">
        <is>
          <t>VÄSTERNORRLANDS LÄN</t>
        </is>
      </c>
      <c r="G599" t="inlineStr">
        <is>
          <t>HÄRNÖSAND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45516</v>
      </c>
      <c r="E600" s="1" t="n">
        <v>46288</v>
      </c>
      <c r="F600" t="inlineStr">
        <is>
          <t>VÄSTERNORRLANDS LÄN</t>
        </is>
      </c>
      <c r="G600" t="inlineStr">
        <is>
          <t>HÄRNÖSAND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46288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45139</v>
      </c>
      <c r="E602" s="1" t="n">
        <v>46288</v>
      </c>
      <c r="F602" t="inlineStr">
        <is>
          <t>VÄSTERNORRLANDS LÄN</t>
        </is>
      </c>
      <c r="G602" t="inlineStr">
        <is>
          <t>HÄRNÖSAND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55583-2021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44475</v>
      </c>
      <c r="E603" s="1" t="n">
        <v>46288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45803</v>
      </c>
      <c r="E604" s="1" t="n">
        <v>46288</v>
      </c>
      <c r="F604" t="inlineStr">
        <is>
          <t>VÄSTERNORRLANDS LÄN</t>
        </is>
      </c>
      <c r="G604" t="inlineStr">
        <is>
          <t>HÄRNÖSAND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46288</v>
      </c>
      <c r="F605" t="inlineStr">
        <is>
          <t>VÄSTERNORRLANDS LÄN</t>
        </is>
      </c>
      <c r="G605" t="inlineStr">
        <is>
          <t>HÄRNÖSAND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46288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26176-2025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45805</v>
      </c>
      <c r="E607" s="1" t="n">
        <v>46288</v>
      </c>
      <c r="F607" t="inlineStr">
        <is>
          <t>VÄSTERNORRLANDS LÄN</t>
        </is>
      </c>
      <c r="G607" t="inlineStr">
        <is>
          <t>HÄRNÖSAND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57685-2024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45630</v>
      </c>
      <c r="E608" s="1" t="n">
        <v>46288</v>
      </c>
      <c r="F608" t="inlineStr">
        <is>
          <t>VÄSTERNORRLANDS LÄN</t>
        </is>
      </c>
      <c r="G608" t="inlineStr">
        <is>
          <t>HÄRNÖSAND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49531-2023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45205</v>
      </c>
      <c r="E609" s="1" t="n">
        <v>46288</v>
      </c>
      <c r="F609" t="inlineStr">
        <is>
          <t>VÄSTERNORRLANDS LÄN</t>
        </is>
      </c>
      <c r="G609" t="inlineStr">
        <is>
          <t>HÄRNÖSAND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26918-2025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45811</v>
      </c>
      <c r="E610" s="1" t="n">
        <v>46288</v>
      </c>
      <c r="F610" t="inlineStr">
        <is>
          <t>VÄSTERNORRLANDS LÄN</t>
        </is>
      </c>
      <c r="G610" t="inlineStr">
        <is>
          <t>HÄRNÖSAND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27272-2025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46288</v>
      </c>
      <c r="F611" t="inlineStr">
        <is>
          <t>VÄSTERNORRLANDS LÄN</t>
        </is>
      </c>
      <c r="G611" t="inlineStr">
        <is>
          <t>HÄRNÖSAND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27273-2025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46288</v>
      </c>
      <c r="F612" t="inlineStr">
        <is>
          <t>VÄSTERNORRLANDS LÄN</t>
        </is>
      </c>
      <c r="G612" t="inlineStr">
        <is>
          <t>HÄRNÖSAND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46288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29548-2025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46288</v>
      </c>
      <c r="F614" t="inlineStr">
        <is>
          <t>VÄSTERNORRLANDS LÄN</t>
        </is>
      </c>
      <c r="G614" t="inlineStr">
        <is>
          <t>HÄRNÖSAND</t>
        </is>
      </c>
      <c r="I614" t="n">
        <v>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45825</v>
      </c>
      <c r="E615" s="1" t="n">
        <v>46288</v>
      </c>
      <c r="F615" t="inlineStr">
        <is>
          <t>VÄSTERNORRLANDS LÄN</t>
        </is>
      </c>
      <c r="G615" t="inlineStr">
        <is>
          <t>HÄRNÖSAND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46288</v>
      </c>
      <c r="F616" t="inlineStr">
        <is>
          <t>VÄSTERNORRLANDS LÄN</t>
        </is>
      </c>
      <c r="G616" t="inlineStr">
        <is>
          <t>HÄRNÖSAND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29233-2025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45824</v>
      </c>
      <c r="E617" s="1" t="n">
        <v>46288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46288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Kyrkan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46288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31344-2025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45833</v>
      </c>
      <c r="E620" s="1" t="n">
        <v>46288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46288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31483-2025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45833</v>
      </c>
      <c r="E622" s="1" t="n">
        <v>46288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31303-2025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46288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31890-2025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45834</v>
      </c>
      <c r="E624" s="1" t="n">
        <v>46288</v>
      </c>
      <c r="F624" t="inlineStr">
        <is>
          <t>VÄSTERNORRLANDS LÄN</t>
        </is>
      </c>
      <c r="G624" t="inlineStr">
        <is>
          <t>HÄRNÖSAND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26920-2025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45811</v>
      </c>
      <c r="E625" s="1" t="n">
        <v>46288</v>
      </c>
      <c r="F625" t="inlineStr">
        <is>
          <t>VÄSTERNORRLANDS LÄN</t>
        </is>
      </c>
      <c r="G625" t="inlineStr">
        <is>
          <t>HÄRNÖSAND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31721-2025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45834</v>
      </c>
      <c r="E626" s="1" t="n">
        <v>46288</v>
      </c>
      <c r="F626" t="inlineStr">
        <is>
          <t>VÄSTERNORRLANDS LÄN</t>
        </is>
      </c>
      <c r="G626" t="inlineStr">
        <is>
          <t>HÄRNÖSAND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32365-2025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45837</v>
      </c>
      <c r="E627" s="1" t="n">
        <v>46288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45837</v>
      </c>
      <c r="E628" s="1" t="n">
        <v>46288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45840</v>
      </c>
      <c r="E629" s="1" t="n">
        <v>46288</v>
      </c>
      <c r="F629" t="inlineStr">
        <is>
          <t>VÄSTERNORRLANDS LÄN</t>
        </is>
      </c>
      <c r="G629" t="inlineStr">
        <is>
          <t>HÄRNÖSAND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33145-2025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45840</v>
      </c>
      <c r="E630" s="1" t="n">
        <v>46288</v>
      </c>
      <c r="F630" t="inlineStr">
        <is>
          <t>VÄSTERNORRLANDS LÄN</t>
        </is>
      </c>
      <c r="G630" t="inlineStr">
        <is>
          <t>HÄRNÖSAND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16220-2025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45749</v>
      </c>
      <c r="E631" s="1" t="n">
        <v>46288</v>
      </c>
      <c r="F631" t="inlineStr">
        <is>
          <t>VÄSTERNORRLANDS LÄN</t>
        </is>
      </c>
      <c r="G631" t="inlineStr">
        <is>
          <t>HÄRNÖSAND</t>
        </is>
      </c>
      <c r="I631" t="n">
        <v>10.3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45848</v>
      </c>
      <c r="E632" s="1" t="n">
        <v>46288</v>
      </c>
      <c r="F632" t="inlineStr">
        <is>
          <t>VÄSTERNORRLANDS LÄN</t>
        </is>
      </c>
      <c r="G632" t="inlineStr">
        <is>
          <t>HÄRNÖSAND</t>
        </is>
      </c>
      <c r="I632" t="n">
        <v>7.9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34751-2025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45848</v>
      </c>
      <c r="E633" s="1" t="n">
        <v>46288</v>
      </c>
      <c r="F633" t="inlineStr">
        <is>
          <t>VÄSTERNORRLANDS LÄN</t>
        </is>
      </c>
      <c r="G633" t="inlineStr">
        <is>
          <t>HÄRNÖSAND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35189-2025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45853</v>
      </c>
      <c r="E634" s="1" t="n">
        <v>46288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8023-2023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44973</v>
      </c>
      <c r="E635" s="1" t="n">
        <v>46288</v>
      </c>
      <c r="F635" t="inlineStr">
        <is>
          <t>VÄSTERNORRLANDS LÄN</t>
        </is>
      </c>
      <c r="G635" t="inlineStr">
        <is>
          <t>HÄRNÖSAND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46288</v>
      </c>
      <c r="F636" t="inlineStr">
        <is>
          <t>VÄSTERNORRLANDS LÄN</t>
        </is>
      </c>
      <c r="G636" t="inlineStr">
        <is>
          <t>HÄRNÖSAND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46288</v>
      </c>
      <c r="F637" t="inlineStr">
        <is>
          <t>VÄSTERNORRLANDS LÄN</t>
        </is>
      </c>
      <c r="G637" t="inlineStr">
        <is>
          <t>HÄRNÖSAND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12150-2025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45729</v>
      </c>
      <c r="E638" s="1" t="n">
        <v>46288</v>
      </c>
      <c r="F638" t="inlineStr">
        <is>
          <t>VÄSTERNORRLANDS LÄN</t>
        </is>
      </c>
      <c r="G638" t="inlineStr">
        <is>
          <t>HÄRNÖSAND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44459-2024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46288</v>
      </c>
      <c r="F639" t="inlineStr">
        <is>
          <t>VÄSTERNORRLANDS LÄN</t>
        </is>
      </c>
      <c r="G639" t="inlineStr">
        <is>
          <t>HÄRNÖSAND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45741</v>
      </c>
      <c r="E640" s="1" t="n">
        <v>46288</v>
      </c>
      <c r="F640" t="inlineStr">
        <is>
          <t>VÄSTERNORRLANDS LÄN</t>
        </is>
      </c>
      <c r="G640" t="inlineStr">
        <is>
          <t>HÄRNÖSAND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4299-2021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44393</v>
      </c>
      <c r="E641" s="1" t="n">
        <v>46288</v>
      </c>
      <c r="F641" t="inlineStr">
        <is>
          <t>VÄSTERNORRLANDS LÄN</t>
        </is>
      </c>
      <c r="G641" t="inlineStr">
        <is>
          <t>HÄRNÖSAND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382-2024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45323</v>
      </c>
      <c r="E642" s="1" t="n">
        <v>46288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831-2025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45733</v>
      </c>
      <c r="E643" s="1" t="n">
        <v>46288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113.3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1148-2025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45755</v>
      </c>
      <c r="E644" s="1" t="n">
        <v>46288</v>
      </c>
      <c r="F644" t="inlineStr">
        <is>
          <t>VÄSTERNORRLANDS LÄN</t>
        </is>
      </c>
      <c r="G644" t="inlineStr">
        <is>
          <t>HÄRNÖSAND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1559-2025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45793</v>
      </c>
      <c r="E645" s="1" t="n">
        <v>46288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525-2026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46078</v>
      </c>
      <c r="E646" s="1" t="n">
        <v>46288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484-2026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46073</v>
      </c>
      <c r="E647" s="1" t="n">
        <v>46288</v>
      </c>
      <c r="F647" t="inlineStr">
        <is>
          <t>VÄSTERNORRLANDS LÄN</t>
        </is>
      </c>
      <c r="G647" t="inlineStr">
        <is>
          <t>HÄRNÖSAND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723-2026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46093</v>
      </c>
      <c r="E648" s="1" t="n">
        <v>46288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1428-2026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46156</v>
      </c>
      <c r="E649" s="1" t="n">
        <v>46288</v>
      </c>
      <c r="F649" t="inlineStr">
        <is>
          <t>VÄSTERNORRLANDS LÄN</t>
        </is>
      </c>
      <c r="G649" t="inlineStr">
        <is>
          <t>HÄRNÖSAND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2294-2026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46267</v>
      </c>
      <c r="E650" s="1" t="n">
        <v>46288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2026-09-23T01:57:22Z</dcterms:created>
  <dcterms:modified xmlns:dcterms="http://purl.org/dc/terms/" xmlns:xsi="http://www.w3.org/2001/XMLSchema-instance" xsi:type="dcterms:W3CDTF">2026-09-23T01:57:23Z</dcterms:modified>
</cp:coreProperties>
</file>