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46309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46309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46309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46309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46309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46309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46309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46309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46309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46309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46309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46309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46309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46309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46309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46309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46309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46309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46309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46309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46309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46309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46309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46309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46309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46309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46309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46309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46309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46309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46309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46309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46309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34545-2025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46309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Kyrkan</t>
        </is>
      </c>
      <c r="I61" t="n">
        <v>9.699999999999999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Tretåig hackspett
Korallblylav</t>
        </is>
      </c>
      <c r="W61">
        <f>HYPERLINK("https://klasma.github.io/Logging_2280/artfynd/A 34545-2025 artfynd.xlsx", "A 34545-2025")</f>
        <v/>
      </c>
      <c r="X61">
        <f>HYPERLINK("https://klasma.github.io/Logging_2280/kartor/A 34545-2025 karta.png", "A 34545-2025")</f>
        <v/>
      </c>
      <c r="Y61">
        <f>HYPERLINK("https://klasma.github.io/Logging_2280/kartor_geotiff/A 34545-2025 georefererad karta.tif", "A 34545-2025")</f>
        <v/>
      </c>
      <c r="AA61">
        <f>HYPERLINK("https://klasma.github.io/Logging_2280/klagomål/A 34545-2025 FSC-klagomål.docx", "A 34545-2025")</f>
        <v/>
      </c>
      <c r="AB61">
        <f>HYPERLINK("https://klasma.github.io/Logging_2280/klagomålsmail/A 34545-2025 FSC-klagomål mail.docx", "A 34545-2025")</f>
        <v/>
      </c>
      <c r="AC61">
        <f>HYPERLINK("https://klasma.github.io/Logging_2280/tillsyn/A 34545-2025 tillsynsbegäran.docx", "A 34545-2025")</f>
        <v/>
      </c>
      <c r="AD61">
        <f>HYPERLINK("https://klasma.github.io/Logging_2280/tillsynsmail/A 34545-2025 tillsynsbegäran mail.docx", "A 34545-2025")</f>
        <v/>
      </c>
      <c r="AE61">
        <f>HYPERLINK("https://klasma.github.io/Logging_2280/fåglar/A 34545-2025 prioriterade fågelarter.docx", "A 34545-2025")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46309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54894-2024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46309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Lunglav</t>
        </is>
      </c>
      <c r="W63">
        <f>HYPERLINK("https://klasma.github.io/Logging_2280/artfynd/A 54894-2024 artfynd.xlsx", "A 54894-2024")</f>
        <v/>
      </c>
      <c r="X63">
        <f>HYPERLINK("https://klasma.github.io/Logging_2280/kartor/A 54894-2024 karta.png", "A 54894-2024")</f>
        <v/>
      </c>
      <c r="Y63">
        <f>HYPERLINK("https://klasma.github.io/Logging_2280/kartor_geotiff/A 54894-2024 georefererad karta.tif", "A 54894-2024")</f>
        <v/>
      </c>
      <c r="AA63">
        <f>HYPERLINK("https://klasma.github.io/Logging_2280/klagomål/A 54894-2024 FSC-klagomål.docx", "A 54894-2024")</f>
        <v/>
      </c>
      <c r="AB63">
        <f>HYPERLINK("https://klasma.github.io/Logging_2280/klagomålsmail/A 54894-2024 FSC-klagomål mail.docx", "A 54894-2024")</f>
        <v/>
      </c>
      <c r="AC63">
        <f>HYPERLINK("https://klasma.github.io/Logging_2280/tillsyn/A 54894-2024 tillsynsbegäran.docx", "A 54894-2024")</f>
        <v/>
      </c>
      <c r="AD63">
        <f>HYPERLINK("https://klasma.github.io/Logging_2280/tillsynsmail/A 54894-2024 tillsynsbegäran mail.docx", "A 54894-2024")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46309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46309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46309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46309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46309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46309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46309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46309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1190-2026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46309</v>
      </c>
      <c r="F72" t="inlineStr">
        <is>
          <t>VÄSTERNORRLANDS LÄN</t>
        </is>
      </c>
      <c r="G72" t="inlineStr">
        <is>
          <t>HÄRNÖSAND</t>
        </is>
      </c>
      <c r="I72" t="n">
        <v>3.5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Tretåig hackspett</t>
        </is>
      </c>
      <c r="W72">
        <f>HYPERLINK("https://klasma.github.io/Logging_2280/artfynd/A 1190-2026 artfynd.xlsx", "A 1190-2026")</f>
        <v/>
      </c>
      <c r="X72">
        <f>HYPERLINK("https://klasma.github.io/Logging_2280/kartor/A 1190-2026 karta.png", "A 1190-2026")</f>
        <v/>
      </c>
      <c r="Y72">
        <f>HYPERLINK("https://klasma.github.io/Logging_2280/kartor_geotiff/A 1190-2026 georefererad karta.tif", "A 1190-2026")</f>
        <v/>
      </c>
      <c r="AA72">
        <f>HYPERLINK("https://klasma.github.io/Logging_2280/klagomål/A 1190-2026 FSC-klagomål.docx", "A 1190-2026")</f>
        <v/>
      </c>
      <c r="AB72">
        <f>HYPERLINK("https://klasma.github.io/Logging_2280/klagomålsmail/A 1190-2026 FSC-klagomål mail.docx", "A 1190-2026")</f>
        <v/>
      </c>
      <c r="AC72">
        <f>HYPERLINK("https://klasma.github.io/Logging_2280/tillsyn/A 1190-2026 tillsynsbegäran.docx", "A 1190-2026")</f>
        <v/>
      </c>
      <c r="AD72">
        <f>HYPERLINK("https://klasma.github.io/Logging_2280/tillsynsmail/A 1190-2026 tillsynsbegäran mail.docx", "A 1190-2026")</f>
        <v/>
      </c>
      <c r="AE72">
        <f>HYPERLINK("https://klasma.github.io/Logging_2280/fåglar/A 1190-2026 prioriterade fågelarter.docx", "A 1190-2026")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46309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46309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26922-2025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46309</v>
      </c>
      <c r="F75" t="inlineStr">
        <is>
          <t>VÄSTERNORRLANDS LÄN</t>
        </is>
      </c>
      <c r="G75" t="inlineStr">
        <is>
          <t>HÄRNÖSAND</t>
        </is>
      </c>
      <c r="I75" t="n">
        <v>2.4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Barkticka</t>
        </is>
      </c>
      <c r="W75">
        <f>HYPERLINK("https://klasma.github.io/Logging_2280/artfynd/A 26922-2025 artfynd.xlsx", "A 26922-2025")</f>
        <v/>
      </c>
      <c r="X75">
        <f>HYPERLINK("https://klasma.github.io/Logging_2280/kartor/A 26922-2025 karta.png", "A 26922-2025")</f>
        <v/>
      </c>
      <c r="Y75">
        <f>HYPERLINK("https://klasma.github.io/Logging_2280/kartor_geotiff/A 26922-2025 georefererad karta.tif", "A 26922-2025")</f>
        <v/>
      </c>
      <c r="AA75">
        <f>HYPERLINK("https://klasma.github.io/Logging_2280/klagomål/A 26922-2025 FSC-klagomål.docx", "A 26922-2025")</f>
        <v/>
      </c>
      <c r="AB75">
        <f>HYPERLINK("https://klasma.github.io/Logging_2280/klagomålsmail/A 26922-2025 FSC-klagomål mail.docx", "A 26922-2025")</f>
        <v/>
      </c>
      <c r="AC75">
        <f>HYPERLINK("https://klasma.github.io/Logging_2280/tillsyn/A 26922-2025 tillsynsbegäran.docx", "A 26922-2025")</f>
        <v/>
      </c>
      <c r="AD75">
        <f>HYPERLINK("https://klasma.github.io/Logging_2280/tillsynsmail/A 26922-2025 tillsynsbegäran mail.docx", "A 26922-2025")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46309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46707-2024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46309</v>
      </c>
      <c r="F77" t="inlineStr">
        <is>
          <t>VÄSTERNORRLANDS LÄN</t>
        </is>
      </c>
      <c r="G77" t="inlineStr">
        <is>
          <t>HÄRNÖSAND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Tretåig hackspett</t>
        </is>
      </c>
      <c r="W77">
        <f>HYPERLINK("https://klasma.github.io/Logging_2280/artfynd/A 46707-2024 artfynd.xlsx", "A 46707-2024")</f>
        <v/>
      </c>
      <c r="X77">
        <f>HYPERLINK("https://klasma.github.io/Logging_2280/kartor/A 46707-2024 karta.png", "A 46707-2024")</f>
        <v/>
      </c>
      <c r="Y77">
        <f>HYPERLINK("https://klasma.github.io/Logging_2280/kartor_geotiff/A 46707-2024 georefererad karta.tif", "A 46707-2024")</f>
        <v/>
      </c>
      <c r="AA77">
        <f>HYPERLINK("https://klasma.github.io/Logging_2280/klagomål/A 46707-2024 FSC-klagomål.docx", "A 46707-2024")</f>
        <v/>
      </c>
      <c r="AB77">
        <f>HYPERLINK("https://klasma.github.io/Logging_2280/klagomålsmail/A 46707-2024 FSC-klagomål mail.docx", "A 46707-2024")</f>
        <v/>
      </c>
      <c r="AC77">
        <f>HYPERLINK("https://klasma.github.io/Logging_2280/tillsyn/A 46707-2024 tillsynsbegäran.docx", "A 46707-2024")</f>
        <v/>
      </c>
      <c r="AD77">
        <f>HYPERLINK("https://klasma.github.io/Logging_2280/tillsynsmail/A 46707-2024 tillsynsbegäran mail.docx", "A 46707-2024")</f>
        <v/>
      </c>
      <c r="AE77">
        <f>HYPERLINK("https://klasma.github.io/Logging_2280/fåglar/A 46707-2024 prioriterade fågelarter.docx", "A 46707-2024")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46309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18583-2026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46127</v>
      </c>
      <c r="E79" s="1" t="n">
        <v>46309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HYPERLINK("https://klasma.github.io/Logging_2280/artfynd/A 18583-2026 artfynd.xlsx", "A 18583-2026")</f>
        <v/>
      </c>
      <c r="X79">
        <f>HYPERLINK("https://klasma.github.io/Logging_2280/kartor/A 18583-2026 karta.png", "A 18583-2026")</f>
        <v/>
      </c>
      <c r="Y79">
        <f>HYPERLINK("https://klasma.github.io/Logging_2280/kartor_geotiff/A 18583-2026 georefererad karta.tif", "A 18583-2026")</f>
        <v/>
      </c>
      <c r="AA79">
        <f>HYPERLINK("https://klasma.github.io/Logging_2280/klagomål/A 18583-2026 FSC-klagomål.docx", "A 18583-2026")</f>
        <v/>
      </c>
      <c r="AB79">
        <f>HYPERLINK("https://klasma.github.io/Logging_2280/klagomålsmail/A 18583-2026 FSC-klagomål mail.docx", "A 18583-2026")</f>
        <v/>
      </c>
      <c r="AC79">
        <f>HYPERLINK("https://klasma.github.io/Logging_2280/tillsyn/A 18583-2026 tillsynsbegäran.docx", "A 18583-2026")</f>
        <v/>
      </c>
      <c r="AD79">
        <f>HYPERLINK("https://klasma.github.io/Logging_2280/tillsynsmail/A 18583-2026 tillsynsbegäran mail.docx", "A 18583-2026")</f>
        <v/>
      </c>
    </row>
    <row r="80" ht="15" customHeight="1">
      <c r="A80" t="inlineStr">
        <is>
          <t>A 43541-2022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44837</v>
      </c>
      <c r="E80" s="1" t="n">
        <v>46309</v>
      </c>
      <c r="F80" t="inlineStr">
        <is>
          <t>VÄSTERNORRLANDS LÄN</t>
        </is>
      </c>
      <c r="G80" t="inlineStr">
        <is>
          <t>HÄRNÖSAND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Sötgräs</t>
        </is>
      </c>
      <c r="W80">
        <f>HYPERLINK("https://klasma.github.io/Logging_2280/artfynd/A 43541-2022 artfynd.xlsx", "A 43541-2022")</f>
        <v/>
      </c>
      <c r="X80">
        <f>HYPERLINK("https://klasma.github.io/Logging_2280/kartor/A 43541-2022 karta.png", "A 43541-2022")</f>
        <v/>
      </c>
      <c r="Y80">
        <f>HYPERLINK("https://klasma.github.io/Logging_2280/kartor_geotiff/A 43541-2022 georefererad karta.tif", "A 43541-2022")</f>
        <v/>
      </c>
      <c r="AA80">
        <f>HYPERLINK("https://klasma.github.io/Logging_2280/klagomål/A 43541-2022 FSC-klagomål.docx", "A 43541-2022")</f>
        <v/>
      </c>
      <c r="AB80">
        <f>HYPERLINK("https://klasma.github.io/Logging_2280/klagomålsmail/A 43541-2022 FSC-klagomål mail.docx", "A 43541-2022")</f>
        <v/>
      </c>
      <c r="AC80">
        <f>HYPERLINK("https://klasma.github.io/Logging_2280/tillsyn/A 43541-2022 tillsynsbegäran.docx", "A 43541-2022")</f>
        <v/>
      </c>
      <c r="AD80">
        <f>HYPERLINK("https://klasma.github.io/Logging_2280/tillsynsmail/A 43541-2022 tillsynsbegäran mail.docx", "A 43541-2022")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46309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74325-2021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46309</v>
      </c>
      <c r="F82" t="inlineStr">
        <is>
          <t>VÄSTERNORRLANDS LÄN</t>
        </is>
      </c>
      <c r="G82" t="inlineStr">
        <is>
          <t>HÄRNÖSAND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Skogshare</t>
        </is>
      </c>
      <c r="W82">
        <f>HYPERLINK("https://klasma.github.io/Logging_2280/artfynd/A 74325-2021 artfynd.xlsx", "A 74325-2021")</f>
        <v/>
      </c>
      <c r="X82">
        <f>HYPERLINK("https://klasma.github.io/Logging_2280/kartor/A 74325-2021 karta.png", "A 74325-2021")</f>
        <v/>
      </c>
      <c r="Y82">
        <f>HYPERLINK("https://klasma.github.io/Logging_2280/kartor_geotiff/A 74325-2021 georefererad karta.tif", "A 74325-2021")</f>
        <v/>
      </c>
      <c r="AA82">
        <f>HYPERLINK("https://klasma.github.io/Logging_2280/klagomål/A 74325-2021 FSC-klagomål.docx", "A 74325-2021")</f>
        <v/>
      </c>
      <c r="AB82">
        <f>HYPERLINK("https://klasma.github.io/Logging_2280/klagomålsmail/A 74325-2021 FSC-klagomål mail.docx", "A 74325-2021")</f>
        <v/>
      </c>
      <c r="AC82">
        <f>HYPERLINK("https://klasma.github.io/Logging_2280/tillsyn/A 74325-2021 tillsynsbegäran.docx", "A 74325-2021")</f>
        <v/>
      </c>
      <c r="AD82">
        <f>HYPERLINK("https://klasma.github.io/Logging_2280/tillsynsmail/A 74325-2021 tillsynsbegäran mail.docx", "A 74325-2021")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46309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46309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46309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7853-2024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46309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4.1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HYPERLINK("https://klasma.github.io/Logging_2280/artfynd/A 7853-2024 artfynd.xlsx", "A 7853-2024")</f>
        <v/>
      </c>
      <c r="X86">
        <f>HYPERLINK("https://klasma.github.io/Logging_2280/kartor/A 7853-2024 karta.png", "A 7853-2024")</f>
        <v/>
      </c>
      <c r="Y86">
        <f>HYPERLINK("https://klasma.github.io/Logging_2280/kartor_geotiff/A 7853-2024 georefererad karta.tif", "A 7853-2024")</f>
        <v/>
      </c>
      <c r="AA86">
        <f>HYPERLINK("https://klasma.github.io/Logging_2280/klagomål/A 7853-2024 FSC-klagomål.docx", "A 7853-2024")</f>
        <v/>
      </c>
      <c r="AB86">
        <f>HYPERLINK("https://klasma.github.io/Logging_2280/klagomålsmail/A 7853-2024 FSC-klagomål mail.docx", "A 7853-2024")</f>
        <v/>
      </c>
      <c r="AC86">
        <f>HYPERLINK("https://klasma.github.io/Logging_2280/tillsyn/A 7853-2024 tillsynsbegäran.docx", "A 7853-2024")</f>
        <v/>
      </c>
      <c r="AD86">
        <f>HYPERLINK("https://klasma.github.io/Logging_2280/tillsynsmail/A 7853-2024 tillsynsbegäran mail.docx", "A 7853-2024")</f>
        <v/>
      </c>
    </row>
    <row r="87" ht="15" customHeight="1">
      <c r="A87" t="inlineStr">
        <is>
          <t>A 11546-2024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46309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HYPERLINK("https://klasma.github.io/Logging_2280/artfynd/A 11546-2024 artfynd.xlsx", "A 11546-2024")</f>
        <v/>
      </c>
      <c r="X87">
        <f>HYPERLINK("https://klasma.github.io/Logging_2280/kartor/A 11546-2024 karta.png", "A 11546-2024")</f>
        <v/>
      </c>
      <c r="Y87">
        <f>HYPERLINK("https://klasma.github.io/Logging_2280/kartor_geotiff/A 11546-2024 georefererad karta.tif", "A 11546-2024")</f>
        <v/>
      </c>
      <c r="AA87">
        <f>HYPERLINK("https://klasma.github.io/Logging_2280/klagomål/A 11546-2024 FSC-klagomål.docx", "A 11546-2024")</f>
        <v/>
      </c>
      <c r="AB87">
        <f>HYPERLINK("https://klasma.github.io/Logging_2280/klagomålsmail/A 11546-2024 FSC-klagomål mail.docx", "A 11546-2024")</f>
        <v/>
      </c>
      <c r="AC87">
        <f>HYPERLINK("https://klasma.github.io/Logging_2280/tillsyn/A 11546-2024 tillsynsbegäran.docx", "A 11546-2024")</f>
        <v/>
      </c>
      <c r="AD87">
        <f>HYPERLINK("https://klasma.github.io/Logging_2280/tillsynsmail/A 11546-2024 tillsynsbegäran mail.docx", "A 11546-2024")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46309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46309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30907-2026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46309</v>
      </c>
      <c r="F90" t="inlineStr">
        <is>
          <t>VÄSTERNORRLANDS LÄN</t>
        </is>
      </c>
      <c r="G90" t="inlineStr">
        <is>
          <t>HÄRNÖSAND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HYPERLINK("https://klasma.github.io/Logging_2280/artfynd/A 30907-2026 artfynd.xlsx", "A 30907-2026")</f>
        <v/>
      </c>
      <c r="X90">
        <f>HYPERLINK("https://klasma.github.io/Logging_2280/kartor/A 30907-2026 karta.png", "A 30907-2026")</f>
        <v/>
      </c>
      <c r="Y90">
        <f>HYPERLINK("https://klasma.github.io/Logging_2280/kartor_geotiff/A 30907-2026 georefererad karta.tif", "A 30907-2026")</f>
        <v/>
      </c>
      <c r="AA90">
        <f>HYPERLINK("https://klasma.github.io/Logging_2280/klagomål/A 30907-2026 FSC-klagomål.docx", "A 30907-2026")</f>
        <v/>
      </c>
      <c r="AB90">
        <f>HYPERLINK("https://klasma.github.io/Logging_2280/klagomålsmail/A 30907-2026 FSC-klagomål mail.docx", "A 30907-2026")</f>
        <v/>
      </c>
      <c r="AC90">
        <f>HYPERLINK("https://klasma.github.io/Logging_2280/tillsyn/A 30907-2026 tillsynsbegäran.docx", "A 30907-2026")</f>
        <v/>
      </c>
      <c r="AD90">
        <f>HYPERLINK("https://klasma.github.io/Logging_2280/tillsynsmail/A 30907-2026 tillsynsbegäran mail.docx", "A 30907-2026")</f>
        <v/>
      </c>
      <c r="AE90">
        <f>HYPERLINK("https://klasma.github.io/Logging_2280/fåglar/A 30907-2026 prioriterade fågelarter.docx", "A 30907-2026")</f>
        <v/>
      </c>
    </row>
    <row r="91" ht="15" customHeight="1">
      <c r="A91" t="inlineStr">
        <is>
          <t>A 40265-2024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46309</v>
      </c>
      <c r="F91" t="inlineStr">
        <is>
          <t>VÄSTERNORRLANDS LÄN</t>
        </is>
      </c>
      <c r="G91" t="inlineStr">
        <is>
          <t>HÄRNÖSAND</t>
        </is>
      </c>
      <c r="I91" t="n">
        <v>4.9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Stor aspticka</t>
        </is>
      </c>
      <c r="W91">
        <f>HYPERLINK("https://klasma.github.io/Logging_2280/artfynd/A 40265-2024 artfynd.xlsx", "A 40265-2024")</f>
        <v/>
      </c>
      <c r="X91">
        <f>HYPERLINK("https://klasma.github.io/Logging_2280/kartor/A 40265-2024 karta.png", "A 40265-2024")</f>
        <v/>
      </c>
      <c r="Y91">
        <f>HYPERLINK("https://klasma.github.io/Logging_2280/kartor_geotiff/A 40265-2024 georefererad karta.tif", "A 40265-2024")</f>
        <v/>
      </c>
      <c r="AA91">
        <f>HYPERLINK("https://klasma.github.io/Logging_2280/klagomål/A 40265-2024 FSC-klagomål.docx", "A 40265-2024")</f>
        <v/>
      </c>
      <c r="AB91">
        <f>HYPERLINK("https://klasma.github.io/Logging_2280/klagomålsmail/A 40265-2024 FSC-klagomål mail.docx", "A 40265-2024")</f>
        <v/>
      </c>
      <c r="AC91">
        <f>HYPERLINK("https://klasma.github.io/Logging_2280/tillsyn/A 40265-2024 tillsynsbegäran.docx", "A 40265-2024")</f>
        <v/>
      </c>
      <c r="AD91">
        <f>HYPERLINK("https://klasma.github.io/Logging_2280/tillsynsmail/A 40265-2024 tillsynsbegäran mail.docx", "A 40265-2024")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46309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46309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46309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46309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46309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46309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46309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46309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46309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46309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46309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46309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46309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46309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46309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46309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46309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46309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46309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46309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46309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46309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46309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46309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46309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46309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46309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46309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46309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46309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46309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46309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46309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46309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46309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46309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46309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46309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45483</v>
      </c>
      <c r="E130" s="1" t="n">
        <v>46309</v>
      </c>
      <c r="F130" t="inlineStr">
        <is>
          <t>VÄSTERNORRLANDS LÄN</t>
        </is>
      </c>
      <c r="G130" t="inlineStr">
        <is>
          <t>HÄRNÖSAND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46309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46309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46309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45409</v>
      </c>
      <c r="E134" s="1" t="n">
        <v>46309</v>
      </c>
      <c r="F134" t="inlineStr">
        <is>
          <t>VÄSTERNORRLANDS LÄN</t>
        </is>
      </c>
      <c r="G134" t="inlineStr">
        <is>
          <t>HÄRNÖSAND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18885-2023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45044</v>
      </c>
      <c r="E135" s="1" t="n">
        <v>46309</v>
      </c>
      <c r="F135" t="inlineStr">
        <is>
          <t>VÄSTERNORRLANDS LÄN</t>
        </is>
      </c>
      <c r="G135" t="inlineStr">
        <is>
          <t>HÄRNÖSAND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44806</v>
      </c>
      <c r="E136" s="1" t="n">
        <v>46309</v>
      </c>
      <c r="F136" t="inlineStr">
        <is>
          <t>VÄSTERNORRLANDS LÄN</t>
        </is>
      </c>
      <c r="G136" t="inlineStr">
        <is>
          <t>HÄRNÖSAND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46309</v>
      </c>
      <c r="F137" t="inlineStr">
        <is>
          <t>VÄSTERNORRLANDS LÄN</t>
        </is>
      </c>
      <c r="G137" t="inlineStr">
        <is>
          <t>HÄRNÖSAND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46309</v>
      </c>
      <c r="F138" t="inlineStr">
        <is>
          <t>VÄSTERNORRLANDS LÄN</t>
        </is>
      </c>
      <c r="G138" t="inlineStr">
        <is>
          <t>HÄRNÖSAND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46309</v>
      </c>
      <c r="F139" t="inlineStr">
        <is>
          <t>VÄSTERNORRLANDS LÄN</t>
        </is>
      </c>
      <c r="G139" t="inlineStr">
        <is>
          <t>HÄRNÖSAND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46309</v>
      </c>
      <c r="F140" t="inlineStr">
        <is>
          <t>VÄSTERNORRLANDS LÄN</t>
        </is>
      </c>
      <c r="G140" t="inlineStr">
        <is>
          <t>HÄRNÖSAND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46309</v>
      </c>
      <c r="F141" t="inlineStr">
        <is>
          <t>VÄSTERNORRLANDS LÄN</t>
        </is>
      </c>
      <c r="G141" t="inlineStr">
        <is>
          <t>HÄRNÖSAND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46309</v>
      </c>
      <c r="F142" t="inlineStr">
        <is>
          <t>VÄSTERNORRLANDS LÄN</t>
        </is>
      </c>
      <c r="G142" t="inlineStr">
        <is>
          <t>HÄRNÖSAND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46309</v>
      </c>
      <c r="F143" t="inlineStr">
        <is>
          <t>VÄSTERNORRLANDS LÄN</t>
        </is>
      </c>
      <c r="G143" t="inlineStr">
        <is>
          <t>HÄRNÖSAND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46309</v>
      </c>
      <c r="F144" t="inlineStr">
        <is>
          <t>VÄSTERNORRLANDS LÄN</t>
        </is>
      </c>
      <c r="G144" t="inlineStr">
        <is>
          <t>HÄRNÖSAND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45351</v>
      </c>
      <c r="E145" s="1" t="n">
        <v>46309</v>
      </c>
      <c r="F145" t="inlineStr">
        <is>
          <t>VÄSTERNORRLANDS LÄN</t>
        </is>
      </c>
      <c r="G145" t="inlineStr">
        <is>
          <t>HÄRNÖSAND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46309</v>
      </c>
      <c r="F146" t="inlineStr">
        <is>
          <t>VÄSTERNORRLANDS LÄN</t>
        </is>
      </c>
      <c r="G146" t="inlineStr">
        <is>
          <t>HÄRNÖSAND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46309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46024</v>
      </c>
      <c r="E148" s="1" t="n">
        <v>46309</v>
      </c>
      <c r="F148" t="inlineStr">
        <is>
          <t>VÄSTERNORRLANDS LÄN</t>
        </is>
      </c>
      <c r="G148" t="inlineStr">
        <is>
          <t>HÄRNÖSAND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46309</v>
      </c>
      <c r="F149" t="inlineStr">
        <is>
          <t>VÄSTERNORRLANDS LÄN</t>
        </is>
      </c>
      <c r="G149" t="inlineStr">
        <is>
          <t>HÄRNÖSAND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46023</v>
      </c>
      <c r="E150" s="1" t="n">
        <v>46309</v>
      </c>
      <c r="F150" t="inlineStr">
        <is>
          <t>VÄSTERNORRLANDS LÄN</t>
        </is>
      </c>
      <c r="G150" t="inlineStr">
        <is>
          <t>HÄRNÖSAND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46024</v>
      </c>
      <c r="E151" s="1" t="n">
        <v>46309</v>
      </c>
      <c r="F151" t="inlineStr">
        <is>
          <t>VÄSTERNORRLANDS LÄN</t>
        </is>
      </c>
      <c r="G151" t="inlineStr">
        <is>
          <t>HÄRNÖSAND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46023</v>
      </c>
      <c r="E152" s="1" t="n">
        <v>46309</v>
      </c>
      <c r="F152" t="inlineStr">
        <is>
          <t>VÄSTERNORRLANDS LÄN</t>
        </is>
      </c>
      <c r="G152" t="inlineStr">
        <is>
          <t>HÄRNÖSAND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46024</v>
      </c>
      <c r="E153" s="1" t="n">
        <v>46309</v>
      </c>
      <c r="F153" t="inlineStr">
        <is>
          <t>VÄSTERNORRLANDS LÄN</t>
        </is>
      </c>
      <c r="G153" t="inlineStr">
        <is>
          <t>HÄRNÖSAND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46309</v>
      </c>
      <c r="F154" t="inlineStr">
        <is>
          <t>VÄSTERNORRLANDS LÄN</t>
        </is>
      </c>
      <c r="G154" t="inlineStr">
        <is>
          <t>HÄRNÖSAND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44571</v>
      </c>
      <c r="E155" s="1" t="n">
        <v>46309</v>
      </c>
      <c r="F155" t="inlineStr">
        <is>
          <t>VÄSTERNORRLANDS LÄN</t>
        </is>
      </c>
      <c r="G155" t="inlineStr">
        <is>
          <t>HÄRNÖSAND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46026</v>
      </c>
      <c r="E156" s="1" t="n">
        <v>46309</v>
      </c>
      <c r="F156" t="inlineStr">
        <is>
          <t>VÄSTERNORRLANDS LÄN</t>
        </is>
      </c>
      <c r="G156" t="inlineStr">
        <is>
          <t>HÄRNÖSAND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46309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780-2026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46029</v>
      </c>
      <c r="E158" s="1" t="n">
        <v>46309</v>
      </c>
      <c r="F158" t="inlineStr">
        <is>
          <t>VÄSTERNORRLANDS LÄN</t>
        </is>
      </c>
      <c r="G158" t="inlineStr">
        <is>
          <t>HÄRNÖSAND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45793</v>
      </c>
      <c r="E159" s="1" t="n">
        <v>46309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46309</v>
      </c>
      <c r="F160" t="inlineStr">
        <is>
          <t>VÄSTERNORRLANDS LÄN</t>
        </is>
      </c>
      <c r="G160" t="inlineStr">
        <is>
          <t>HÄRNÖSAND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46309</v>
      </c>
      <c r="F161" t="inlineStr">
        <is>
          <t>VÄSTERNORRLANDS LÄN</t>
        </is>
      </c>
      <c r="G161" t="inlineStr">
        <is>
          <t>HÄRNÖSAND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46309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63375-2023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46309</v>
      </c>
      <c r="F163" t="inlineStr">
        <is>
          <t>VÄSTERNORRLANDS LÄN</t>
        </is>
      </c>
      <c r="G163" t="inlineStr">
        <is>
          <t>HÄRNÖSAND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46309</v>
      </c>
      <c r="F164" t="inlineStr">
        <is>
          <t>VÄSTERNORRLANDS LÄN</t>
        </is>
      </c>
      <c r="G164" t="inlineStr">
        <is>
          <t>HÄRNÖSAND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45516</v>
      </c>
      <c r="E165" s="1" t="n">
        <v>46309</v>
      </c>
      <c r="F165" t="inlineStr">
        <is>
          <t>VÄSTERNORRLANDS LÄN</t>
        </is>
      </c>
      <c r="G165" t="inlineStr">
        <is>
          <t>HÄRNÖSAND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46309</v>
      </c>
      <c r="F166" t="inlineStr">
        <is>
          <t>VÄSTERNORRLANDS LÄN</t>
        </is>
      </c>
      <c r="G166" t="inlineStr">
        <is>
          <t>HÄRNÖSAND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46309</v>
      </c>
      <c r="F167" t="inlineStr">
        <is>
          <t>VÄSTERNORRLANDS LÄN</t>
        </is>
      </c>
      <c r="G167" t="inlineStr">
        <is>
          <t>HÄRNÖSAND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46309</v>
      </c>
      <c r="F168" t="inlineStr">
        <is>
          <t>VÄSTERNORRLANDS LÄN</t>
        </is>
      </c>
      <c r="G168" t="inlineStr">
        <is>
          <t>HÄRNÖSAND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46030</v>
      </c>
      <c r="E169" s="1" t="n">
        <v>46309</v>
      </c>
      <c r="F169" t="inlineStr">
        <is>
          <t>VÄSTERNORRLANDS LÄN</t>
        </is>
      </c>
      <c r="G169" t="inlineStr">
        <is>
          <t>HÄRNÖSAND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46309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46309</v>
      </c>
      <c r="F171" t="inlineStr">
        <is>
          <t>VÄSTERNORRLANDS LÄN</t>
        </is>
      </c>
      <c r="G171" t="inlineStr">
        <is>
          <t>HÄRNÖSAND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46309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46309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46309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46309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46309</v>
      </c>
      <c r="F176" t="inlineStr">
        <is>
          <t>VÄSTERNORRLANDS LÄN</t>
        </is>
      </c>
      <c r="G176" t="inlineStr">
        <is>
          <t>HÄRNÖSAND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46309</v>
      </c>
      <c r="F177" t="inlineStr">
        <is>
          <t>VÄSTERNORRLANDS LÄN</t>
        </is>
      </c>
      <c r="G177" t="inlineStr">
        <is>
          <t>HÄRNÖSAND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46309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44865</v>
      </c>
      <c r="E179" s="1" t="n">
        <v>46309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46309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46309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46309</v>
      </c>
      <c r="F182" t="inlineStr">
        <is>
          <t>VÄSTERNORRLANDS LÄN</t>
        </is>
      </c>
      <c r="G182" t="inlineStr">
        <is>
          <t>HÄRNÖSAND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46309</v>
      </c>
      <c r="F183" t="inlineStr">
        <is>
          <t>VÄSTERNORRLANDS LÄN</t>
        </is>
      </c>
      <c r="G183" t="inlineStr">
        <is>
          <t>HÄRNÖSAND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45762</v>
      </c>
      <c r="E184" s="1" t="n">
        <v>46309</v>
      </c>
      <c r="F184" t="inlineStr">
        <is>
          <t>VÄSTERNORRLANDS LÄN</t>
        </is>
      </c>
      <c r="G184" t="inlineStr">
        <is>
          <t>HÄRNÖSAND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46309</v>
      </c>
      <c r="F185" t="inlineStr">
        <is>
          <t>VÄSTERNORRLANDS LÄN</t>
        </is>
      </c>
      <c r="G185" t="inlineStr">
        <is>
          <t>HÄRNÖSAND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46309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46309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46309</v>
      </c>
      <c r="F188" t="inlineStr">
        <is>
          <t>VÄSTERNORRLANDS LÄN</t>
        </is>
      </c>
      <c r="G188" t="inlineStr">
        <is>
          <t>HÄRNÖSAND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46309</v>
      </c>
      <c r="F189" t="inlineStr">
        <is>
          <t>VÄSTERNORRLANDS LÄN</t>
        </is>
      </c>
      <c r="G189" t="inlineStr">
        <is>
          <t>HÄRNÖSAND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45630</v>
      </c>
      <c r="E190" s="1" t="n">
        <v>46309</v>
      </c>
      <c r="F190" t="inlineStr">
        <is>
          <t>VÄSTERNORRLANDS LÄN</t>
        </is>
      </c>
      <c r="G190" t="inlineStr">
        <is>
          <t>HÄRNÖSAND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45897</v>
      </c>
      <c r="E191" s="1" t="n">
        <v>46309</v>
      </c>
      <c r="F191" t="inlineStr">
        <is>
          <t>VÄSTERNORRLANDS LÄN</t>
        </is>
      </c>
      <c r="G191" t="inlineStr">
        <is>
          <t>HÄRNÖSAND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45205</v>
      </c>
      <c r="E192" s="1" t="n">
        <v>46309</v>
      </c>
      <c r="F192" t="inlineStr">
        <is>
          <t>VÄSTERNORRLANDS LÄN</t>
        </is>
      </c>
      <c r="G192" t="inlineStr">
        <is>
          <t>HÄRNÖSAND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61102-2021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46309</v>
      </c>
      <c r="F193" t="inlineStr">
        <is>
          <t>VÄSTERNORRLANDS LÄN</t>
        </is>
      </c>
      <c r="G193" t="inlineStr">
        <is>
          <t>HÄRNÖSAND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41562-2025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45901</v>
      </c>
      <c r="E194" s="1" t="n">
        <v>46309</v>
      </c>
      <c r="F194" t="inlineStr">
        <is>
          <t>VÄSTERNORRLANDS LÄN</t>
        </is>
      </c>
      <c r="G194" t="inlineStr">
        <is>
          <t>HÄRNÖSAND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46309</v>
      </c>
      <c r="F195" t="inlineStr">
        <is>
          <t>VÄSTERNORRLANDS LÄN</t>
        </is>
      </c>
      <c r="G195" t="inlineStr">
        <is>
          <t>HÄRNÖSAND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46309</v>
      </c>
      <c r="F196" t="inlineStr">
        <is>
          <t>VÄSTERNORRLANDS LÄN</t>
        </is>
      </c>
      <c r="G196" t="inlineStr">
        <is>
          <t>HÄRNÖSAND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46309</v>
      </c>
      <c r="F197" t="inlineStr">
        <is>
          <t>VÄSTERNORRLANDS LÄN</t>
        </is>
      </c>
      <c r="G197" t="inlineStr">
        <is>
          <t>HÄRNÖSAND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46309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46309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46309</v>
      </c>
      <c r="F200" t="inlineStr">
        <is>
          <t>VÄSTERNORRLANDS LÄN</t>
        </is>
      </c>
      <c r="G200" t="inlineStr">
        <is>
          <t>HÄRNÖSAND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45293</v>
      </c>
      <c r="E201" s="1" t="n">
        <v>46309</v>
      </c>
      <c r="F201" t="inlineStr">
        <is>
          <t>VÄSTERNORRLANDS LÄN</t>
        </is>
      </c>
      <c r="G201" t="inlineStr">
        <is>
          <t>HÄRNÖSAND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42214-2024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46309</v>
      </c>
      <c r="F202" t="inlineStr">
        <is>
          <t>VÄSTERNORRLANDS LÄN</t>
        </is>
      </c>
      <c r="G202" t="inlineStr">
        <is>
          <t>HÄRNÖSAND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69269-2021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46309</v>
      </c>
      <c r="F203" t="inlineStr">
        <is>
          <t>VÄSTERNORRLANDS LÄN</t>
        </is>
      </c>
      <c r="G203" t="inlineStr">
        <is>
          <t>HÄRNÖSAND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46309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46309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46309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46309</v>
      </c>
      <c r="F207" t="inlineStr">
        <is>
          <t>VÄSTERNORRLANDS LÄN</t>
        </is>
      </c>
      <c r="G207" t="inlineStr">
        <is>
          <t>HÄRNÖSAND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46309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46309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46309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46309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Kyrkan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46309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46309</v>
      </c>
      <c r="F213" t="inlineStr">
        <is>
          <t>VÄSTERNORRLANDS LÄN</t>
        </is>
      </c>
      <c r="G213" t="inlineStr">
        <is>
          <t>HÄRNÖSAND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46309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46309</v>
      </c>
      <c r="F215" t="inlineStr">
        <is>
          <t>VÄSTERNORRLANDS LÄN</t>
        </is>
      </c>
      <c r="G215" t="inlineStr">
        <is>
          <t>HÄRNÖSAND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46309</v>
      </c>
      <c r="F216" t="inlineStr">
        <is>
          <t>VÄSTERNORRLANDS LÄN</t>
        </is>
      </c>
      <c r="G216" t="inlineStr">
        <is>
          <t>HÄRNÖSAND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46309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49039-2023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45209</v>
      </c>
      <c r="E218" s="1" t="n">
        <v>46309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46309</v>
      </c>
      <c r="F219" t="inlineStr">
        <is>
          <t>VÄSTERNORRLANDS LÄN</t>
        </is>
      </c>
      <c r="G219" t="inlineStr">
        <is>
          <t>HÄRNÖSAND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46309</v>
      </c>
      <c r="F220" t="inlineStr">
        <is>
          <t>VÄSTERNORRLANDS LÄN</t>
        </is>
      </c>
      <c r="G220" t="inlineStr">
        <is>
          <t>HÄRNÖSAND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46309</v>
      </c>
      <c r="F221" t="inlineStr">
        <is>
          <t>VÄSTERNORRLANDS LÄN</t>
        </is>
      </c>
      <c r="G221" t="inlineStr">
        <is>
          <t>HÄRNÖSAND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46309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46309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46309</v>
      </c>
      <c r="F224" t="inlineStr">
        <is>
          <t>VÄSTERNORRLANDS LÄN</t>
        </is>
      </c>
      <c r="G224" t="inlineStr">
        <is>
          <t>HÄRNÖSAND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46309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46309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46309</v>
      </c>
      <c r="F227" t="inlineStr">
        <is>
          <t>VÄSTERNORRLANDS LÄN</t>
        </is>
      </c>
      <c r="G227" t="inlineStr">
        <is>
          <t>HÄRNÖSAND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46309</v>
      </c>
      <c r="F228" t="inlineStr">
        <is>
          <t>VÄSTERNORRLANDS LÄN</t>
        </is>
      </c>
      <c r="G228" t="inlineStr">
        <is>
          <t>HÄRNÖSAND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46309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46309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46309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46309</v>
      </c>
      <c r="F232" t="inlineStr">
        <is>
          <t>VÄSTERNORRLANDS LÄN</t>
        </is>
      </c>
      <c r="G232" t="inlineStr">
        <is>
          <t>HÄRNÖSAND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46309</v>
      </c>
      <c r="F233" t="inlineStr">
        <is>
          <t>VÄSTERNORRLANDS LÄN</t>
        </is>
      </c>
      <c r="G233" t="inlineStr">
        <is>
          <t>HÄRNÖSAND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45837</v>
      </c>
      <c r="E234" s="1" t="n">
        <v>46309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46309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45837</v>
      </c>
      <c r="E236" s="1" t="n">
        <v>46309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46309</v>
      </c>
      <c r="F237" t="inlineStr">
        <is>
          <t>VÄSTERNORRLANDS LÄN</t>
        </is>
      </c>
      <c r="G237" t="inlineStr">
        <is>
          <t>HÄRNÖSAND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46309</v>
      </c>
      <c r="F238" t="inlineStr">
        <is>
          <t>VÄSTERNORRLANDS LÄN</t>
        </is>
      </c>
      <c r="G238" t="inlineStr">
        <is>
          <t>HÄRNÖSAND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46309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54251-2022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44881</v>
      </c>
      <c r="E240" s="1" t="n">
        <v>46309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46309</v>
      </c>
      <c r="F241" t="inlineStr">
        <is>
          <t>VÄSTERNORRLANDS LÄN</t>
        </is>
      </c>
      <c r="G241" t="inlineStr">
        <is>
          <t>HÄRNÖSAND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46309</v>
      </c>
      <c r="F242" t="inlineStr">
        <is>
          <t>VÄSTERNORRLANDS LÄN</t>
        </is>
      </c>
      <c r="G242" t="inlineStr">
        <is>
          <t>HÄRNÖSAND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46309</v>
      </c>
      <c r="F243" t="inlineStr">
        <is>
          <t>VÄSTERNORRLANDS LÄN</t>
        </is>
      </c>
      <c r="G243" t="inlineStr">
        <is>
          <t>HÄRNÖSAND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46309</v>
      </c>
      <c r="F244" t="inlineStr">
        <is>
          <t>VÄSTERNORRLANDS LÄN</t>
        </is>
      </c>
      <c r="G244" t="inlineStr">
        <is>
          <t>HÄRNÖSAND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46309</v>
      </c>
      <c r="F245" t="inlineStr">
        <is>
          <t>VÄSTERNORRLANDS LÄN</t>
        </is>
      </c>
      <c r="G245" t="inlineStr">
        <is>
          <t>HÄRNÖSAND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45848</v>
      </c>
      <c r="E246" s="1" t="n">
        <v>46309</v>
      </c>
      <c r="F246" t="inlineStr">
        <is>
          <t>VÄSTERNORRLANDS LÄN</t>
        </is>
      </c>
      <c r="G246" t="inlineStr">
        <is>
          <t>HÄRNÖSAND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34751-2025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45848</v>
      </c>
      <c r="E247" s="1" t="n">
        <v>46309</v>
      </c>
      <c r="F247" t="inlineStr">
        <is>
          <t>VÄSTERNORRLANDS LÄN</t>
        </is>
      </c>
      <c r="G247" t="inlineStr">
        <is>
          <t>HÄRNÖSAND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46309</v>
      </c>
      <c r="F248" t="inlineStr">
        <is>
          <t>VÄSTERNORRLANDS LÄN</t>
        </is>
      </c>
      <c r="G248" t="inlineStr">
        <is>
          <t>HÄRNÖSAND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46309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46309</v>
      </c>
      <c r="F250" t="inlineStr">
        <is>
          <t>VÄSTERNORRLANDS LÄN</t>
        </is>
      </c>
      <c r="G250" t="inlineStr">
        <is>
          <t>HÄRNÖSAND</t>
        </is>
      </c>
      <c r="I250" t="n">
        <v>10.3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46309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46309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45853</v>
      </c>
      <c r="E253" s="1" t="n">
        <v>46309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46309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45793</v>
      </c>
      <c r="E255" s="1" t="n">
        <v>46309</v>
      </c>
      <c r="F255" t="inlineStr">
        <is>
          <t>VÄSTERNORRLANDS LÄN</t>
        </is>
      </c>
      <c r="G255" t="inlineStr">
        <is>
          <t>HÄRNÖSAND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46309</v>
      </c>
      <c r="F256" t="inlineStr">
        <is>
          <t>VÄSTERNORRLANDS LÄN</t>
        </is>
      </c>
      <c r="G256" t="inlineStr">
        <is>
          <t>HÄRNÖSAND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46309</v>
      </c>
      <c r="F257" t="inlineStr">
        <is>
          <t>VÄSTERNORRLANDS LÄN</t>
        </is>
      </c>
      <c r="G257" t="inlineStr">
        <is>
          <t>HÄRNÖSAND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44973</v>
      </c>
      <c r="E258" s="1" t="n">
        <v>46309</v>
      </c>
      <c r="F258" t="inlineStr">
        <is>
          <t>VÄSTERNORRLANDS LÄN</t>
        </is>
      </c>
      <c r="G258" t="inlineStr">
        <is>
          <t>HÄRNÖSAND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46309</v>
      </c>
      <c r="F259" t="inlineStr">
        <is>
          <t>VÄSTERNORRLANDS LÄN</t>
        </is>
      </c>
      <c r="G259" t="inlineStr">
        <is>
          <t>HÄRNÖSAND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46309</v>
      </c>
      <c r="F260" t="inlineStr">
        <is>
          <t>VÄSTERNORRLANDS LÄN</t>
        </is>
      </c>
      <c r="G260" t="inlineStr">
        <is>
          <t>HÄRNÖSAND</t>
        </is>
      </c>
      <c r="I260" t="n">
        <v>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46309</v>
      </c>
      <c r="F261" t="inlineStr">
        <is>
          <t>VÄSTERNORRLANDS LÄN</t>
        </is>
      </c>
      <c r="G261" t="inlineStr">
        <is>
          <t>HÄRNÖSAND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46309</v>
      </c>
      <c r="F262" t="inlineStr">
        <is>
          <t>VÄSTERNORRLANDS LÄN</t>
        </is>
      </c>
      <c r="G262" t="inlineStr">
        <is>
          <t>HÄRNÖSAND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46309</v>
      </c>
      <c r="F263" t="inlineStr">
        <is>
          <t>VÄSTERNORRLANDS LÄN</t>
        </is>
      </c>
      <c r="G263" t="inlineStr">
        <is>
          <t>HÄRNÖSAND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46309</v>
      </c>
      <c r="F264" t="inlineStr">
        <is>
          <t>VÄSTERNORRLANDS LÄN</t>
        </is>
      </c>
      <c r="G264" t="inlineStr">
        <is>
          <t>HÄRNÖSAND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46309</v>
      </c>
      <c r="F265" t="inlineStr">
        <is>
          <t>VÄSTERNORRLANDS LÄN</t>
        </is>
      </c>
      <c r="G265" t="inlineStr">
        <is>
          <t>HÄRNÖSAND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46309</v>
      </c>
      <c r="F266" t="inlineStr">
        <is>
          <t>VÄSTERNORRLANDS LÄN</t>
        </is>
      </c>
      <c r="G266" t="inlineStr">
        <is>
          <t>HÄRNÖSAND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46309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46309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46309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46309</v>
      </c>
      <c r="F270" t="inlineStr">
        <is>
          <t>VÄSTERNORRLANDS LÄN</t>
        </is>
      </c>
      <c r="G270" t="inlineStr">
        <is>
          <t>HÄRNÖSAND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46309</v>
      </c>
      <c r="F271" t="inlineStr">
        <is>
          <t>VÄSTERNORRLANDS LÄN</t>
        </is>
      </c>
      <c r="G271" t="inlineStr">
        <is>
          <t>HÄRNÖSAND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46309</v>
      </c>
      <c r="F272" t="inlineStr">
        <is>
          <t>VÄSTERNORRLANDS LÄN</t>
        </is>
      </c>
      <c r="G272" t="inlineStr">
        <is>
          <t>HÄRNÖSAND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45505</v>
      </c>
      <c r="E273" s="1" t="n">
        <v>46309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44755</v>
      </c>
      <c r="E274" s="1" t="n">
        <v>46309</v>
      </c>
      <c r="F274" t="inlineStr">
        <is>
          <t>VÄSTERNORRLANDS LÄN</t>
        </is>
      </c>
      <c r="G274" t="inlineStr">
        <is>
          <t>HÄRNÖSAND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46309</v>
      </c>
      <c r="F275" t="inlineStr">
        <is>
          <t>VÄSTERNORRLANDS LÄN</t>
        </is>
      </c>
      <c r="G275" t="inlineStr">
        <is>
          <t>HÄRNÖSAND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46309</v>
      </c>
      <c r="F276" t="inlineStr">
        <is>
          <t>VÄSTERNORRLANDS LÄN</t>
        </is>
      </c>
      <c r="G276" t="inlineStr">
        <is>
          <t>HÄRNÖSAND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46309</v>
      </c>
      <c r="F277" t="inlineStr">
        <is>
          <t>VÄSTERNORRLANDS LÄN</t>
        </is>
      </c>
      <c r="G277" t="inlineStr">
        <is>
          <t>HÄRNÖSAND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46309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46309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44747</v>
      </c>
      <c r="E280" s="1" t="n">
        <v>46309</v>
      </c>
      <c r="F280" t="inlineStr">
        <is>
          <t>VÄSTERNORRLANDS LÄN</t>
        </is>
      </c>
      <c r="G280" t="inlineStr">
        <is>
          <t>HÄRNÖSAND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46309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46309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46309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46309</v>
      </c>
      <c r="F285" t="inlineStr">
        <is>
          <t>VÄSTERNORRLANDS LÄN</t>
        </is>
      </c>
      <c r="G285" t="inlineStr">
        <is>
          <t>HÄRNÖSAND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46309</v>
      </c>
      <c r="F286" t="inlineStr">
        <is>
          <t>VÄSTERNORRLANDS LÄN</t>
        </is>
      </c>
      <c r="G286" t="inlineStr">
        <is>
          <t>HÄRNÖSAND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46309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46309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46309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46309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46309</v>
      </c>
      <c r="F291" t="inlineStr">
        <is>
          <t>VÄSTERNORRLANDS LÄN</t>
        </is>
      </c>
      <c r="G291" t="inlineStr">
        <is>
          <t>HÄRNÖSAND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46309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46309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46309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46309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46309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44732</v>
      </c>
      <c r="E297" s="1" t="n">
        <v>46309</v>
      </c>
      <c r="F297" t="inlineStr">
        <is>
          <t>VÄSTERNORRLANDS LÄN</t>
        </is>
      </c>
      <c r="G297" t="inlineStr">
        <is>
          <t>HÄRNÖSAND</t>
        </is>
      </c>
      <c r="I297" t="n">
        <v>18.7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46309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46309</v>
      </c>
      <c r="F299" t="inlineStr">
        <is>
          <t>VÄSTERNORRLANDS LÄN</t>
        </is>
      </c>
      <c r="G299" t="inlineStr">
        <is>
          <t>HÄRNÖSAND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44890</v>
      </c>
      <c r="E300" s="1" t="n">
        <v>46309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Kyrkan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45015</v>
      </c>
      <c r="E301" s="1" t="n">
        <v>46309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45314</v>
      </c>
      <c r="E302" s="1" t="n">
        <v>46309</v>
      </c>
      <c r="F302" t="inlineStr">
        <is>
          <t>VÄSTERNORRLANDS LÄN</t>
        </is>
      </c>
      <c r="G302" t="inlineStr">
        <is>
          <t>HÄRNÖSAND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46309</v>
      </c>
      <c r="F303" t="inlineStr">
        <is>
          <t>VÄSTERNORRLANDS LÄN</t>
        </is>
      </c>
      <c r="G303" t="inlineStr">
        <is>
          <t>HÄRNÖSAND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46309</v>
      </c>
      <c r="F304" t="inlineStr">
        <is>
          <t>VÄSTERNORRLANDS LÄN</t>
        </is>
      </c>
      <c r="G304" t="inlineStr">
        <is>
          <t>HÄRNÖSAND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46309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Kyrkan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46065</v>
      </c>
      <c r="E306" s="1" t="n">
        <v>46309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46309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Kyrkan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46065</v>
      </c>
      <c r="E308" s="1" t="n">
        <v>46309</v>
      </c>
      <c r="F308" t="inlineStr">
        <is>
          <t>VÄSTERNORRLANDS LÄN</t>
        </is>
      </c>
      <c r="G308" t="inlineStr">
        <is>
          <t>HÄRNÖSAND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46065</v>
      </c>
      <c r="E309" s="1" t="n">
        <v>46309</v>
      </c>
      <c r="F309" t="inlineStr">
        <is>
          <t>VÄSTERNORRLANDS LÄN</t>
        </is>
      </c>
      <c r="G309" t="inlineStr">
        <is>
          <t>HÄRNÖSAND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46309</v>
      </c>
      <c r="F310" t="inlineStr">
        <is>
          <t>VÄSTERNORRLANDS LÄN</t>
        </is>
      </c>
      <c r="G310" t="inlineStr">
        <is>
          <t>HÄRNÖSAND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46070</v>
      </c>
      <c r="E311" s="1" t="n">
        <v>46309</v>
      </c>
      <c r="F311" t="inlineStr">
        <is>
          <t>VÄSTERNORRLANDS LÄN</t>
        </is>
      </c>
      <c r="G311" t="inlineStr">
        <is>
          <t>HÄRNÖSAND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46309</v>
      </c>
      <c r="F312" t="inlineStr">
        <is>
          <t>VÄSTERNORRLANDS LÄN</t>
        </is>
      </c>
      <c r="G312" t="inlineStr">
        <is>
          <t>HÄRNÖSAND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46072</v>
      </c>
      <c r="E313" s="1" t="n">
        <v>46309</v>
      </c>
      <c r="F313" t="inlineStr">
        <is>
          <t>VÄSTERNORRLANDS LÄN</t>
        </is>
      </c>
      <c r="G313" t="inlineStr">
        <is>
          <t>HÄRNÖSAND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45126</v>
      </c>
      <c r="E314" s="1" t="n">
        <v>46309</v>
      </c>
      <c r="F314" t="inlineStr">
        <is>
          <t>VÄSTERNORRLANDS LÄN</t>
        </is>
      </c>
      <c r="G314" t="inlineStr">
        <is>
          <t>HÄRNÖSAND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46309</v>
      </c>
      <c r="F315" t="inlineStr">
        <is>
          <t>VÄSTERNORRLANDS LÄN</t>
        </is>
      </c>
      <c r="G315" t="inlineStr">
        <is>
          <t>HÄRNÖSAND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46309</v>
      </c>
      <c r="F316" t="inlineStr">
        <is>
          <t>VÄSTERNORRLANDS LÄN</t>
        </is>
      </c>
      <c r="G316" t="inlineStr">
        <is>
          <t>HÄRNÖSAND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46309</v>
      </c>
      <c r="F317" t="inlineStr">
        <is>
          <t>VÄSTERNORRLANDS LÄN</t>
        </is>
      </c>
      <c r="G317" t="inlineStr">
        <is>
          <t>HÄRNÖSAND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46309</v>
      </c>
      <c r="F318" t="inlineStr">
        <is>
          <t>VÄSTERNORRLANDS LÄN</t>
        </is>
      </c>
      <c r="G318" t="inlineStr">
        <is>
          <t>HÄRNÖSAND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46309</v>
      </c>
      <c r="F319" t="inlineStr">
        <is>
          <t>VÄSTERNORRLANDS LÄN</t>
        </is>
      </c>
      <c r="G319" t="inlineStr">
        <is>
          <t>HÄRNÖSAND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46309</v>
      </c>
      <c r="F320" t="inlineStr">
        <is>
          <t>VÄSTERNORRLANDS LÄN</t>
        </is>
      </c>
      <c r="G320" t="inlineStr">
        <is>
          <t>HÄRNÖSAND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46309</v>
      </c>
      <c r="F321" t="inlineStr">
        <is>
          <t>VÄSTERNORRLANDS LÄN</t>
        </is>
      </c>
      <c r="G321" t="inlineStr">
        <is>
          <t>HÄRNÖSAND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44971</v>
      </c>
      <c r="E322" s="1" t="n">
        <v>46309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45638</v>
      </c>
      <c r="E323" s="1" t="n">
        <v>46309</v>
      </c>
      <c r="F323" t="inlineStr">
        <is>
          <t>VÄSTERNORRLANDS LÄN</t>
        </is>
      </c>
      <c r="G323" t="inlineStr">
        <is>
          <t>HÄRNÖSAND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46077</v>
      </c>
      <c r="E324" s="1" t="n">
        <v>46309</v>
      </c>
      <c r="F324" t="inlineStr">
        <is>
          <t>VÄSTERNORRLANDS LÄN</t>
        </is>
      </c>
      <c r="G324" t="inlineStr">
        <is>
          <t>HÄRNÖSAND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27912-2022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44743</v>
      </c>
      <c r="E325" s="1" t="n">
        <v>46309</v>
      </c>
      <c r="F325" t="inlineStr">
        <is>
          <t>VÄSTERNORRLANDS LÄN</t>
        </is>
      </c>
      <c r="G325" t="inlineStr">
        <is>
          <t>HÄRNÖSAND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11202-2026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46080</v>
      </c>
      <c r="E326" s="1" t="n">
        <v>46309</v>
      </c>
      <c r="F326" t="inlineStr">
        <is>
          <t>VÄSTERNORRLANDS LÄN</t>
        </is>
      </c>
      <c r="G326" t="inlineStr">
        <is>
          <t>HÄRNÖSAND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46320-2022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44847</v>
      </c>
      <c r="E327" s="1" t="n">
        <v>46309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Kyrkan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46309</v>
      </c>
      <c r="F328" t="inlineStr">
        <is>
          <t>VÄSTERNORRLANDS LÄN</t>
        </is>
      </c>
      <c r="G328" t="inlineStr">
        <is>
          <t>HÄRNÖSAND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46309</v>
      </c>
      <c r="F329" t="inlineStr">
        <is>
          <t>VÄSTERNORRLANDS LÄN</t>
        </is>
      </c>
      <c r="G329" t="inlineStr">
        <is>
          <t>HÄRNÖSAND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46309</v>
      </c>
      <c r="F330" t="inlineStr">
        <is>
          <t>VÄSTERNORRLANDS LÄN</t>
        </is>
      </c>
      <c r="G330" t="inlineStr">
        <is>
          <t>HÄRNÖSAND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46309</v>
      </c>
      <c r="F331" t="inlineStr">
        <is>
          <t>VÄSTERNORRLANDS LÄN</t>
        </is>
      </c>
      <c r="G331" t="inlineStr">
        <is>
          <t>HÄRNÖSAND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45645</v>
      </c>
      <c r="E332" s="1" t="n">
        <v>46309</v>
      </c>
      <c r="F332" t="inlineStr">
        <is>
          <t>VÄSTERNORRLANDS LÄN</t>
        </is>
      </c>
      <c r="G332" t="inlineStr">
        <is>
          <t>HÄRNÖSAND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12340-2026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46309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40452-2023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45168</v>
      </c>
      <c r="E334" s="1" t="n">
        <v>46309</v>
      </c>
      <c r="F334" t="inlineStr">
        <is>
          <t>VÄSTERNORRLANDS LÄN</t>
        </is>
      </c>
      <c r="G334" t="inlineStr">
        <is>
          <t>HÄRNÖSAND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12650-2026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46091</v>
      </c>
      <c r="E335" s="1" t="n">
        <v>46309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46309</v>
      </c>
      <c r="F336" t="inlineStr">
        <is>
          <t>VÄSTERNORRLANDS LÄN</t>
        </is>
      </c>
      <c r="G336" t="inlineStr">
        <is>
          <t>HÄRNÖSAND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46309</v>
      </c>
      <c r="F337" t="inlineStr">
        <is>
          <t>VÄSTERNORRLANDS LÄN</t>
        </is>
      </c>
      <c r="G337" t="inlineStr">
        <is>
          <t>HÄRNÖSAND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45138</v>
      </c>
      <c r="E338" s="1" t="n">
        <v>46309</v>
      </c>
      <c r="F338" t="inlineStr">
        <is>
          <t>VÄSTERNORRLANDS LÄN</t>
        </is>
      </c>
      <c r="G338" t="inlineStr">
        <is>
          <t>HÄRNÖSAND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46309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46309</v>
      </c>
      <c r="F340" t="inlineStr">
        <is>
          <t>VÄSTERNORRLANDS LÄN</t>
        </is>
      </c>
      <c r="G340" t="inlineStr">
        <is>
          <t>HÄRNÖSAND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46309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46309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46309</v>
      </c>
      <c r="F343" t="inlineStr">
        <is>
          <t>VÄSTERNORRLANDS LÄN</t>
        </is>
      </c>
      <c r="G343" t="inlineStr">
        <is>
          <t>HÄRNÖSAND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45545</v>
      </c>
      <c r="E344" s="1" t="n">
        <v>46309</v>
      </c>
      <c r="F344" t="inlineStr">
        <is>
          <t>VÄSTERNORRLANDS LÄN</t>
        </is>
      </c>
      <c r="G344" t="inlineStr">
        <is>
          <t>HÄRNÖSAND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44980</v>
      </c>
      <c r="E345" s="1" t="n">
        <v>46309</v>
      </c>
      <c r="F345" t="inlineStr">
        <is>
          <t>VÄSTERNORRLANDS LÄN</t>
        </is>
      </c>
      <c r="G345" t="inlineStr">
        <is>
          <t>HÄRNÖSAND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45678</v>
      </c>
      <c r="E346" s="1" t="n">
        <v>46309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45764</v>
      </c>
      <c r="E347" s="1" t="n">
        <v>46309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46309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44971</v>
      </c>
      <c r="E349" s="1" t="n">
        <v>46309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46309</v>
      </c>
      <c r="F350" t="inlineStr">
        <is>
          <t>VÄSTERNORRLANDS LÄN</t>
        </is>
      </c>
      <c r="G350" t="inlineStr">
        <is>
          <t>HÄRNÖSAND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46309</v>
      </c>
      <c r="F351" t="inlineStr">
        <is>
          <t>VÄSTERNORRLANDS LÄN</t>
        </is>
      </c>
      <c r="G351" t="inlineStr">
        <is>
          <t>HÄRNÖSAND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46309</v>
      </c>
      <c r="F352" t="inlineStr">
        <is>
          <t>VÄSTERNORRLANDS LÄN</t>
        </is>
      </c>
      <c r="G352" t="inlineStr">
        <is>
          <t>HÄRNÖSAND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46309</v>
      </c>
      <c r="F353" t="inlineStr">
        <is>
          <t>VÄSTERNORRLANDS LÄN</t>
        </is>
      </c>
      <c r="G353" t="inlineStr">
        <is>
          <t>HÄRNÖSAND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46309</v>
      </c>
      <c r="F354" t="inlineStr">
        <is>
          <t>VÄSTERNORRLANDS LÄN</t>
        </is>
      </c>
      <c r="G354" t="inlineStr">
        <is>
          <t>HÄRNÖSAND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46309</v>
      </c>
      <c r="F355" t="inlineStr">
        <is>
          <t>VÄSTERNORRLANDS LÄN</t>
        </is>
      </c>
      <c r="G355" t="inlineStr">
        <is>
          <t>HÄRNÖSAND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15928-2026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46309</v>
      </c>
      <c r="F356" t="inlineStr">
        <is>
          <t>VÄSTERNORRLANDS LÄN</t>
        </is>
      </c>
      <c r="G356" t="inlineStr">
        <is>
          <t>HÄRNÖSAND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46309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46309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15930-2026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46309</v>
      </c>
      <c r="F359" t="inlineStr">
        <is>
          <t>VÄSTERNORRLANDS LÄN</t>
        </is>
      </c>
      <c r="G359" t="inlineStr">
        <is>
          <t>HÄRNÖSAND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45685</v>
      </c>
      <c r="E360" s="1" t="n">
        <v>46309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46309</v>
      </c>
      <c r="F361" t="inlineStr">
        <is>
          <t>VÄSTERNORRLANDS LÄN</t>
        </is>
      </c>
      <c r="G361" t="inlineStr">
        <is>
          <t>HÄRNÖSAND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46309</v>
      </c>
      <c r="F362" t="inlineStr">
        <is>
          <t>VÄSTERNORRLANDS LÄN</t>
        </is>
      </c>
      <c r="G362" t="inlineStr">
        <is>
          <t>HÄRNÖSAND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46309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46309</v>
      </c>
      <c r="F364" t="inlineStr">
        <is>
          <t>VÄSTERNORRLANDS LÄN</t>
        </is>
      </c>
      <c r="G364" t="inlineStr">
        <is>
          <t>HÄRNÖSAND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44603</v>
      </c>
      <c r="E365" s="1" t="n">
        <v>46309</v>
      </c>
      <c r="F365" t="inlineStr">
        <is>
          <t>VÄSTERNORRLANDS LÄN</t>
        </is>
      </c>
      <c r="G365" t="inlineStr">
        <is>
          <t>HÄRNÖSAND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45044</v>
      </c>
      <c r="E366" s="1" t="n">
        <v>46309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47781-2023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45203</v>
      </c>
      <c r="E367" s="1" t="n">
        <v>46309</v>
      </c>
      <c r="F367" t="inlineStr">
        <is>
          <t>VÄSTERNORRLANDS LÄN</t>
        </is>
      </c>
      <c r="G367" t="inlineStr">
        <is>
          <t>HÄRNÖSAND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17661-2026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46309</v>
      </c>
      <c r="F368" t="inlineStr">
        <is>
          <t>VÄSTERNORRLANDS LÄN</t>
        </is>
      </c>
      <c r="G368" t="inlineStr">
        <is>
          <t>HÄRNÖSAND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45106</v>
      </c>
      <c r="E369" s="1" t="n">
        <v>46309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46309</v>
      </c>
      <c r="F370" t="inlineStr">
        <is>
          <t>VÄSTERNORRLANDS LÄN</t>
        </is>
      </c>
      <c r="G370" t="inlineStr">
        <is>
          <t>HÄRNÖSAND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46309</v>
      </c>
      <c r="F371" t="inlineStr">
        <is>
          <t>VÄSTERNORRLANDS LÄN</t>
        </is>
      </c>
      <c r="G371" t="inlineStr">
        <is>
          <t>HÄRNÖSAND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46309</v>
      </c>
      <c r="F372" t="inlineStr">
        <is>
          <t>VÄSTERNORRLANDS LÄN</t>
        </is>
      </c>
      <c r="G372" t="inlineStr">
        <is>
          <t>HÄRNÖSAND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44596</v>
      </c>
      <c r="E373" s="1" t="n">
        <v>46309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Övriga statliga verk och myndigheter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46309</v>
      </c>
      <c r="F374" t="inlineStr">
        <is>
          <t>VÄSTERNORRLANDS LÄN</t>
        </is>
      </c>
      <c r="G374" t="inlineStr">
        <is>
          <t>HÄRNÖSAND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46309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46309</v>
      </c>
      <c r="F376" t="inlineStr">
        <is>
          <t>VÄSTERNORRLANDS LÄN</t>
        </is>
      </c>
      <c r="G376" t="inlineStr">
        <is>
          <t>HÄRNÖSAND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46309</v>
      </c>
      <c r="F377" t="inlineStr">
        <is>
          <t>VÄSTERNORRLANDS LÄN</t>
        </is>
      </c>
      <c r="G377" t="inlineStr">
        <is>
          <t>HÄRNÖSAND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46309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42197-2024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46309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46309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46309</v>
      </c>
      <c r="F381" t="inlineStr">
        <is>
          <t>VÄSTERNORRLANDS LÄN</t>
        </is>
      </c>
      <c r="G381" t="inlineStr">
        <is>
          <t>HÄRNÖSAND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45293</v>
      </c>
      <c r="E382" s="1" t="n">
        <v>46309</v>
      </c>
      <c r="F382" t="inlineStr">
        <is>
          <t>VÄSTERNORRLANDS LÄN</t>
        </is>
      </c>
      <c r="G382" t="inlineStr">
        <is>
          <t>HÄRNÖSAND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61574-2021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44497</v>
      </c>
      <c r="E383" s="1" t="n">
        <v>46309</v>
      </c>
      <c r="F383" t="inlineStr">
        <is>
          <t>VÄSTERNORRLANDS LÄN</t>
        </is>
      </c>
      <c r="G383" t="inlineStr">
        <is>
          <t>HÄRNÖSAND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45329</v>
      </c>
      <c r="E384" s="1" t="n">
        <v>46309</v>
      </c>
      <c r="F384" t="inlineStr">
        <is>
          <t>VÄSTERNORRLANDS LÄN</t>
        </is>
      </c>
      <c r="G384" t="inlineStr">
        <is>
          <t>HÄRNÖSAND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34612-2024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45526</v>
      </c>
      <c r="E385" s="1" t="n">
        <v>46309</v>
      </c>
      <c r="F385" t="inlineStr">
        <is>
          <t>VÄSTERNORRLANDS LÄN</t>
        </is>
      </c>
      <c r="G385" t="inlineStr">
        <is>
          <t>HÄRNÖSAND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46319-2022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44847</v>
      </c>
      <c r="E386" s="1" t="n">
        <v>46309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Kyrkan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8408-2024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45352</v>
      </c>
      <c r="E387" s="1" t="n">
        <v>46309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46309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Kyrkan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46309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64749-2023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45281</v>
      </c>
      <c r="E390" s="1" t="n">
        <v>46309</v>
      </c>
      <c r="F390" t="inlineStr">
        <is>
          <t>VÄSTERNORRLANDS LÄN</t>
        </is>
      </c>
      <c r="G390" t="inlineStr">
        <is>
          <t>HÄRNÖSAND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45409</v>
      </c>
      <c r="E391" s="1" t="n">
        <v>46309</v>
      </c>
      <c r="F391" t="inlineStr">
        <is>
          <t>VÄSTERNORRLANDS LÄN</t>
        </is>
      </c>
      <c r="G391" t="inlineStr">
        <is>
          <t>HÄRNÖSAND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39954-2022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44819</v>
      </c>
      <c r="E392" s="1" t="n">
        <v>46309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64023-2023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45278</v>
      </c>
      <c r="E393" s="1" t="n">
        <v>46309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45502</v>
      </c>
      <c r="E394" s="1" t="n">
        <v>46309</v>
      </c>
      <c r="F394" t="inlineStr">
        <is>
          <t>VÄSTERNORRLANDS LÄN</t>
        </is>
      </c>
      <c r="G394" t="inlineStr">
        <is>
          <t>HÄRNÖSAND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45771</v>
      </c>
      <c r="E395" s="1" t="n">
        <v>46309</v>
      </c>
      <c r="F395" t="inlineStr">
        <is>
          <t>VÄSTERNORRLANDS LÄN</t>
        </is>
      </c>
      <c r="G395" t="inlineStr">
        <is>
          <t>HÄRNÖSAND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29544-2025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46309</v>
      </c>
      <c r="F396" t="inlineStr">
        <is>
          <t>VÄSTERNORRLANDS LÄN</t>
        </is>
      </c>
      <c r="G396" t="inlineStr">
        <is>
          <t>HÄRNÖSAND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46309</v>
      </c>
      <c r="F397" t="inlineStr">
        <is>
          <t>VÄSTERNORRLANDS LÄN</t>
        </is>
      </c>
      <c r="G397" t="inlineStr">
        <is>
          <t>HÄRNÖSAND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44791</v>
      </c>
      <c r="E398" s="1" t="n">
        <v>46309</v>
      </c>
      <c r="F398" t="inlineStr">
        <is>
          <t>VÄSTERNORRLANDS LÄN</t>
        </is>
      </c>
      <c r="G398" t="inlineStr">
        <is>
          <t>HÄRNÖSAND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45418</v>
      </c>
      <c r="E399" s="1" t="n">
        <v>46309</v>
      </c>
      <c r="F399" t="inlineStr">
        <is>
          <t>VÄSTERNORRLANDS LÄN</t>
        </is>
      </c>
      <c r="G399" t="inlineStr">
        <is>
          <t>HÄRNÖSAND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46309</v>
      </c>
      <c r="F400" t="inlineStr">
        <is>
          <t>VÄSTERNORRLANDS LÄN</t>
        </is>
      </c>
      <c r="G400" t="inlineStr">
        <is>
          <t>HÄRNÖSAND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62333-2021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44502</v>
      </c>
      <c r="E401" s="1" t="n">
        <v>46309</v>
      </c>
      <c r="F401" t="inlineStr">
        <is>
          <t>VÄSTERNORRLANDS LÄN</t>
        </is>
      </c>
      <c r="G401" t="inlineStr">
        <is>
          <t>HÄRNÖSAND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46309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45228</v>
      </c>
      <c r="E403" s="1" t="n">
        <v>46309</v>
      </c>
      <c r="F403" t="inlineStr">
        <is>
          <t>VÄSTERNORRLANDS LÄN</t>
        </is>
      </c>
      <c r="G403" t="inlineStr">
        <is>
          <t>HÄRNÖSAND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45887</v>
      </c>
      <c r="E404" s="1" t="n">
        <v>46309</v>
      </c>
      <c r="F404" t="inlineStr">
        <is>
          <t>VÄSTERNORRLANDS LÄN</t>
        </is>
      </c>
      <c r="G404" t="inlineStr">
        <is>
          <t>HÄRNÖSAND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46309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13605-2024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45390</v>
      </c>
      <c r="E406" s="1" t="n">
        <v>46309</v>
      </c>
      <c r="F406" t="inlineStr">
        <is>
          <t>VÄSTERNORRLANDS LÄN</t>
        </is>
      </c>
      <c r="G406" t="inlineStr">
        <is>
          <t>HÄRNÖSAND</t>
        </is>
      </c>
      <c r="I406" t="n">
        <v>14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46309</v>
      </c>
      <c r="F407" t="inlineStr">
        <is>
          <t>VÄSTERNORRLANDS LÄN</t>
        </is>
      </c>
      <c r="G407" t="inlineStr">
        <is>
          <t>HÄRNÖSAND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46309</v>
      </c>
      <c r="F408" t="inlineStr">
        <is>
          <t>VÄSTERNORRLANDS LÄN</t>
        </is>
      </c>
      <c r="G408" t="inlineStr">
        <is>
          <t>HÄRNÖSAND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41147-2023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45173</v>
      </c>
      <c r="E409" s="1" t="n">
        <v>46309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46309</v>
      </c>
      <c r="F410" t="inlineStr">
        <is>
          <t>VÄSTERNORRLANDS LÄN</t>
        </is>
      </c>
      <c r="G410" t="inlineStr">
        <is>
          <t>HÄRNÖSAND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45342</v>
      </c>
      <c r="E411" s="1" t="n">
        <v>46309</v>
      </c>
      <c r="F411" t="inlineStr">
        <is>
          <t>VÄSTERNORRLANDS LÄN</t>
        </is>
      </c>
      <c r="G411" t="inlineStr">
        <is>
          <t>HÄRNÖSAND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46309</v>
      </c>
      <c r="F412" t="inlineStr">
        <is>
          <t>VÄSTERNORRLANDS LÄN</t>
        </is>
      </c>
      <c r="G412" t="inlineStr">
        <is>
          <t>HÄRNÖSAND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60970-2021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44496</v>
      </c>
      <c r="E413" s="1" t="n">
        <v>46309</v>
      </c>
      <c r="F413" t="inlineStr">
        <is>
          <t>VÄSTERNORRLANDS LÄN</t>
        </is>
      </c>
      <c r="G413" t="inlineStr">
        <is>
          <t>HÄRNÖSAND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20863-2026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46309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45405</v>
      </c>
      <c r="E415" s="1" t="n">
        <v>46309</v>
      </c>
      <c r="F415" t="inlineStr">
        <is>
          <t>VÄSTERNORRLANDS LÄN</t>
        </is>
      </c>
      <c r="G415" t="inlineStr">
        <is>
          <t>HÄRNÖSAND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45409</v>
      </c>
      <c r="E416" s="1" t="n">
        <v>46309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45334</v>
      </c>
      <c r="E417" s="1" t="n">
        <v>46309</v>
      </c>
      <c r="F417" t="inlineStr">
        <is>
          <t>VÄSTERNORRLANDS LÄN</t>
        </is>
      </c>
      <c r="G417" t="inlineStr">
        <is>
          <t>HÄRNÖSAND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46150</v>
      </c>
      <c r="E418" s="1" t="n">
        <v>46309</v>
      </c>
      <c r="F418" t="inlineStr">
        <is>
          <t>VÄSTERNORRLANDS LÄN</t>
        </is>
      </c>
      <c r="G418" t="inlineStr">
        <is>
          <t>HÄRNÖSAND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46309</v>
      </c>
      <c r="F419" t="inlineStr">
        <is>
          <t>VÄSTERNORRLANDS LÄN</t>
        </is>
      </c>
      <c r="G419" t="inlineStr">
        <is>
          <t>HÄRNÖSAND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46309</v>
      </c>
      <c r="F420" t="inlineStr">
        <is>
          <t>VÄSTERNORRLANDS LÄN</t>
        </is>
      </c>
      <c r="G420" t="inlineStr">
        <is>
          <t>HÄRNÖSAND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46309</v>
      </c>
      <c r="F421" t="inlineStr">
        <is>
          <t>VÄSTERNORRLANDS LÄN</t>
        </is>
      </c>
      <c r="G421" t="inlineStr">
        <is>
          <t>HÄRNÖSAND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46309</v>
      </c>
      <c r="F422" t="inlineStr">
        <is>
          <t>VÄSTERNORRLANDS LÄN</t>
        </is>
      </c>
      <c r="G422" t="inlineStr">
        <is>
          <t>HÄRNÖSAND</t>
        </is>
      </c>
      <c r="I422" t="n">
        <v>16.7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12750-2022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46309</v>
      </c>
      <c r="F423" t="inlineStr">
        <is>
          <t>VÄSTERNORRLANDS LÄN</t>
        </is>
      </c>
      <c r="G423" t="inlineStr">
        <is>
          <t>HÄRNÖSAND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46309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46309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46309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46309</v>
      </c>
      <c r="F427" t="inlineStr">
        <is>
          <t>VÄSTERNORRLANDS LÄN</t>
        </is>
      </c>
      <c r="G427" t="inlineStr">
        <is>
          <t>HÄRNÖSAND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46309</v>
      </c>
      <c r="F428" t="inlineStr">
        <is>
          <t>VÄSTERNORRLANDS LÄN</t>
        </is>
      </c>
      <c r="G428" t="inlineStr">
        <is>
          <t>HÄRNÖSAND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46309</v>
      </c>
      <c r="F429" t="inlineStr">
        <is>
          <t>VÄSTERNORRLANDS LÄN</t>
        </is>
      </c>
      <c r="G429" t="inlineStr">
        <is>
          <t>HÄRNÖSAND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46309</v>
      </c>
      <c r="F430" t="inlineStr">
        <is>
          <t>VÄSTERNORRLANDS LÄN</t>
        </is>
      </c>
      <c r="G430" t="inlineStr">
        <is>
          <t>HÄRNÖSAND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45595</v>
      </c>
      <c r="E431" s="1" t="n">
        <v>46309</v>
      </c>
      <c r="F431" t="inlineStr">
        <is>
          <t>VÄSTERNORRLANDS LÄN</t>
        </is>
      </c>
      <c r="G431" t="inlineStr">
        <is>
          <t>HÄRNÖSAND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49364-2024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45595</v>
      </c>
      <c r="E432" s="1" t="n">
        <v>46309</v>
      </c>
      <c r="F432" t="inlineStr">
        <is>
          <t>VÄSTERNORRLANDS LÄN</t>
        </is>
      </c>
      <c r="G432" t="inlineStr">
        <is>
          <t>HÄRNÖSAND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54091-2024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45616</v>
      </c>
      <c r="E433" s="1" t="n">
        <v>46309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46309</v>
      </c>
      <c r="F434" t="inlineStr">
        <is>
          <t>VÄSTERNORRLANDS LÄN</t>
        </is>
      </c>
      <c r="G434" t="inlineStr">
        <is>
          <t>HÄRNÖSAND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46309</v>
      </c>
      <c r="F435" t="inlineStr">
        <is>
          <t>VÄSTERNORRLANDS LÄN</t>
        </is>
      </c>
      <c r="G435" t="inlineStr">
        <is>
          <t>HÄRNÖSAND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16979-2022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44676</v>
      </c>
      <c r="E436" s="1" t="n">
        <v>46309</v>
      </c>
      <c r="F436" t="inlineStr">
        <is>
          <t>VÄSTERNORRLANDS LÄN</t>
        </is>
      </c>
      <c r="G436" t="inlineStr">
        <is>
          <t>HÄRNÖSAND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46309</v>
      </c>
      <c r="F437" t="inlineStr">
        <is>
          <t>VÄSTERNORRLANDS LÄN</t>
        </is>
      </c>
      <c r="G437" t="inlineStr">
        <is>
          <t>HÄRNÖSAND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46309</v>
      </c>
      <c r="F438" t="inlineStr">
        <is>
          <t>VÄSTERNORRLANDS LÄN</t>
        </is>
      </c>
      <c r="G438" t="inlineStr">
        <is>
          <t>HÄRNÖSAND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46309</v>
      </c>
      <c r="F439" t="inlineStr">
        <is>
          <t>VÄSTERNORRLANDS LÄN</t>
        </is>
      </c>
      <c r="G439" t="inlineStr">
        <is>
          <t>HÄRNÖSAND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46309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46309</v>
      </c>
      <c r="F441" t="inlineStr">
        <is>
          <t>VÄSTERNORRLANDS LÄN</t>
        </is>
      </c>
      <c r="G441" t="inlineStr">
        <is>
          <t>HÄRNÖSAND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46309</v>
      </c>
      <c r="F442" t="inlineStr">
        <is>
          <t>VÄSTERNORRLANDS LÄN</t>
        </is>
      </c>
      <c r="G442" t="inlineStr">
        <is>
          <t>HÄRNÖSAND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45786</v>
      </c>
      <c r="E443" s="1" t="n">
        <v>46309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31.8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46309</v>
      </c>
      <c r="F444" t="inlineStr">
        <is>
          <t>VÄSTERNORRLANDS LÄN</t>
        </is>
      </c>
      <c r="G444" t="inlineStr">
        <is>
          <t>HÄRNÖSAND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46309</v>
      </c>
      <c r="F445" t="inlineStr">
        <is>
          <t>VÄSTERNORRLANDS LÄN</t>
        </is>
      </c>
      <c r="G445" t="inlineStr">
        <is>
          <t>HÄRNÖSAND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45790</v>
      </c>
      <c r="E446" s="1" t="n">
        <v>46309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31.8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46309</v>
      </c>
      <c r="F447" t="inlineStr">
        <is>
          <t>VÄSTERNORRLANDS LÄN</t>
        </is>
      </c>
      <c r="G447" t="inlineStr">
        <is>
          <t>HÄRNÖSAND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46309</v>
      </c>
      <c r="F448" t="inlineStr">
        <is>
          <t>VÄSTERNORRLANDS LÄN</t>
        </is>
      </c>
      <c r="G448" t="inlineStr">
        <is>
          <t>HÄRNÖSAND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19827-2022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44694</v>
      </c>
      <c r="E449" s="1" t="n">
        <v>46309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45617</v>
      </c>
      <c r="E450" s="1" t="n">
        <v>46309</v>
      </c>
      <c r="F450" t="inlineStr">
        <is>
          <t>VÄSTERNORRLANDS LÄN</t>
        </is>
      </c>
      <c r="G450" t="inlineStr">
        <is>
          <t>HÄRNÖSAND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45762</v>
      </c>
      <c r="E451" s="1" t="n">
        <v>46309</v>
      </c>
      <c r="F451" t="inlineStr">
        <is>
          <t>VÄSTERNORRLANDS LÄN</t>
        </is>
      </c>
      <c r="G451" t="inlineStr">
        <is>
          <t>HÄRNÖSAND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46309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46309</v>
      </c>
      <c r="F453" t="inlineStr">
        <is>
          <t>VÄSTERNORRLANDS LÄN</t>
        </is>
      </c>
      <c r="G453" t="inlineStr">
        <is>
          <t>HÄRNÖSAND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9727-2022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44617</v>
      </c>
      <c r="E454" s="1" t="n">
        <v>46309</v>
      </c>
      <c r="F454" t="inlineStr">
        <is>
          <t>VÄSTERNORRLANDS LÄN</t>
        </is>
      </c>
      <c r="G454" t="inlineStr">
        <is>
          <t>HÄRNÖSAND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46309</v>
      </c>
      <c r="F455" t="inlineStr">
        <is>
          <t>VÄSTERNORRLANDS LÄN</t>
        </is>
      </c>
      <c r="G455" t="inlineStr">
        <is>
          <t>HÄRNÖSAND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45428</v>
      </c>
      <c r="E456" s="1" t="n">
        <v>46309</v>
      </c>
      <c r="F456" t="inlineStr">
        <is>
          <t>VÄSTERNORRLANDS LÄN</t>
        </is>
      </c>
      <c r="G456" t="inlineStr">
        <is>
          <t>HÄRNÖSAND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39044-2023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46309</v>
      </c>
      <c r="F457" t="inlineStr">
        <is>
          <t>VÄSTERNORRLANDS LÄN</t>
        </is>
      </c>
      <c r="G457" t="inlineStr">
        <is>
          <t>HÄRNÖSAND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45638</v>
      </c>
      <c r="E458" s="1" t="n">
        <v>46309</v>
      </c>
      <c r="F458" t="inlineStr">
        <is>
          <t>VÄSTERNORRLANDS LÄN</t>
        </is>
      </c>
      <c r="G458" t="inlineStr">
        <is>
          <t>HÄRNÖSAND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45152</v>
      </c>
      <c r="E459" s="1" t="n">
        <v>46309</v>
      </c>
      <c r="F459" t="inlineStr">
        <is>
          <t>VÄSTERNORRLANDS LÄN</t>
        </is>
      </c>
      <c r="G459" t="inlineStr">
        <is>
          <t>HÄRNÖSAND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46309</v>
      </c>
      <c r="F460" t="inlineStr">
        <is>
          <t>VÄSTERNORRLANDS LÄN</t>
        </is>
      </c>
      <c r="G460" t="inlineStr">
        <is>
          <t>HÄRNÖSAND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46309</v>
      </c>
      <c r="F461" t="inlineStr">
        <is>
          <t>VÄSTERNORRLANDS LÄN</t>
        </is>
      </c>
      <c r="G461" t="inlineStr">
        <is>
          <t>HÄRNÖSAND</t>
        </is>
      </c>
      <c r="I461" t="n">
        <v>13.8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46309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46165</v>
      </c>
      <c r="E463" s="1" t="n">
        <v>46309</v>
      </c>
      <c r="F463" t="inlineStr">
        <is>
          <t>VÄSTERNORRLANDS LÄN</t>
        </is>
      </c>
      <c r="G463" t="inlineStr">
        <is>
          <t>HÄRNÖSAND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46309</v>
      </c>
      <c r="F464" t="inlineStr">
        <is>
          <t>VÄSTERNORRLANDS LÄN</t>
        </is>
      </c>
      <c r="G464" t="inlineStr">
        <is>
          <t>HÄRNÖSAND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45910</v>
      </c>
      <c r="E465" s="1" t="n">
        <v>46309</v>
      </c>
      <c r="F465" t="inlineStr">
        <is>
          <t>VÄSTERNORRLANDS LÄN</t>
        </is>
      </c>
      <c r="G465" t="inlineStr">
        <is>
          <t>HÄRNÖSAND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46309</v>
      </c>
      <c r="F466" t="inlineStr">
        <is>
          <t>VÄSTERNORRLANDS LÄN</t>
        </is>
      </c>
      <c r="G466" t="inlineStr">
        <is>
          <t>HÄRNÖSAND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46309</v>
      </c>
      <c r="F467" t="inlineStr">
        <is>
          <t>VÄSTERNORRLANDS LÄN</t>
        </is>
      </c>
      <c r="G467" t="inlineStr">
        <is>
          <t>HÄRNÖSAND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21471-2022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44706</v>
      </c>
      <c r="E468" s="1" t="n">
        <v>46309</v>
      </c>
      <c r="F468" t="inlineStr">
        <is>
          <t>VÄSTERNORRLANDS LÄN</t>
        </is>
      </c>
      <c r="G468" t="inlineStr">
        <is>
          <t>HÄRNÖSAND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44728</v>
      </c>
      <c r="E469" s="1" t="n">
        <v>46309</v>
      </c>
      <c r="F469" t="inlineStr">
        <is>
          <t>VÄSTERNORRLANDS LÄN</t>
        </is>
      </c>
      <c r="G469" t="inlineStr">
        <is>
          <t>HÄRNÖSAND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46309</v>
      </c>
      <c r="F470" t="inlineStr">
        <is>
          <t>VÄSTERNORRLANDS LÄN</t>
        </is>
      </c>
      <c r="G470" t="inlineStr">
        <is>
          <t>HÄRNÖSAND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46309</v>
      </c>
      <c r="F471" t="inlineStr">
        <is>
          <t>VÄSTERNORRLANDS LÄN</t>
        </is>
      </c>
      <c r="G471" t="inlineStr">
        <is>
          <t>HÄRNÖSAND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46309</v>
      </c>
      <c r="F472" t="inlineStr">
        <is>
          <t>VÄSTERNORRLANDS LÄN</t>
        </is>
      </c>
      <c r="G472" t="inlineStr">
        <is>
          <t>HÄRNÖSAND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46309</v>
      </c>
      <c r="F473" t="inlineStr">
        <is>
          <t>VÄSTERNORRLANDS LÄN</t>
        </is>
      </c>
      <c r="G473" t="inlineStr">
        <is>
          <t>HÄRNÖSAND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46309</v>
      </c>
      <c r="F474" t="inlineStr">
        <is>
          <t>VÄSTERNORRLANDS LÄN</t>
        </is>
      </c>
      <c r="G474" t="inlineStr">
        <is>
          <t>HÄRNÖSAND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46309</v>
      </c>
      <c r="F475" t="inlineStr">
        <is>
          <t>VÄSTERNORRLANDS LÄN</t>
        </is>
      </c>
      <c r="G475" t="inlineStr">
        <is>
          <t>HÄRNÖSAND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46309</v>
      </c>
      <c r="F476" t="inlineStr">
        <is>
          <t>VÄSTERNORRLANDS LÄN</t>
        </is>
      </c>
      <c r="G476" t="inlineStr">
        <is>
          <t>HÄRNÖSAND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46309</v>
      </c>
      <c r="F477" t="inlineStr">
        <is>
          <t>VÄSTERNORRLANDS LÄN</t>
        </is>
      </c>
      <c r="G477" t="inlineStr">
        <is>
          <t>HÄRNÖSAND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46309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46309</v>
      </c>
      <c r="F479" t="inlineStr">
        <is>
          <t>VÄSTERNORRLANDS LÄN</t>
        </is>
      </c>
      <c r="G479" t="inlineStr">
        <is>
          <t>HÄRNÖSAND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46309</v>
      </c>
      <c r="F480" t="inlineStr">
        <is>
          <t>VÄSTERNORRLANDS LÄN</t>
        </is>
      </c>
      <c r="G480" t="inlineStr">
        <is>
          <t>HÄRNÖSAND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25007-2022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44728</v>
      </c>
      <c r="E481" s="1" t="n">
        <v>46309</v>
      </c>
      <c r="F481" t="inlineStr">
        <is>
          <t>VÄSTERNORRLANDS LÄN</t>
        </is>
      </c>
      <c r="G481" t="inlineStr">
        <is>
          <t>HÄRNÖSAND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45735-2023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45189</v>
      </c>
      <c r="E482" s="1" t="n">
        <v>46309</v>
      </c>
      <c r="F482" t="inlineStr">
        <is>
          <t>VÄSTERNORRLANDS LÄN</t>
        </is>
      </c>
      <c r="G482" t="inlineStr">
        <is>
          <t>HÄRNÖSAND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46309</v>
      </c>
      <c r="F483" t="inlineStr">
        <is>
          <t>VÄSTERNORRLANDS LÄN</t>
        </is>
      </c>
      <c r="G483" t="inlineStr">
        <is>
          <t>HÄRNÖSAND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45699</v>
      </c>
      <c r="E484" s="1" t="n">
        <v>46309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46309</v>
      </c>
      <c r="F485" t="inlineStr">
        <is>
          <t>VÄSTERNORRLANDS LÄN</t>
        </is>
      </c>
      <c r="G485" t="inlineStr">
        <is>
          <t>HÄRNÖSAND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25974-2026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46309</v>
      </c>
      <c r="F486" t="inlineStr">
        <is>
          <t>VÄSTERNORRLANDS LÄN</t>
        </is>
      </c>
      <c r="G486" t="inlineStr">
        <is>
          <t>HÄRNÖSAND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46178</v>
      </c>
      <c r="E487" s="1" t="n">
        <v>46309</v>
      </c>
      <c r="F487" t="inlineStr">
        <is>
          <t>VÄSTERNORRLANDS LÄN</t>
        </is>
      </c>
      <c r="G487" t="inlineStr">
        <is>
          <t>HÄRNÖSAND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44726</v>
      </c>
      <c r="E488" s="1" t="n">
        <v>46309</v>
      </c>
      <c r="F488" t="inlineStr">
        <is>
          <t>VÄSTERNORRLANDS LÄN</t>
        </is>
      </c>
      <c r="G488" t="inlineStr">
        <is>
          <t>HÄRNÖSAND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46309</v>
      </c>
      <c r="F489" t="inlineStr">
        <is>
          <t>VÄSTERNORRLANDS LÄN</t>
        </is>
      </c>
      <c r="G489" t="inlineStr">
        <is>
          <t>HÄRNÖSAND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46309</v>
      </c>
      <c r="F490" t="inlineStr">
        <is>
          <t>VÄSTERNORRLANDS LÄN</t>
        </is>
      </c>
      <c r="G490" t="inlineStr">
        <is>
          <t>HÄRNÖSAND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45723</v>
      </c>
      <c r="E491" s="1" t="n">
        <v>46309</v>
      </c>
      <c r="F491" t="inlineStr">
        <is>
          <t>VÄSTERNORRLANDS LÄN</t>
        </is>
      </c>
      <c r="G491" t="inlineStr">
        <is>
          <t>HÄRNÖSAND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46309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46309</v>
      </c>
      <c r="F493" t="inlineStr">
        <is>
          <t>VÄSTERNORRLANDS LÄN</t>
        </is>
      </c>
      <c r="G493" t="inlineStr">
        <is>
          <t>HÄRNÖSAND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46309</v>
      </c>
      <c r="F494" t="inlineStr">
        <is>
          <t>VÄSTERNORRLANDS LÄN</t>
        </is>
      </c>
      <c r="G494" t="inlineStr">
        <is>
          <t>HÄRNÖSAND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45800</v>
      </c>
      <c r="E495" s="1" t="n">
        <v>46309</v>
      </c>
      <c r="F495" t="inlineStr">
        <is>
          <t>VÄSTERNORRLANDS LÄN</t>
        </is>
      </c>
      <c r="G495" t="inlineStr">
        <is>
          <t>HÄRNÖSAND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46309</v>
      </c>
      <c r="F496" t="inlineStr">
        <is>
          <t>VÄSTERNORRLANDS LÄN</t>
        </is>
      </c>
      <c r="G496" t="inlineStr">
        <is>
          <t>HÄRNÖSAND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46309</v>
      </c>
      <c r="F497" t="inlineStr">
        <is>
          <t>VÄSTERNORRLANDS LÄN</t>
        </is>
      </c>
      <c r="G497" t="inlineStr">
        <is>
          <t>HÄRNÖSAND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46309</v>
      </c>
      <c r="F498" t="inlineStr">
        <is>
          <t>VÄSTERNORRLANDS LÄN</t>
        </is>
      </c>
      <c r="G498" t="inlineStr">
        <is>
          <t>HÄRNÖSAND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46309</v>
      </c>
      <c r="F499" t="inlineStr">
        <is>
          <t>VÄSTERNORRLANDS LÄN</t>
        </is>
      </c>
      <c r="G499" t="inlineStr">
        <is>
          <t>HÄRNÖSAND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45350</v>
      </c>
      <c r="E500" s="1" t="n">
        <v>46309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45293</v>
      </c>
      <c r="E501" s="1" t="n">
        <v>46309</v>
      </c>
      <c r="F501" t="inlineStr">
        <is>
          <t>VÄSTERNORRLANDS LÄN</t>
        </is>
      </c>
      <c r="G501" t="inlineStr">
        <is>
          <t>HÄRNÖSAND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45320</v>
      </c>
      <c r="E502" s="1" t="n">
        <v>46309</v>
      </c>
      <c r="F502" t="inlineStr">
        <is>
          <t>VÄSTERNORRLANDS LÄN</t>
        </is>
      </c>
      <c r="G502" t="inlineStr">
        <is>
          <t>HÄRNÖSAND</t>
        </is>
      </c>
      <c r="I502" t="n">
        <v>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46189</v>
      </c>
      <c r="E503" s="1" t="n">
        <v>46309</v>
      </c>
      <c r="F503" t="inlineStr">
        <is>
          <t>VÄSTERNORRLANDS LÄN</t>
        </is>
      </c>
      <c r="G503" t="inlineStr">
        <is>
          <t>HÄRNÖSAND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46309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55276-2023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45231</v>
      </c>
      <c r="E505" s="1" t="n">
        <v>46309</v>
      </c>
      <c r="F505" t="inlineStr">
        <is>
          <t>VÄSTERNORRLANDS LÄN</t>
        </is>
      </c>
      <c r="G505" t="inlineStr">
        <is>
          <t>HÄRNÖSAND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44747</v>
      </c>
      <c r="E506" s="1" t="n">
        <v>46309</v>
      </c>
      <c r="F506" t="inlineStr">
        <is>
          <t>VÄSTERNORRLANDS LÄN</t>
        </is>
      </c>
      <c r="G506" t="inlineStr">
        <is>
          <t>HÄRNÖSAND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46309</v>
      </c>
      <c r="F507" t="inlineStr">
        <is>
          <t>VÄSTERNORRLANDS LÄN</t>
        </is>
      </c>
      <c r="G507" t="inlineStr">
        <is>
          <t>HÄRNÖSAND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46190</v>
      </c>
      <c r="E508" s="1" t="n">
        <v>46309</v>
      </c>
      <c r="F508" t="inlineStr">
        <is>
          <t>VÄSTERNORRLANDS LÄN</t>
        </is>
      </c>
      <c r="G508" t="inlineStr">
        <is>
          <t>HÄRNÖSAND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45313</v>
      </c>
      <c r="E509" s="1" t="n">
        <v>46309</v>
      </c>
      <c r="F509" t="inlineStr">
        <is>
          <t>VÄSTERNORRLANDS LÄN</t>
        </is>
      </c>
      <c r="G509" t="inlineStr">
        <is>
          <t>HÄRNÖSAND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46309</v>
      </c>
      <c r="F510" t="inlineStr">
        <is>
          <t>VÄSTERNORRLANDS LÄN</t>
        </is>
      </c>
      <c r="G510" t="inlineStr">
        <is>
          <t>HÄRNÖSAND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46309</v>
      </c>
      <c r="F511" t="inlineStr">
        <is>
          <t>VÄSTERNORRLANDS LÄN</t>
        </is>
      </c>
      <c r="G511" t="inlineStr">
        <is>
          <t>HÄRNÖSAND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46309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46309</v>
      </c>
      <c r="F513" t="inlineStr">
        <is>
          <t>VÄSTERNORRLANDS LÄN</t>
        </is>
      </c>
      <c r="G513" t="inlineStr">
        <is>
          <t>HÄRNÖSAND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46309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46309</v>
      </c>
      <c r="F515" t="inlineStr">
        <is>
          <t>VÄSTERNORRLANDS LÄN</t>
        </is>
      </c>
      <c r="G515" t="inlineStr">
        <is>
          <t>HÄRNÖSAND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46309</v>
      </c>
      <c r="F516" t="inlineStr">
        <is>
          <t>VÄSTERNORRLANDS LÄN</t>
        </is>
      </c>
      <c r="G516" t="inlineStr">
        <is>
          <t>HÄRNÖSAND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47944-2022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44853</v>
      </c>
      <c r="E517" s="1" t="n">
        <v>46309</v>
      </c>
      <c r="F517" t="inlineStr">
        <is>
          <t>VÄSTERNORRLANDS LÄN</t>
        </is>
      </c>
      <c r="G517" t="inlineStr">
        <is>
          <t>HÄRNÖSAND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45749</v>
      </c>
      <c r="E518" s="1" t="n">
        <v>46309</v>
      </c>
      <c r="F518" t="inlineStr">
        <is>
          <t>VÄSTERNORRLANDS LÄN</t>
        </is>
      </c>
      <c r="G518" t="inlineStr">
        <is>
          <t>HÄRNÖSAND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45757</v>
      </c>
      <c r="E519" s="1" t="n">
        <v>46309</v>
      </c>
      <c r="F519" t="inlineStr">
        <is>
          <t>VÄSTERNORRLANDS LÄN</t>
        </is>
      </c>
      <c r="G519" t="inlineStr">
        <is>
          <t>HÄRNÖSAND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44792</v>
      </c>
      <c r="E520" s="1" t="n">
        <v>46309</v>
      </c>
      <c r="F520" t="inlineStr">
        <is>
          <t>VÄSTERNORRLANDS LÄN</t>
        </is>
      </c>
      <c r="G520" t="inlineStr">
        <is>
          <t>HÄRNÖSAND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46309</v>
      </c>
      <c r="F521" t="inlineStr">
        <is>
          <t>VÄSTERNORRLANDS LÄN</t>
        </is>
      </c>
      <c r="G521" t="inlineStr">
        <is>
          <t>HÄRNÖSAND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45496</v>
      </c>
      <c r="E522" s="1" t="n">
        <v>46309</v>
      </c>
      <c r="F522" t="inlineStr">
        <is>
          <t>VÄSTERNORRLANDS LÄN</t>
        </is>
      </c>
      <c r="G522" t="inlineStr">
        <is>
          <t>HÄRNÖSAND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45352</v>
      </c>
      <c r="E523" s="1" t="n">
        <v>46309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45091</v>
      </c>
      <c r="E524" s="1" t="n">
        <v>46309</v>
      </c>
      <c r="F524" t="inlineStr">
        <is>
          <t>VÄSTERNORRLANDS LÄN</t>
        </is>
      </c>
      <c r="G524" t="inlineStr">
        <is>
          <t>HÄRNÖSAND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64377-2023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45280</v>
      </c>
      <c r="E525" s="1" t="n">
        <v>46309</v>
      </c>
      <c r="F525" t="inlineStr">
        <is>
          <t>VÄSTERNORRLANDS LÄN</t>
        </is>
      </c>
      <c r="G525" t="inlineStr">
        <is>
          <t>HÄRNÖSAND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46309</v>
      </c>
      <c r="F526" t="inlineStr">
        <is>
          <t>VÄSTERNORRLANDS LÄN</t>
        </is>
      </c>
      <c r="G526" t="inlineStr">
        <is>
          <t>HÄRNÖSAND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46309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52987-2022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44875</v>
      </c>
      <c r="E528" s="1" t="n">
        <v>46309</v>
      </c>
      <c r="F528" t="inlineStr">
        <is>
          <t>VÄSTERNORRLANDS LÄN</t>
        </is>
      </c>
      <c r="G528" t="inlineStr">
        <is>
          <t>HÄRNÖSAND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45482</v>
      </c>
      <c r="E529" s="1" t="n">
        <v>46309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29714-2026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46309</v>
      </c>
      <c r="F530" t="inlineStr">
        <is>
          <t>VÄSTERNORRLANDS LÄN</t>
        </is>
      </c>
      <c r="G530" t="inlineStr">
        <is>
          <t>HÄRNÖSAND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46309</v>
      </c>
      <c r="F531" t="inlineStr">
        <is>
          <t>VÄSTERNORRLANDS LÄN</t>
        </is>
      </c>
      <c r="G531" t="inlineStr">
        <is>
          <t>HÄRNÖSAND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46309</v>
      </c>
      <c r="F532" t="inlineStr">
        <is>
          <t>VÄSTERNORRLANDS LÄN</t>
        </is>
      </c>
      <c r="G532" t="inlineStr">
        <is>
          <t>HÄRNÖSAND</t>
        </is>
      </c>
      <c r="I532" t="n">
        <v>14.6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30762-2024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45496</v>
      </c>
      <c r="E533" s="1" t="n">
        <v>46309</v>
      </c>
      <c r="F533" t="inlineStr">
        <is>
          <t>VÄSTERNORRLANDS LÄN</t>
        </is>
      </c>
      <c r="G533" t="inlineStr">
        <is>
          <t>HÄRNÖSAND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46309</v>
      </c>
      <c r="F534" t="inlineStr">
        <is>
          <t>VÄSTERNORRLANDS LÄN</t>
        </is>
      </c>
      <c r="G534" t="inlineStr">
        <is>
          <t>HÄRNÖSAND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46309</v>
      </c>
      <c r="F535" t="inlineStr">
        <is>
          <t>VÄSTERNORRLANDS LÄN</t>
        </is>
      </c>
      <c r="G535" t="inlineStr">
        <is>
          <t>HÄRNÖSAND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44957</v>
      </c>
      <c r="E536" s="1" t="n">
        <v>46309</v>
      </c>
      <c r="F536" t="inlineStr">
        <is>
          <t>VÄSTERNORRLANDS LÄN</t>
        </is>
      </c>
      <c r="G536" t="inlineStr">
        <is>
          <t>HÄRNÖSAND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46309</v>
      </c>
      <c r="F537" t="inlineStr">
        <is>
          <t>VÄSTERNORRLANDS LÄN</t>
        </is>
      </c>
      <c r="G537" t="inlineStr">
        <is>
          <t>HÄRNÖSAND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46309</v>
      </c>
      <c r="F538" t="inlineStr">
        <is>
          <t>VÄSTERNORRLANDS LÄN</t>
        </is>
      </c>
      <c r="G538" t="inlineStr">
        <is>
          <t>HÄRNÖSAND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25746-2025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46309</v>
      </c>
      <c r="F539" t="inlineStr">
        <is>
          <t>VÄSTERNORRLANDS LÄN</t>
        </is>
      </c>
      <c r="G539" t="inlineStr">
        <is>
          <t>HÄRNÖSAND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46309</v>
      </c>
      <c r="F540" t="inlineStr">
        <is>
          <t>VÄSTERNORRLANDS LÄN</t>
        </is>
      </c>
      <c r="G540" t="inlineStr">
        <is>
          <t>HÄRNÖSAND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59034-2022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44903</v>
      </c>
      <c r="E541" s="1" t="n">
        <v>46309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46309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46309</v>
      </c>
      <c r="F543" t="inlineStr">
        <is>
          <t>VÄSTERNORRLANDS LÄN</t>
        </is>
      </c>
      <c r="G543" t="inlineStr">
        <is>
          <t>HÄRNÖSAND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46309</v>
      </c>
      <c r="F544" t="inlineStr">
        <is>
          <t>VÄSTERNORRLANDS LÄN</t>
        </is>
      </c>
      <c r="G544" t="inlineStr">
        <is>
          <t>HÄRNÖSAND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46309</v>
      </c>
      <c r="F545" t="inlineStr">
        <is>
          <t>VÄSTERNORRLANDS LÄN</t>
        </is>
      </c>
      <c r="G545" t="inlineStr">
        <is>
          <t>HÄRNÖSAND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46309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46211</v>
      </c>
      <c r="E547" s="1" t="n">
        <v>46309</v>
      </c>
      <c r="F547" t="inlineStr">
        <is>
          <t>VÄSTERNORRLANDS LÄN</t>
        </is>
      </c>
      <c r="G547" t="inlineStr">
        <is>
          <t>HÄRNÖSAND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45376</v>
      </c>
      <c r="E548" s="1" t="n">
        <v>46309</v>
      </c>
      <c r="F548" t="inlineStr">
        <is>
          <t>VÄSTERNORRLANDS LÄN</t>
        </is>
      </c>
      <c r="G548" t="inlineStr">
        <is>
          <t>HÄRNÖSAND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46309</v>
      </c>
      <c r="F549" t="inlineStr">
        <is>
          <t>VÄSTERNORRLANDS LÄN</t>
        </is>
      </c>
      <c r="G549" t="inlineStr">
        <is>
          <t>HÄRNÖSAND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46213</v>
      </c>
      <c r="E550" s="1" t="n">
        <v>46309</v>
      </c>
      <c r="F550" t="inlineStr">
        <is>
          <t>VÄSTERNORRLANDS LÄN</t>
        </is>
      </c>
      <c r="G550" t="inlineStr">
        <is>
          <t>HÄRNÖSAND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45348</v>
      </c>
      <c r="E551" s="1" t="n">
        <v>46309</v>
      </c>
      <c r="F551" t="inlineStr">
        <is>
          <t>VÄSTERNORRLANDS LÄN</t>
        </is>
      </c>
      <c r="G551" t="inlineStr">
        <is>
          <t>HÄRNÖSAND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46309</v>
      </c>
      <c r="F552" t="inlineStr">
        <is>
          <t>VÄSTERNORRLANDS LÄN</t>
        </is>
      </c>
      <c r="G552" t="inlineStr">
        <is>
          <t>HÄRNÖSAND</t>
        </is>
      </c>
      <c r="I552" t="n">
        <v>13.6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46215</v>
      </c>
      <c r="E553" s="1" t="n">
        <v>46309</v>
      </c>
      <c r="F553" t="inlineStr">
        <is>
          <t>VÄSTERNORRLANDS LÄN</t>
        </is>
      </c>
      <c r="G553" t="inlineStr">
        <is>
          <t>HÄRNÖSAND</t>
        </is>
      </c>
      <c r="I553" t="n">
        <v>12.7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46215</v>
      </c>
      <c r="E554" s="1" t="n">
        <v>46309</v>
      </c>
      <c r="F554" t="inlineStr">
        <is>
          <t>VÄSTERNORRLANDS LÄN</t>
        </is>
      </c>
      <c r="G554" t="inlineStr">
        <is>
          <t>HÄRNÖSAND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56165-2022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44889</v>
      </c>
      <c r="E555" s="1" t="n">
        <v>46309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65224-2023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45289</v>
      </c>
      <c r="E556" s="1" t="n">
        <v>46309</v>
      </c>
      <c r="F556" t="inlineStr">
        <is>
          <t>VÄSTERNORRLANDS LÄN</t>
        </is>
      </c>
      <c r="G556" t="inlineStr">
        <is>
          <t>HÄRNÖSAND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45687-2022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44845</v>
      </c>
      <c r="E557" s="1" t="n">
        <v>46309</v>
      </c>
      <c r="F557" t="inlineStr">
        <is>
          <t>VÄSTERNORRLANDS LÄN</t>
        </is>
      </c>
      <c r="G557" t="inlineStr">
        <is>
          <t>HÄRNÖSAND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46309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Kyrkan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46219</v>
      </c>
      <c r="E559" s="1" t="n">
        <v>46309</v>
      </c>
      <c r="F559" t="inlineStr">
        <is>
          <t>VÄSTERNORRLANDS LÄN</t>
        </is>
      </c>
      <c r="G559" t="inlineStr">
        <is>
          <t>HÄRNÖSAND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46219</v>
      </c>
      <c r="E560" s="1" t="n">
        <v>46309</v>
      </c>
      <c r="F560" t="inlineStr">
        <is>
          <t>VÄSTERNORRLANDS LÄN</t>
        </is>
      </c>
      <c r="G560" t="inlineStr">
        <is>
          <t>HÄRNÖSAND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46309</v>
      </c>
      <c r="F561" t="inlineStr">
        <is>
          <t>VÄSTERNORRLANDS LÄN</t>
        </is>
      </c>
      <c r="G561" t="inlineStr">
        <is>
          <t>HÄRNÖSAND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46508-2023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45194</v>
      </c>
      <c r="E562" s="1" t="n">
        <v>46309</v>
      </c>
      <c r="F562" t="inlineStr">
        <is>
          <t>VÄSTERNORRLANDS LÄN</t>
        </is>
      </c>
      <c r="G562" t="inlineStr">
        <is>
          <t>HÄRNÖSAND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65222-2023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45289</v>
      </c>
      <c r="E563" s="1" t="n">
        <v>46309</v>
      </c>
      <c r="F563" t="inlineStr">
        <is>
          <t>VÄSTERNORRLANDS LÄN</t>
        </is>
      </c>
      <c r="G563" t="inlineStr">
        <is>
          <t>HÄRNÖSAND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44580</v>
      </c>
      <c r="E564" s="1" t="n">
        <v>46309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23186-2026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46309</v>
      </c>
      <c r="F565" t="inlineStr">
        <is>
          <t>VÄSTERNORRLANDS LÄN</t>
        </is>
      </c>
      <c r="G565" t="inlineStr">
        <is>
          <t>HÄRNÖSAND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46309</v>
      </c>
      <c r="F566" t="inlineStr">
        <is>
          <t>VÄSTERNORRLANDS LÄN</t>
        </is>
      </c>
      <c r="G566" t="inlineStr">
        <is>
          <t>HÄRNÖSAND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46309</v>
      </c>
      <c r="F567" t="inlineStr">
        <is>
          <t>VÄSTERNORRLANDS LÄN</t>
        </is>
      </c>
      <c r="G567" t="inlineStr">
        <is>
          <t>HÄRNÖSAND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46213</v>
      </c>
      <c r="E568" s="1" t="n">
        <v>46309</v>
      </c>
      <c r="F568" t="inlineStr">
        <is>
          <t>VÄSTERNORRLANDS LÄN</t>
        </is>
      </c>
      <c r="G568" t="inlineStr">
        <is>
          <t>HÄRNÖSAND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13611-2023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45006</v>
      </c>
      <c r="E569" s="1" t="n">
        <v>46309</v>
      </c>
      <c r="F569" t="inlineStr">
        <is>
          <t>VÄSTERNORRLANDS LÄN</t>
        </is>
      </c>
      <c r="G569" t="inlineStr">
        <is>
          <t>HÄRNÖSAND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45300</v>
      </c>
      <c r="E570" s="1" t="n">
        <v>46309</v>
      </c>
      <c r="F570" t="inlineStr">
        <is>
          <t>VÄSTERNORRLANDS LÄN</t>
        </is>
      </c>
      <c r="G570" t="inlineStr">
        <is>
          <t>HÄRNÖSAND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17431-2023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45035</v>
      </c>
      <c r="E571" s="1" t="n">
        <v>46309</v>
      </c>
      <c r="F571" t="inlineStr">
        <is>
          <t>VÄSTERNORRLANDS LÄN</t>
        </is>
      </c>
      <c r="G571" t="inlineStr">
        <is>
          <t>HÄRNÖSAND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44987</v>
      </c>
      <c r="E572" s="1" t="n">
        <v>46309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52237-2022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44869</v>
      </c>
      <c r="E573" s="1" t="n">
        <v>46309</v>
      </c>
      <c r="F573" t="inlineStr">
        <is>
          <t>VÄSTERNORRLANDS LÄN</t>
        </is>
      </c>
      <c r="G573" t="inlineStr">
        <is>
          <t>HÄRNÖSAND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14018-2024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46309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46274</v>
      </c>
      <c r="E575" s="1" t="n">
        <v>46309</v>
      </c>
      <c r="F575" t="inlineStr">
        <is>
          <t>VÄSTERNORRLANDS LÄN</t>
        </is>
      </c>
      <c r="G575" t="inlineStr">
        <is>
          <t>HÄRNÖSAND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45000</v>
      </c>
      <c r="E576" s="1" t="n">
        <v>46309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45000</v>
      </c>
      <c r="E577" s="1" t="n">
        <v>46309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58869-2023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45250</v>
      </c>
      <c r="E578" s="1" t="n">
        <v>46309</v>
      </c>
      <c r="F578" t="inlineStr">
        <is>
          <t>VÄSTERNORRLANDS LÄN</t>
        </is>
      </c>
      <c r="G578" t="inlineStr">
        <is>
          <t>HÄRNÖSAND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45044</v>
      </c>
      <c r="E579" s="1" t="n">
        <v>46309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34226-2023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45126</v>
      </c>
      <c r="E580" s="1" t="n">
        <v>46309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46232</v>
      </c>
      <c r="E581" s="1" t="n">
        <v>46309</v>
      </c>
      <c r="F581" t="inlineStr">
        <is>
          <t>VÄSTERNORRLANDS LÄN</t>
        </is>
      </c>
      <c r="G581" t="inlineStr">
        <is>
          <t>HÄRNÖSAND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46275</v>
      </c>
      <c r="E582" s="1" t="n">
        <v>46309</v>
      </c>
      <c r="F582" t="inlineStr">
        <is>
          <t>VÄSTERNORRLANDS LÄN</t>
        </is>
      </c>
      <c r="G582" t="inlineStr">
        <is>
          <t>HÄRNÖSAND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45762</v>
      </c>
      <c r="E583" s="1" t="n">
        <v>46309</v>
      </c>
      <c r="F583" t="inlineStr">
        <is>
          <t>VÄSTERNORRLANDS LÄN</t>
        </is>
      </c>
      <c r="G583" t="inlineStr">
        <is>
          <t>HÄRNÖSAND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43248-2023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46309</v>
      </c>
      <c r="F584" t="inlineStr">
        <is>
          <t>VÄSTERNORRLANDS LÄN</t>
        </is>
      </c>
      <c r="G584" t="inlineStr">
        <is>
          <t>HÄRNÖSAND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45580</v>
      </c>
      <c r="E585" s="1" t="n">
        <v>46309</v>
      </c>
      <c r="F585" t="inlineStr">
        <is>
          <t>VÄSTERNORRLANDS LÄN</t>
        </is>
      </c>
      <c r="G585" t="inlineStr">
        <is>
          <t>HÄRNÖSAND</t>
        </is>
      </c>
      <c r="I585" t="n">
        <v>14.2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32293-2026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46237</v>
      </c>
      <c r="E586" s="1" t="n">
        <v>46309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35785-2023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46309</v>
      </c>
      <c r="F587" t="inlineStr">
        <is>
          <t>VÄSTERNORRLANDS LÄN</t>
        </is>
      </c>
      <c r="G587" t="inlineStr">
        <is>
          <t>HÄRNÖSAND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46282</v>
      </c>
      <c r="E588" s="1" t="n">
        <v>46309</v>
      </c>
      <c r="F588" t="inlineStr">
        <is>
          <t>VÄSTERNORRLANDS LÄN</t>
        </is>
      </c>
      <c r="G588" t="inlineStr">
        <is>
          <t>HÄRNÖSAND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46309</v>
      </c>
      <c r="F589" t="inlineStr">
        <is>
          <t>VÄSTERNORRLANDS LÄN</t>
        </is>
      </c>
      <c r="G589" t="inlineStr">
        <is>
          <t>HÄRNÖSAND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32485-2026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46239</v>
      </c>
      <c r="E590" s="1" t="n">
        <v>46309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46309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46309</v>
      </c>
      <c r="F592" t="inlineStr">
        <is>
          <t>VÄSTERNORRLANDS LÄN</t>
        </is>
      </c>
      <c r="G592" t="inlineStr">
        <is>
          <t>HÄRNÖSAND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29255-2024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45482</v>
      </c>
      <c r="E593" s="1" t="n">
        <v>46309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45769</v>
      </c>
      <c r="E594" s="1" t="n">
        <v>46309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45646</v>
      </c>
      <c r="E595" s="1" t="n">
        <v>46309</v>
      </c>
      <c r="F595" t="inlineStr">
        <is>
          <t>VÄSTERNORRLANDS LÄN</t>
        </is>
      </c>
      <c r="G595" t="inlineStr">
        <is>
          <t>HÄRNÖSAND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45107</v>
      </c>
      <c r="E596" s="1" t="n">
        <v>46309</v>
      </c>
      <c r="F596" t="inlineStr">
        <is>
          <t>VÄSTERNORRLANDS LÄN</t>
        </is>
      </c>
      <c r="G596" t="inlineStr">
        <is>
          <t>HÄRNÖSAND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38849-2026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46286</v>
      </c>
      <c r="E597" s="1" t="n">
        <v>46309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46309</v>
      </c>
      <c r="F598" t="inlineStr">
        <is>
          <t>VÄSTERNORRLANDS LÄN</t>
        </is>
      </c>
      <c r="G598" t="inlineStr">
        <is>
          <t>HÄRNÖSAND</t>
        </is>
      </c>
      <c r="I598" t="n">
        <v>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38854-2026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46286</v>
      </c>
      <c r="E599" s="1" t="n">
        <v>46309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46309</v>
      </c>
      <c r="F600" t="inlineStr">
        <is>
          <t>VÄSTERNORRLANDS LÄN</t>
        </is>
      </c>
      <c r="G600" t="inlineStr">
        <is>
          <t>HÄRNÖSAND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39384-2026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46309</v>
      </c>
      <c r="F601" t="inlineStr">
        <is>
          <t>VÄSTERNORRLANDS LÄN</t>
        </is>
      </c>
      <c r="G601" t="inlineStr">
        <is>
          <t>HÄRNÖSAND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46309</v>
      </c>
      <c r="F602" t="inlineStr">
        <is>
          <t>VÄSTERNORRLANDS LÄN</t>
        </is>
      </c>
      <c r="G602" t="inlineStr">
        <is>
          <t>HÄRNÖSAND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45723</v>
      </c>
      <c r="E603" s="1" t="n">
        <v>46309</v>
      </c>
      <c r="F603" t="inlineStr">
        <is>
          <t>VÄSTERNORRLANDS LÄN</t>
        </is>
      </c>
      <c r="G603" t="inlineStr">
        <is>
          <t>HÄRNÖSAND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39390-2026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46309</v>
      </c>
      <c r="F604" t="inlineStr">
        <is>
          <t>VÄSTERNORRLANDS LÄN</t>
        </is>
      </c>
      <c r="G604" t="inlineStr">
        <is>
          <t>HÄRNÖSAND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29104-2023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46309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46309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Kyrkan</t>
        </is>
      </c>
      <c r="I606" t="n">
        <v>24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38999-2026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46287</v>
      </c>
      <c r="E607" s="1" t="n">
        <v>46309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48047-2022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44855</v>
      </c>
      <c r="E608" s="1" t="n">
        <v>46309</v>
      </c>
      <c r="F608" t="inlineStr">
        <is>
          <t>VÄSTERNORRLANDS LÄN</t>
        </is>
      </c>
      <c r="G608" t="inlineStr">
        <is>
          <t>HÄRNÖSAND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57154-2024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45629</v>
      </c>
      <c r="E609" s="1" t="n">
        <v>46309</v>
      </c>
      <c r="F609" t="inlineStr">
        <is>
          <t>VÄSTERNORRLANDS LÄN</t>
        </is>
      </c>
      <c r="G609" t="inlineStr">
        <is>
          <t>HÄRNÖSAND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46189</v>
      </c>
      <c r="E610" s="1" t="n">
        <v>46309</v>
      </c>
      <c r="F610" t="inlineStr">
        <is>
          <t>VÄSTERNORRLANDS LÄN</t>
        </is>
      </c>
      <c r="G610" t="inlineStr">
        <is>
          <t>HÄRNÖSAND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39395-2026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46288</v>
      </c>
      <c r="E611" s="1" t="n">
        <v>46309</v>
      </c>
      <c r="F611" t="inlineStr">
        <is>
          <t>VÄSTERNORRLANDS LÄN</t>
        </is>
      </c>
      <c r="G611" t="inlineStr">
        <is>
          <t>HÄRNÖSAND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4092-2024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45323</v>
      </c>
      <c r="E612" s="1" t="n">
        <v>46309</v>
      </c>
      <c r="F612" t="inlineStr">
        <is>
          <t>VÄSTERNORRLANDS LÄN</t>
        </is>
      </c>
      <c r="G612" t="inlineStr">
        <is>
          <t>HÄRNÖSAND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45500-2024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45578</v>
      </c>
      <c r="E613" s="1" t="n">
        <v>46309</v>
      </c>
      <c r="F613" t="inlineStr">
        <is>
          <t>VÄSTERNORRLANDS LÄN</t>
        </is>
      </c>
      <c r="G613" t="inlineStr">
        <is>
          <t>HÄRNÖSAND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45578</v>
      </c>
      <c r="E614" s="1" t="n">
        <v>46309</v>
      </c>
      <c r="F614" t="inlineStr">
        <is>
          <t>VÄSTERNORRLANDS LÄN</t>
        </is>
      </c>
      <c r="G614" t="inlineStr">
        <is>
          <t>HÄRNÖSAND</t>
        </is>
      </c>
      <c r="I614" t="n">
        <v>10.3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44951</v>
      </c>
      <c r="E615" s="1" t="n">
        <v>46309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35387-2024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45531</v>
      </c>
      <c r="E616" s="1" t="n">
        <v>46309</v>
      </c>
      <c r="F616" t="inlineStr">
        <is>
          <t>VÄSTERNORRLANDS LÄN</t>
        </is>
      </c>
      <c r="G616" t="inlineStr">
        <is>
          <t>HÄRNÖSAND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32418-2024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45512</v>
      </c>
      <c r="E617" s="1" t="n">
        <v>46309</v>
      </c>
      <c r="F617" t="inlineStr">
        <is>
          <t>VÄSTERNORRLANDS LÄN</t>
        </is>
      </c>
      <c r="G617" t="inlineStr">
        <is>
          <t>HÄRNÖSAND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51001-2022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44867</v>
      </c>
      <c r="E618" s="1" t="n">
        <v>46309</v>
      </c>
      <c r="F618" t="inlineStr">
        <is>
          <t>VÄSTERNORRLANDS LÄN</t>
        </is>
      </c>
      <c r="G618" t="inlineStr">
        <is>
          <t>HÄRNÖSAND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12129-2025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45729</v>
      </c>
      <c r="E619" s="1" t="n">
        <v>46309</v>
      </c>
      <c r="F619" t="inlineStr">
        <is>
          <t>VÄSTERNORRLANDS LÄN</t>
        </is>
      </c>
      <c r="G619" t="inlineStr">
        <is>
          <t>HÄRNÖSAND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11903-2024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45376</v>
      </c>
      <c r="E620" s="1" t="n">
        <v>46309</v>
      </c>
      <c r="F620" t="inlineStr">
        <is>
          <t>VÄSTERNORRLANDS LÄN</t>
        </is>
      </c>
      <c r="G620" t="inlineStr">
        <is>
          <t>HÄRNÖSAND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46248</v>
      </c>
      <c r="E621" s="1" t="n">
        <v>46309</v>
      </c>
      <c r="F621" t="inlineStr">
        <is>
          <t>VÄSTERNORRLANDS LÄN</t>
        </is>
      </c>
      <c r="G621" t="inlineStr">
        <is>
          <t>HÄRNÖSAND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45730</v>
      </c>
      <c r="E622" s="1" t="n">
        <v>46309</v>
      </c>
      <c r="F622" t="inlineStr">
        <is>
          <t>VÄSTERNORRLANDS LÄN</t>
        </is>
      </c>
      <c r="G622" t="inlineStr">
        <is>
          <t>HÄRNÖSAND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40797-2026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46296</v>
      </c>
      <c r="E623" s="1" t="n">
        <v>46309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4147-2025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45685</v>
      </c>
      <c r="E624" s="1" t="n">
        <v>46309</v>
      </c>
      <c r="F624" t="inlineStr">
        <is>
          <t>VÄSTERNORRLANDS LÄN</t>
        </is>
      </c>
      <c r="G624" t="inlineStr">
        <is>
          <t>HÄRNÖSAND</t>
        </is>
      </c>
      <c r="I624" t="n">
        <v>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45776</v>
      </c>
      <c r="E625" s="1" t="n">
        <v>46309</v>
      </c>
      <c r="F625" t="inlineStr">
        <is>
          <t>VÄSTERNORRLANDS LÄN</t>
        </is>
      </c>
      <c r="G625" t="inlineStr">
        <is>
          <t>HÄRNÖSAND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34028-2026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46252</v>
      </c>
      <c r="E626" s="1" t="n">
        <v>46309</v>
      </c>
      <c r="F626" t="inlineStr">
        <is>
          <t>VÄSTERNORRLANDS LÄN</t>
        </is>
      </c>
      <c r="G626" t="inlineStr">
        <is>
          <t>HÄRNÖSAND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40832-2026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46296</v>
      </c>
      <c r="E627" s="1" t="n">
        <v>46309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40833-2026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46296</v>
      </c>
      <c r="E628" s="1" t="n">
        <v>46309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46309</v>
      </c>
      <c r="F629" t="inlineStr">
        <is>
          <t>VÄSTERNORRLANDS LÄN</t>
        </is>
      </c>
      <c r="G629" t="inlineStr">
        <is>
          <t>HÄRNÖSAND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40816-2026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46296</v>
      </c>
      <c r="E630" s="1" t="n">
        <v>46309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46309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32.1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21480-2025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46309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45562</v>
      </c>
      <c r="E633" s="1" t="n">
        <v>46309</v>
      </c>
      <c r="F633" t="inlineStr">
        <is>
          <t>VÄSTERNORRLANDS LÄN</t>
        </is>
      </c>
      <c r="G633" t="inlineStr">
        <is>
          <t>HÄRNÖSAND</t>
        </is>
      </c>
      <c r="I633" t="n">
        <v>15.6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46297</v>
      </c>
      <c r="E634" s="1" t="n">
        <v>46309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Kyrkan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45502-2024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45578</v>
      </c>
      <c r="E635" s="1" t="n">
        <v>46309</v>
      </c>
      <c r="F635" t="inlineStr">
        <is>
          <t>VÄSTERNORRLANDS LÄN</t>
        </is>
      </c>
      <c r="G635" t="inlineStr">
        <is>
          <t>HÄRNÖSAND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33747-2026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46309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46297</v>
      </c>
      <c r="E637" s="1" t="n">
        <v>46309</v>
      </c>
      <c r="F637" t="inlineStr">
        <is>
          <t>VÄSTERNORRLANDS LÄN</t>
        </is>
      </c>
      <c r="G637" t="inlineStr">
        <is>
          <t>HÄRNÖSAND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39369-2026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46288</v>
      </c>
      <c r="E638" s="1" t="n">
        <v>46309</v>
      </c>
      <c r="F638" t="inlineStr">
        <is>
          <t>VÄSTERNORRLANDS LÄN</t>
        </is>
      </c>
      <c r="G638" t="inlineStr">
        <is>
          <t>HÄRNÖSAND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41439-2026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46301</v>
      </c>
      <c r="E639" s="1" t="n">
        <v>46309</v>
      </c>
      <c r="F639" t="inlineStr">
        <is>
          <t>VÄSTERNORRLANDS LÄN</t>
        </is>
      </c>
      <c r="G639" t="inlineStr">
        <is>
          <t>HÄRNÖSAND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46258</v>
      </c>
      <c r="E640" s="1" t="n">
        <v>46309</v>
      </c>
      <c r="F640" t="inlineStr">
        <is>
          <t>VÄSTERNORRLANDS LÄN</t>
        </is>
      </c>
      <c r="G640" t="inlineStr">
        <is>
          <t>HÄRNÖSAND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41997-2026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46303</v>
      </c>
      <c r="E641" s="1" t="n">
        <v>46309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Kyrkan</t>
        </is>
      </c>
      <c r="I641" t="n">
        <v>6.7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46260</v>
      </c>
      <c r="E642" s="1" t="n">
        <v>46309</v>
      </c>
      <c r="F642" t="inlineStr">
        <is>
          <t>VÄSTERNORRLANDS LÄN</t>
        </is>
      </c>
      <c r="G642" t="inlineStr">
        <is>
          <t>HÄRNÖSAND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42116-2026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46304</v>
      </c>
      <c r="E643" s="1" t="n">
        <v>46309</v>
      </c>
      <c r="F643" t="inlineStr">
        <is>
          <t>VÄSTERNORRLANDS LÄN</t>
        </is>
      </c>
      <c r="G643" t="inlineStr">
        <is>
          <t>HÄRNÖSAND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46309</v>
      </c>
      <c r="F644" t="inlineStr">
        <is>
          <t>VÄSTERNORRLANDS LÄN</t>
        </is>
      </c>
      <c r="G644" t="inlineStr">
        <is>
          <t>HÄRNÖSAND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46309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42269-2026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46307</v>
      </c>
      <c r="E646" s="1" t="n">
        <v>46309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35563-2026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46262</v>
      </c>
      <c r="E647" s="1" t="n">
        <v>46309</v>
      </c>
      <c r="F647" t="inlineStr">
        <is>
          <t>VÄSTERNORRLANDS LÄN</t>
        </is>
      </c>
      <c r="G647" t="inlineStr">
        <is>
          <t>HÄRNÖSAND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46309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46309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46309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46309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46309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46309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46309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46309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46309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46309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2026-10-14T02:03:09Z</dcterms:created>
  <dcterms:modified xmlns:dcterms="http://purl.org/dc/terms/" xmlns:xsi="http://www.w3.org/2001/XMLSchema-instance" xsi:type="dcterms:W3CDTF">2026-10-14T02:03:10Z</dcterms:modified>
</cp:coreProperties>
</file>