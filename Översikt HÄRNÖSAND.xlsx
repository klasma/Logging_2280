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46254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46254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46254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46254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46254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46254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46254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46254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46254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46254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46254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46254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46254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34546-2025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46254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Kyrkan</t>
        </is>
      </c>
      <c r="I15" t="n">
        <v>6.9</v>
      </c>
      <c r="J15" t="n">
        <v>3</v>
      </c>
      <c r="K15" t="n">
        <v>1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17</v>
      </c>
      <c r="U15" t="n">
        <v>17</v>
      </c>
      <c r="V15" s="2" t="inlineStr">
        <is>
          <t>Garnlav
Fjällig taggsvamp s.str.
Rosenticka
Rynkskinn
Tretåig hackspett
Ullticka
Vedticka
Tjäder
Revlummer</t>
        </is>
      </c>
      <c r="W15">
        <f>HYPERLINK("https://klasma.github.io/Logging_2280/artfynd/A 34546-2025 artfynd.xlsx", "A 34546-2025")</f>
        <v/>
      </c>
      <c r="X15">
        <f>HYPERLINK("https://klasma.github.io/Logging_2280/kartor/A 34546-2025 karta.png", "A 34546-2025")</f>
        <v/>
      </c>
      <c r="Y15">
        <f>HYPERLINK("https://klasma.github.io/Logging_2280/kartor_geotiff/A 34546-2025 georefererad karta.tif", "A 34546-2025")</f>
        <v/>
      </c>
      <c r="AA15">
        <f>HYPERLINK("https://klasma.github.io/Logging_2280/klagomål/A 34546-2025 FSC-klagomål.docx", "A 34546-2025")</f>
        <v/>
      </c>
      <c r="AB15">
        <f>HYPERLINK("https://klasma.github.io/Logging_2280/klagomålsmail/A 34546-2025 FSC-klagomål mail.docx", "A 34546-2025")</f>
        <v/>
      </c>
      <c r="AC15">
        <f>HYPERLINK("https://klasma.github.io/Logging_2280/tillsyn/A 34546-2025 tillsynsbegäran.docx", "A 34546-2025")</f>
        <v/>
      </c>
      <c r="AD15">
        <f>HYPERLINK("https://klasma.github.io/Logging_2280/tillsynsmail/A 34546-2025 tillsynsbegäran mail.docx", "A 34546-2025")</f>
        <v/>
      </c>
      <c r="AE15">
        <f>HYPERLINK("https://klasma.github.io/Logging_2280/fåglar/A 34546-2025 prioriterade fågelarter.docx", "A 34546-2025")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46254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46254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46254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46254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46254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46254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46254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46254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46254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46254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47711-2024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46254</v>
      </c>
      <c r="F26" t="inlineStr">
        <is>
          <t>VÄSTERNORRLANDS LÄN</t>
        </is>
      </c>
      <c r="G26" t="inlineStr">
        <is>
          <t>HÄRNÖSAND</t>
        </is>
      </c>
      <c r="I26" t="n">
        <v>39.5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17</v>
      </c>
      <c r="U26" t="n">
        <v>3</v>
      </c>
      <c r="V26" s="2" t="inlineStr">
        <is>
          <t>Dropptaggsvamp
Motaggsvamp
Tallticka
Ullticka
Vedticka</t>
        </is>
      </c>
      <c r="W26">
        <f>HYPERLINK("https://klasma.github.io/Logging_2280/artfynd/A 47711-2024 artfynd.xlsx", "A 47711-2024")</f>
        <v/>
      </c>
      <c r="X26">
        <f>HYPERLINK("https://klasma.github.io/Logging_2280/kartor/A 47711-2024 karta.png", "A 47711-2024")</f>
        <v/>
      </c>
      <c r="Y26">
        <f>HYPERLINK("https://klasma.github.io/Logging_2280/kartor_geotiff/A 47711-2024 georefererad karta.tif", "A 47711-2024")</f>
        <v/>
      </c>
      <c r="AA26">
        <f>HYPERLINK("https://klasma.github.io/Logging_2280/klagomål/A 47711-2024 FSC-klagomål.docx", "A 47711-2024")</f>
        <v/>
      </c>
      <c r="AB26">
        <f>HYPERLINK("https://klasma.github.io/Logging_2280/klagomålsmail/A 47711-2024 FSC-klagomål mail.docx", "A 47711-2024")</f>
        <v/>
      </c>
      <c r="AC26">
        <f>HYPERLINK("https://klasma.github.io/Logging_2280/tillsyn/A 47711-2024 tillsynsbegäran.docx", "A 47711-2024")</f>
        <v/>
      </c>
      <c r="AD26">
        <f>HYPERLINK("https://klasma.github.io/Logging_2280/tillsynsmail/A 47711-2024 tillsynsbegäran mail.docx", "A 47711-2024")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46254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46254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46254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48667-2024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45593</v>
      </c>
      <c r="E30" s="1" t="n">
        <v>46254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</v>
      </c>
      <c r="J30" t="n">
        <v>0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Gränsticka
Kattfotslav
Bårdlav
Skinnlav
Vedticka</t>
        </is>
      </c>
      <c r="W30">
        <f>HYPERLINK("https://klasma.github.io/Logging_2280/artfynd/A 48667-2024 artfynd.xlsx", "A 48667-2024")</f>
        <v/>
      </c>
      <c r="X30">
        <f>HYPERLINK("https://klasma.github.io/Logging_2280/kartor/A 48667-2024 karta.png", "A 48667-2024")</f>
        <v/>
      </c>
      <c r="Y30">
        <f>HYPERLINK("https://klasma.github.io/Logging_2280/kartor_geotiff/A 48667-2024 georefererad karta.tif", "A 48667-2024")</f>
        <v/>
      </c>
      <c r="AA30">
        <f>HYPERLINK("https://klasma.github.io/Logging_2280/klagomål/A 48667-2024 FSC-klagomål.docx", "A 48667-2024")</f>
        <v/>
      </c>
      <c r="AB30">
        <f>HYPERLINK("https://klasma.github.io/Logging_2280/klagomålsmail/A 48667-2024 FSC-klagomål mail.docx", "A 48667-2024")</f>
        <v/>
      </c>
      <c r="AC30">
        <f>HYPERLINK("https://klasma.github.io/Logging_2280/tillsyn/A 48667-2024 tillsynsbegäran.docx", "A 48667-2024")</f>
        <v/>
      </c>
      <c r="AD30">
        <f>HYPERLINK("https://klasma.github.io/Logging_2280/tillsynsmail/A 48667-2024 tillsynsbegäran mail.docx", "A 48667-2024")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46254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A 42961-2024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45567</v>
      </c>
      <c r="E32" s="1" t="n">
        <v>46254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11.6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9</v>
      </c>
      <c r="U32" t="n">
        <v>0</v>
      </c>
      <c r="V32" s="2" t="inlineStr">
        <is>
          <t>Garnlav
Sötgräs
Ullticka
Strutbräken
Tibast</t>
        </is>
      </c>
      <c r="W32">
        <f>HYPERLINK("https://klasma.github.io/Logging_2280/artfynd/A 42961-2024 artfynd.xlsx", "A 42961-2024")</f>
        <v/>
      </c>
      <c r="X32">
        <f>HYPERLINK("https://klasma.github.io/Logging_2280/kartor/A 42961-2024 karta.png", "A 42961-2024")</f>
        <v/>
      </c>
      <c r="Y32">
        <f>HYPERLINK("https://klasma.github.io/Logging_2280/kartor_geotiff/A 42961-2024 georefererad karta.tif", "A 42961-2024")</f>
        <v/>
      </c>
      <c r="AA32">
        <f>HYPERLINK("https://klasma.github.io/Logging_2280/klagomål/A 42961-2024 FSC-klagomål.docx", "A 42961-2024")</f>
        <v/>
      </c>
      <c r="AB32">
        <f>HYPERLINK("https://klasma.github.io/Logging_2280/klagomålsmail/A 42961-2024 FSC-klagomål mail.docx", "A 42961-2024")</f>
        <v/>
      </c>
      <c r="AC32">
        <f>HYPERLINK("https://klasma.github.io/Logging_2280/tillsyn/A 42961-2024 tillsynsbegäran.docx", "A 42961-2024")</f>
        <v/>
      </c>
      <c r="AD32">
        <f>HYPERLINK("https://klasma.github.io/Logging_2280/tillsynsmail/A 42961-2024 tillsynsbegäran mail.docx", "A 42961-2024")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46254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46254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46254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t="n">
        <v>0</v>
      </c>
      <c r="V35" s="2" t="inlineStr">
        <is>
          <t>Rosenticka
Rynkskinn
Ullticka
Trådticka</t>
        </is>
      </c>
      <c r="W35">
        <f>HYPERLINK("https://klasma.github.io/Logging_2280/artfynd/A 2795-2024 artfynd.xlsx", "A 2795-2024")</f>
        <v/>
      </c>
      <c r="X35">
        <f>HYPERLINK("https://klasma.github.io/Logging_2280/kartor/A 2795-2024 karta.png", "A 2795-2024")</f>
        <v/>
      </c>
      <c r="Y35">
        <f>HYPERLINK("https://klasma.github.io/Logging_2280/kartor_geotiff/A 2795-2024 georefererad karta.tif", "A 2795-2024")</f>
        <v/>
      </c>
      <c r="AA35">
        <f>HYPERLINK("https://klasma.github.io/Logging_2280/klagomål/A 2795-2024 FSC-klagomål.docx", "A 2795-2024")</f>
        <v/>
      </c>
      <c r="AB35">
        <f>HYPERLINK("https://klasma.github.io/Logging_2280/klagomålsmail/A 2795-2024 FSC-klagomål mail.docx", "A 2795-2024")</f>
        <v/>
      </c>
      <c r="AC35">
        <f>HYPERLINK("https://klasma.github.io/Logging_2280/tillsyn/A 2795-2024 tillsynsbegäran.docx", "A 2795-2024")</f>
        <v/>
      </c>
      <c r="AD35">
        <f>HYPERLINK("https://klasma.github.io/Logging_2280/tillsynsmail/A 2795-2024 tillsynsbegäran mail.docx", "A 2795-2024")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46254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55337-2025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45971</v>
      </c>
      <c r="E37" s="1" t="n">
        <v>46254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2.9</v>
      </c>
      <c r="J37" t="n">
        <v>0</v>
      </c>
      <c r="K37" t="n">
        <v>2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Garnlav
Lunglav
Korallblylav
Skinnlav</t>
        </is>
      </c>
      <c r="W37">
        <f>HYPERLINK("https://klasma.github.io/Logging_2280/artfynd/A 55337-2025 artfynd.xlsx", "A 55337-2025")</f>
        <v/>
      </c>
      <c r="X37">
        <f>HYPERLINK("https://klasma.github.io/Logging_2280/kartor/A 55337-2025 karta.png", "A 55337-2025")</f>
        <v/>
      </c>
      <c r="Y37">
        <f>HYPERLINK("https://klasma.github.io/Logging_2280/kartor_geotiff/A 55337-2025 georefererad karta.tif", "A 55337-2025")</f>
        <v/>
      </c>
      <c r="AA37">
        <f>HYPERLINK("https://klasma.github.io/Logging_2280/klagomål/A 55337-2025 FSC-klagomål.docx", "A 55337-2025")</f>
        <v/>
      </c>
      <c r="AB37">
        <f>HYPERLINK("https://klasma.github.io/Logging_2280/klagomålsmail/A 55337-2025 FSC-klagomål mail.docx", "A 55337-2025")</f>
        <v/>
      </c>
      <c r="AC37">
        <f>HYPERLINK("https://klasma.github.io/Logging_2280/tillsyn/A 55337-2025 tillsynsbegäran.docx", "A 55337-2025")</f>
        <v/>
      </c>
      <c r="AD37">
        <f>HYPERLINK("https://klasma.github.io/Logging_2280/tillsynsmail/A 55337-2025 tillsynsbegäran mail.docx", "A 55337-2025")</f>
        <v/>
      </c>
    </row>
    <row r="38" ht="15" customHeight="1">
      <c r="A38" t="inlineStr">
        <is>
          <t>A 33828-2026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46254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1.9</v>
      </c>
      <c r="J38" t="n">
        <v>1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Rosenticka
Ullticka
Stor aspticka
Blåsippa</t>
        </is>
      </c>
      <c r="W38">
        <f>HYPERLINK("https://klasma.github.io/Logging_2280/artfynd/A 33828-2026 artfynd.xlsx", "A 33828-2026")</f>
        <v/>
      </c>
      <c r="X38">
        <f>HYPERLINK("https://klasma.github.io/Logging_2280/kartor/A 33828-2026 karta.png", "A 33828-2026")</f>
        <v/>
      </c>
      <c r="Y38">
        <f>HYPERLINK("https://klasma.github.io/Logging_2280/kartor_geotiff/A 33828-2026 georefererad karta.tif", "A 33828-2026")</f>
        <v/>
      </c>
      <c r="AA38">
        <f>HYPERLINK("https://klasma.github.io/Logging_2280/klagomål/A 33828-2026 FSC-klagomål.docx", "A 33828-2026")</f>
        <v/>
      </c>
      <c r="AB38">
        <f>HYPERLINK("https://klasma.github.io/Logging_2280/klagomålsmail/A 33828-2026 FSC-klagomål mail.docx", "A 33828-2026")</f>
        <v/>
      </c>
      <c r="AC38">
        <f>HYPERLINK("https://klasma.github.io/Logging_2280/tillsyn/A 33828-2026 tillsynsbegäran.docx", "A 33828-2026")</f>
        <v/>
      </c>
      <c r="AD38">
        <f>HYPERLINK("https://klasma.github.io/Logging_2280/tillsynsmail/A 33828-2026 tillsynsbegäran mail.docx", "A 33828-2026")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46254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41592-2024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45560</v>
      </c>
      <c r="E40" s="1" t="n">
        <v>46254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6.8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6</v>
      </c>
      <c r="V40" s="2" t="inlineStr">
        <is>
          <t>Garnlav
Ullticka
Vedflamlav
Stuplav</t>
        </is>
      </c>
      <c r="W40">
        <f>HYPERLINK("https://klasma.github.io/Logging_2280/artfynd/A 41592-2024 artfynd.xlsx", "A 41592-2024")</f>
        <v/>
      </c>
      <c r="X40">
        <f>HYPERLINK("https://klasma.github.io/Logging_2280/kartor/A 41592-2024 karta.png", "A 41592-2024")</f>
        <v/>
      </c>
      <c r="Y40">
        <f>HYPERLINK("https://klasma.github.io/Logging_2280/kartor_geotiff/A 41592-2024 georefererad karta.tif", "A 41592-2024")</f>
        <v/>
      </c>
      <c r="AA40">
        <f>HYPERLINK("https://klasma.github.io/Logging_2280/klagomål/A 41592-2024 FSC-klagomål.docx", "A 41592-2024")</f>
        <v/>
      </c>
      <c r="AB40">
        <f>HYPERLINK("https://klasma.github.io/Logging_2280/klagomålsmail/A 41592-2024 FSC-klagomål mail.docx", "A 41592-2024")</f>
        <v/>
      </c>
      <c r="AC40">
        <f>HYPERLINK("https://klasma.github.io/Logging_2280/tillsyn/A 41592-2024 tillsynsbegäran.docx", "A 41592-2024")</f>
        <v/>
      </c>
      <c r="AD40">
        <f>HYPERLINK("https://klasma.github.io/Logging_2280/tillsynsmail/A 41592-2024 tillsynsbegäran mail.docx", "A 41592-2024")</f>
        <v/>
      </c>
    </row>
    <row r="41" ht="15" customHeight="1">
      <c r="A41" t="inlineStr">
        <is>
          <t>A 34647-2025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45848</v>
      </c>
      <c r="E41" s="1" t="n">
        <v>46254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5</v>
      </c>
      <c r="U41" t="n">
        <v>3</v>
      </c>
      <c r="V41" s="2" t="inlineStr">
        <is>
          <t>Garnlav
Kolflarnlav
Lunglav
Korallblylav</t>
        </is>
      </c>
      <c r="W41">
        <f>HYPERLINK("https://klasma.github.io/Logging_2280/artfynd/A 34647-2025 artfynd.xlsx", "A 34647-2025")</f>
        <v/>
      </c>
      <c r="X41">
        <f>HYPERLINK("https://klasma.github.io/Logging_2280/kartor/A 34647-2025 karta.png", "A 34647-2025")</f>
        <v/>
      </c>
      <c r="Y41">
        <f>HYPERLINK("https://klasma.github.io/Logging_2280/kartor_geotiff/A 34647-2025 georefererad karta.tif", "A 34647-2025")</f>
        <v/>
      </c>
      <c r="AA41">
        <f>HYPERLINK("https://klasma.github.io/Logging_2280/klagomål/A 34647-2025 FSC-klagomål.docx", "A 34647-2025")</f>
        <v/>
      </c>
      <c r="AB41">
        <f>HYPERLINK("https://klasma.github.io/Logging_2280/klagomålsmail/A 34647-2025 FSC-klagomål mail.docx", "A 34647-2025")</f>
        <v/>
      </c>
      <c r="AC41">
        <f>HYPERLINK("https://klasma.github.io/Logging_2280/tillsyn/A 34647-2025 tillsynsbegäran.docx", "A 34647-2025")</f>
        <v/>
      </c>
      <c r="AD41">
        <f>HYPERLINK("https://klasma.github.io/Logging_2280/tillsynsmail/A 34647-2025 tillsynsbegäran mail.docx", "A 34647-2025")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46254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46254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46254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46254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46254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34689-2024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45526</v>
      </c>
      <c r="E47" s="1" t="n">
        <v>46254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Rynkskinn
Ullticka
Blåsippa</t>
        </is>
      </c>
      <c r="W47">
        <f>HYPERLINK("https://klasma.github.io/Logging_2280/artfynd/A 34689-2024 artfynd.xlsx", "A 34689-2024")</f>
        <v/>
      </c>
      <c r="X47">
        <f>HYPERLINK("https://klasma.github.io/Logging_2280/kartor/A 34689-2024 karta.png", "A 34689-2024")</f>
        <v/>
      </c>
      <c r="Y47">
        <f>HYPERLINK("https://klasma.github.io/Logging_2280/kartor_geotiff/A 34689-2024 georefererad karta.tif", "A 34689-2024")</f>
        <v/>
      </c>
      <c r="AA47">
        <f>HYPERLINK("https://klasma.github.io/Logging_2280/klagomål/A 34689-2024 FSC-klagomål.docx", "A 34689-2024")</f>
        <v/>
      </c>
      <c r="AB47">
        <f>HYPERLINK("https://klasma.github.io/Logging_2280/klagomålsmail/A 34689-2024 FSC-klagomål mail.docx", "A 34689-2024")</f>
        <v/>
      </c>
      <c r="AC47">
        <f>HYPERLINK("https://klasma.github.io/Logging_2280/tillsyn/A 34689-2024 tillsynsbegäran.docx", "A 34689-2024")</f>
        <v/>
      </c>
      <c r="AD47">
        <f>HYPERLINK("https://klasma.github.io/Logging_2280/tillsynsmail/A 34689-2024 tillsynsbegäran mail.docx", "A 34689-2024")</f>
        <v/>
      </c>
    </row>
    <row r="48" ht="15" customHeight="1">
      <c r="A48" t="inlineStr">
        <is>
          <t>A 3953-2024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46254</v>
      </c>
      <c r="F48" t="inlineStr">
        <is>
          <t>VÄSTERNORRLANDS LÄN</t>
        </is>
      </c>
      <c r="G48" t="inlineStr">
        <is>
          <t>HÄRNÖSAND</t>
        </is>
      </c>
      <c r="I48" t="n">
        <v>4.7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Slåtterfibbla
Strutbräken
Svart trolldruva</t>
        </is>
      </c>
      <c r="W48">
        <f>HYPERLINK("https://klasma.github.io/Logging_2280/artfynd/A 3953-2024 artfynd.xlsx", "A 3953-2024")</f>
        <v/>
      </c>
      <c r="X48">
        <f>HYPERLINK("https://klasma.github.io/Logging_2280/kartor/A 3953-2024 karta.png", "A 3953-2024")</f>
        <v/>
      </c>
      <c r="Y48">
        <f>HYPERLINK("https://klasma.github.io/Logging_2280/kartor_geotiff/A 3953-2024 georefererad karta.tif", "A 3953-2024")</f>
        <v/>
      </c>
      <c r="AA48">
        <f>HYPERLINK("https://klasma.github.io/Logging_2280/klagomål/A 3953-2024 FSC-klagomål.docx", "A 3953-2024")</f>
        <v/>
      </c>
      <c r="AB48">
        <f>HYPERLINK("https://klasma.github.io/Logging_2280/klagomålsmail/A 3953-2024 FSC-klagomål mail.docx", "A 3953-2024")</f>
        <v/>
      </c>
      <c r="AC48">
        <f>HYPERLINK("https://klasma.github.io/Logging_2280/tillsyn/A 3953-2024 tillsynsbegäran.docx", "A 3953-2024")</f>
        <v/>
      </c>
      <c r="AD48">
        <f>HYPERLINK("https://klasma.github.io/Logging_2280/tillsynsmail/A 3953-2024 tillsynsbegäran mail.docx", "A 3953-2024")</f>
        <v/>
      </c>
    </row>
    <row r="49" ht="15" customHeight="1">
      <c r="A49" t="inlineStr">
        <is>
          <t>A 47484-2025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46254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2.7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Ullticka
Vedflamlav
Fläcknycklar</t>
        </is>
      </c>
      <c r="W49">
        <f>HYPERLINK("https://klasma.github.io/Logging_2280/artfynd/A 47484-2025 artfynd.xlsx", "A 47484-2025")</f>
        <v/>
      </c>
      <c r="X49">
        <f>HYPERLINK("https://klasma.github.io/Logging_2280/kartor/A 47484-2025 karta.png", "A 47484-2025")</f>
        <v/>
      </c>
      <c r="Y49">
        <f>HYPERLINK("https://klasma.github.io/Logging_2280/kartor_geotiff/A 47484-2025 georefererad karta.tif", "A 47484-2025")</f>
        <v/>
      </c>
      <c r="AA49">
        <f>HYPERLINK("https://klasma.github.io/Logging_2280/klagomål/A 47484-2025 FSC-klagomål.docx", "A 47484-2025")</f>
        <v/>
      </c>
      <c r="AB49">
        <f>HYPERLINK("https://klasma.github.io/Logging_2280/klagomålsmail/A 47484-2025 FSC-klagomål mail.docx", "A 47484-2025")</f>
        <v/>
      </c>
      <c r="AC49">
        <f>HYPERLINK("https://klasma.github.io/Logging_2280/tillsyn/A 47484-2025 tillsynsbegäran.docx", "A 47484-2025")</f>
        <v/>
      </c>
      <c r="AD49">
        <f>HYPERLINK("https://klasma.github.io/Logging_2280/tillsynsmail/A 47484-2025 tillsynsbegäran mail.docx", "A 47484-2025")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46254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32846-2026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46254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1.5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Garnlav
Tretåig hackspett
Vitgrynig nållav</t>
        </is>
      </c>
      <c r="W51">
        <f>HYPERLINK("https://klasma.github.io/Logging_2280/artfynd/A 32846-2026 artfynd.xlsx", "A 32846-2026")</f>
        <v/>
      </c>
      <c r="X51">
        <f>HYPERLINK("https://klasma.github.io/Logging_2280/kartor/A 32846-2026 karta.png", "A 32846-2026")</f>
        <v/>
      </c>
      <c r="Y51">
        <f>HYPERLINK("https://klasma.github.io/Logging_2280/kartor_geotiff/A 32846-2026 georefererad karta.tif", "A 32846-2026")</f>
        <v/>
      </c>
      <c r="AA51">
        <f>HYPERLINK("https://klasma.github.io/Logging_2280/klagomål/A 32846-2026 FSC-klagomål.docx", "A 32846-2026")</f>
        <v/>
      </c>
      <c r="AB51">
        <f>HYPERLINK("https://klasma.github.io/Logging_2280/klagomålsmail/A 32846-2026 FSC-klagomål mail.docx", "A 32846-2026")</f>
        <v/>
      </c>
      <c r="AC51">
        <f>HYPERLINK("https://klasma.github.io/Logging_2280/tillsyn/A 32846-2026 tillsynsbegäran.docx", "A 32846-2026")</f>
        <v/>
      </c>
      <c r="AD51">
        <f>HYPERLINK("https://klasma.github.io/Logging_2280/tillsynsmail/A 32846-2026 tillsynsbegäran mail.docx", "A 32846-2026")</f>
        <v/>
      </c>
      <c r="AE51">
        <f>HYPERLINK("https://klasma.github.io/Logging_2280/fåglar/A 32846-2026 prioriterade fågelarter.docx", "A 32846-2026")</f>
        <v/>
      </c>
    </row>
    <row r="52" ht="15" customHeight="1">
      <c r="A52" t="inlineStr">
        <is>
          <t>A 61936-2025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46003</v>
      </c>
      <c r="E52" s="1" t="n">
        <v>46254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5.1</v>
      </c>
      <c r="J52" t="n">
        <v>1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4</v>
      </c>
      <c r="U52" t="n">
        <v>0</v>
      </c>
      <c r="V52" s="2" t="inlineStr">
        <is>
          <t>Gammelgransskål
Rynkskinn
Tretåig hackspett</t>
        </is>
      </c>
      <c r="W52">
        <f>HYPERLINK("https://klasma.github.io/Logging_2280/artfynd/A 61936-2025 artfynd.xlsx", "A 61936-2025")</f>
        <v/>
      </c>
      <c r="X52">
        <f>HYPERLINK("https://klasma.github.io/Logging_2280/kartor/A 61936-2025 karta.png", "A 61936-2025")</f>
        <v/>
      </c>
      <c r="Y52">
        <f>HYPERLINK("https://klasma.github.io/Logging_2280/kartor_geotiff/A 61936-2025 georefererad karta.tif", "A 61936-2025")</f>
        <v/>
      </c>
      <c r="AA52">
        <f>HYPERLINK("https://klasma.github.io/Logging_2280/klagomål/A 61936-2025 FSC-klagomål.docx", "A 61936-2025")</f>
        <v/>
      </c>
      <c r="AB52">
        <f>HYPERLINK("https://klasma.github.io/Logging_2280/klagomålsmail/A 61936-2025 FSC-klagomål mail.docx", "A 61936-2025")</f>
        <v/>
      </c>
      <c r="AC52">
        <f>HYPERLINK("https://klasma.github.io/Logging_2280/tillsyn/A 61936-2025 tillsynsbegäran.docx", "A 61936-2025")</f>
        <v/>
      </c>
      <c r="AD52">
        <f>HYPERLINK("https://klasma.github.io/Logging_2280/tillsynsmail/A 61936-2025 tillsynsbegäran mail.docx", "A 61936-2025")</f>
        <v/>
      </c>
      <c r="AE52">
        <f>HYPERLINK("https://klasma.github.io/Logging_2280/fåglar/A 61936-2025 prioriterade fågelarter.docx", "A 61936-2025")</f>
        <v/>
      </c>
    </row>
    <row r="53" ht="15" customHeight="1">
      <c r="A53" t="inlineStr">
        <is>
          <t>A 49675-2024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46254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7.2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5</v>
      </c>
      <c r="U53" t="n">
        <v>0</v>
      </c>
      <c r="V53" s="2" t="inlineStr">
        <is>
          <t>Garnlav
Lappticka
Rosenticka</t>
        </is>
      </c>
      <c r="W53">
        <f>HYPERLINK("https://klasma.github.io/Logging_2280/artfynd/A 49675-2024 artfynd.xlsx", "A 49675-2024")</f>
        <v/>
      </c>
      <c r="X53">
        <f>HYPERLINK("https://klasma.github.io/Logging_2280/kartor/A 49675-2024 karta.png", "A 49675-2024")</f>
        <v/>
      </c>
      <c r="Y53">
        <f>HYPERLINK("https://klasma.github.io/Logging_2280/kartor_geotiff/A 49675-2024 georefererad karta.tif", "A 49675-2024")</f>
        <v/>
      </c>
      <c r="AA53">
        <f>HYPERLINK("https://klasma.github.io/Logging_2280/klagomål/A 49675-2024 FSC-klagomål.docx", "A 49675-2024")</f>
        <v/>
      </c>
      <c r="AB53">
        <f>HYPERLINK("https://klasma.github.io/Logging_2280/klagomålsmail/A 49675-2024 FSC-klagomål mail.docx", "A 49675-2024")</f>
        <v/>
      </c>
      <c r="AC53">
        <f>HYPERLINK("https://klasma.github.io/Logging_2280/tillsyn/A 49675-2024 tillsynsbegäran.docx", "A 49675-2024")</f>
        <v/>
      </c>
      <c r="AD53">
        <f>HYPERLINK("https://klasma.github.io/Logging_2280/tillsynsmail/A 49675-2024 tillsynsbegäran mail.docx", "A 49675-2024")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46254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46254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46254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44901-2024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45575</v>
      </c>
      <c r="E57" s="1" t="n">
        <v>46254</v>
      </c>
      <c r="F57" t="inlineStr">
        <is>
          <t>VÄSTERNORRLANDS LÄN</t>
        </is>
      </c>
      <c r="G57" t="inlineStr">
        <is>
          <t>HÄRNÖSAND</t>
        </is>
      </c>
      <c r="I57" t="n">
        <v>3.3</v>
      </c>
      <c r="J57" t="n">
        <v>0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3</v>
      </c>
      <c r="U57" t="n">
        <v>3</v>
      </c>
      <c r="V57" s="2" t="inlineStr">
        <is>
          <t>Garnlav
Vedticka</t>
        </is>
      </c>
      <c r="W57">
        <f>HYPERLINK("https://klasma.github.io/Logging_2280/artfynd/A 44901-2024 artfynd.xlsx", "A 44901-2024")</f>
        <v/>
      </c>
      <c r="X57">
        <f>HYPERLINK("https://klasma.github.io/Logging_2280/kartor/A 44901-2024 karta.png", "A 44901-2024")</f>
        <v/>
      </c>
      <c r="Y57">
        <f>HYPERLINK("https://klasma.github.io/Logging_2280/kartor_geotiff/A 44901-2024 georefererad karta.tif", "A 44901-2024")</f>
        <v/>
      </c>
      <c r="AA57">
        <f>HYPERLINK("https://klasma.github.io/Logging_2280/klagomål/A 44901-2024 FSC-klagomål.docx", "A 44901-2024")</f>
        <v/>
      </c>
      <c r="AB57">
        <f>HYPERLINK("https://klasma.github.io/Logging_2280/klagomålsmail/A 44901-2024 FSC-klagomål mail.docx", "A 44901-2024")</f>
        <v/>
      </c>
      <c r="AC57">
        <f>HYPERLINK("https://klasma.github.io/Logging_2280/tillsyn/A 44901-2024 tillsynsbegäran.docx", "A 44901-2024")</f>
        <v/>
      </c>
      <c r="AD57">
        <f>HYPERLINK("https://klasma.github.io/Logging_2280/tillsynsmail/A 44901-2024 tillsynsbegäran mail.docx", "A 44901-2024")</f>
        <v/>
      </c>
    </row>
    <row r="58" ht="15" customHeight="1">
      <c r="A58" t="inlineStr">
        <is>
          <t>A 20771-2026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46141</v>
      </c>
      <c r="E58" s="1" t="n">
        <v>46254</v>
      </c>
      <c r="F58" t="inlineStr">
        <is>
          <t>VÄSTERNORRLANDS LÄN</t>
        </is>
      </c>
      <c r="G58" t="inlineStr">
        <is>
          <t>HÄRNÖSAND</t>
        </is>
      </c>
      <c r="I58" t="n">
        <v>1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Nordfladdermus
Tajgafladdermus</t>
        </is>
      </c>
      <c r="W58">
        <f>HYPERLINK("https://klasma.github.io/Logging_2280/artfynd/A 20771-2026 artfynd.xlsx", "A 20771-2026")</f>
        <v/>
      </c>
      <c r="X58">
        <f>HYPERLINK("https://klasma.github.io/Logging_2280/kartor/A 20771-2026 karta.png", "A 20771-2026")</f>
        <v/>
      </c>
      <c r="Y58">
        <f>HYPERLINK("https://klasma.github.io/Logging_2280/kartor_geotiff/A 20771-2026 georefererad karta.tif", "A 20771-2026")</f>
        <v/>
      </c>
      <c r="AA58">
        <f>HYPERLINK("https://klasma.github.io/Logging_2280/klagomål/A 20771-2026 FSC-klagomål.docx", "A 20771-2026")</f>
        <v/>
      </c>
      <c r="AB58">
        <f>HYPERLINK("https://klasma.github.io/Logging_2280/klagomålsmail/A 20771-2026 FSC-klagomål mail.docx", "A 20771-2026")</f>
        <v/>
      </c>
      <c r="AC58">
        <f>HYPERLINK("https://klasma.github.io/Logging_2280/tillsyn/A 20771-2026 tillsynsbegäran.docx", "A 20771-2026")</f>
        <v/>
      </c>
      <c r="AD58">
        <f>HYPERLINK("https://klasma.github.io/Logging_2280/tillsynsmail/A 20771-2026 tillsynsbegäran mail.docx", "A 20771-2026")</f>
        <v/>
      </c>
    </row>
    <row r="59" ht="15" customHeight="1">
      <c r="A59" t="inlineStr">
        <is>
          <t>A 47487-2025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46254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Lunglav
Tjäder</t>
        </is>
      </c>
      <c r="W59">
        <f>HYPERLINK("https://klasma.github.io/Logging_2280/artfynd/A 47487-2025 artfynd.xlsx", "A 47487-2025")</f>
        <v/>
      </c>
      <c r="X59">
        <f>HYPERLINK("https://klasma.github.io/Logging_2280/kartor/A 47487-2025 karta.png", "A 47487-2025")</f>
        <v/>
      </c>
      <c r="Y59">
        <f>HYPERLINK("https://klasma.github.io/Logging_2280/kartor_geotiff/A 47487-2025 georefererad karta.tif", "A 47487-2025")</f>
        <v/>
      </c>
      <c r="AA59">
        <f>HYPERLINK("https://klasma.github.io/Logging_2280/klagomål/A 47487-2025 FSC-klagomål.docx", "A 47487-2025")</f>
        <v/>
      </c>
      <c r="AB59">
        <f>HYPERLINK("https://klasma.github.io/Logging_2280/klagomålsmail/A 47487-2025 FSC-klagomål mail.docx", "A 47487-2025")</f>
        <v/>
      </c>
      <c r="AC59">
        <f>HYPERLINK("https://klasma.github.io/Logging_2280/tillsyn/A 47487-2025 tillsynsbegäran.docx", "A 47487-2025")</f>
        <v/>
      </c>
      <c r="AD59">
        <f>HYPERLINK("https://klasma.github.io/Logging_2280/tillsynsmail/A 47487-2025 tillsynsbegäran mail.docx", "A 47487-2025")</f>
        <v/>
      </c>
      <c r="AE59">
        <f>HYPERLINK("https://klasma.github.io/Logging_2280/fåglar/A 47487-2025 prioriterade fågelarter.docx", "A 47487-2025")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46254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32857-2026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46244</v>
      </c>
      <c r="E61" s="1" t="n">
        <v>46254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1.9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Rynkskinn
Ullticka</t>
        </is>
      </c>
      <c r="W61">
        <f>HYPERLINK("https://klasma.github.io/Logging_2280/artfynd/A 32857-2026 artfynd.xlsx", "A 32857-2026")</f>
        <v/>
      </c>
      <c r="X61">
        <f>HYPERLINK("https://klasma.github.io/Logging_2280/kartor/A 32857-2026 karta.png", "A 32857-2026")</f>
        <v/>
      </c>
      <c r="Y61">
        <f>HYPERLINK("https://klasma.github.io/Logging_2280/kartor_geotiff/A 32857-2026 georefererad karta.tif", "A 32857-2026")</f>
        <v/>
      </c>
      <c r="AA61">
        <f>HYPERLINK("https://klasma.github.io/Logging_2280/klagomål/A 32857-2026 FSC-klagomål.docx", "A 32857-2026")</f>
        <v/>
      </c>
      <c r="AB61">
        <f>HYPERLINK("https://klasma.github.io/Logging_2280/klagomålsmail/A 32857-2026 FSC-klagomål mail.docx", "A 32857-2026")</f>
        <v/>
      </c>
      <c r="AC61">
        <f>HYPERLINK("https://klasma.github.io/Logging_2280/tillsyn/A 32857-2026 tillsynsbegäran.docx", "A 32857-2026")</f>
        <v/>
      </c>
      <c r="AD61">
        <f>HYPERLINK("https://klasma.github.io/Logging_2280/tillsynsmail/A 32857-2026 tillsynsbegäran mail.docx", "A 32857-2026")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46254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52727-2022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46254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Korallblylav
Skinnlav</t>
        </is>
      </c>
      <c r="W63">
        <f>HYPERLINK("https://klasma.github.io/Logging_2280/artfynd/A 52727-2022 artfynd.xlsx", "A 52727-2022")</f>
        <v/>
      </c>
      <c r="X63">
        <f>HYPERLINK("https://klasma.github.io/Logging_2280/kartor/A 52727-2022 karta.png", "A 52727-2022")</f>
        <v/>
      </c>
      <c r="Y63">
        <f>HYPERLINK("https://klasma.github.io/Logging_2280/kartor_geotiff/A 52727-2022 georefererad karta.tif", "A 52727-2022")</f>
        <v/>
      </c>
      <c r="AA63">
        <f>HYPERLINK("https://klasma.github.io/Logging_2280/klagomål/A 52727-2022 FSC-klagomål.docx", "A 52727-2022")</f>
        <v/>
      </c>
      <c r="AB63">
        <f>HYPERLINK("https://klasma.github.io/Logging_2280/klagomålsmail/A 52727-2022 FSC-klagomål mail.docx", "A 52727-2022")</f>
        <v/>
      </c>
      <c r="AC63">
        <f>HYPERLINK("https://klasma.github.io/Logging_2280/tillsyn/A 52727-2022 tillsynsbegäran.docx", "A 52727-2022")</f>
        <v/>
      </c>
      <c r="AD63">
        <f>HYPERLINK("https://klasma.github.io/Logging_2280/tillsynsmail/A 52727-2022 tillsynsbegäran mail.docx", "A 52727-2022")</f>
        <v/>
      </c>
    </row>
    <row r="64" ht="15" customHeight="1">
      <c r="A64" t="inlineStr">
        <is>
          <t>A 32644-2024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45513</v>
      </c>
      <c r="E64" s="1" t="n">
        <v>46254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Ullticka
Skinnlav</t>
        </is>
      </c>
      <c r="W64">
        <f>HYPERLINK("https://klasma.github.io/Logging_2280/artfynd/A 32644-2024 artfynd.xlsx", "A 32644-2024")</f>
        <v/>
      </c>
      <c r="X64">
        <f>HYPERLINK("https://klasma.github.io/Logging_2280/kartor/A 32644-2024 karta.png", "A 32644-2024")</f>
        <v/>
      </c>
      <c r="Y64">
        <f>HYPERLINK("https://klasma.github.io/Logging_2280/kartor_geotiff/A 32644-2024 georefererad karta.tif", "A 32644-2024")</f>
        <v/>
      </c>
      <c r="AA64">
        <f>HYPERLINK("https://klasma.github.io/Logging_2280/klagomål/A 32644-2024 FSC-klagomål.docx", "A 32644-2024")</f>
        <v/>
      </c>
      <c r="AB64">
        <f>HYPERLINK("https://klasma.github.io/Logging_2280/klagomålsmail/A 32644-2024 FSC-klagomål mail.docx", "A 32644-2024")</f>
        <v/>
      </c>
      <c r="AC64">
        <f>HYPERLINK("https://klasma.github.io/Logging_2280/tillsyn/A 32644-2024 tillsynsbegäran.docx", "A 32644-2024")</f>
        <v/>
      </c>
      <c r="AD64">
        <f>HYPERLINK("https://klasma.github.io/Logging_2280/tillsynsmail/A 32644-2024 tillsynsbegäran mail.docx", "A 32644-2024")</f>
        <v/>
      </c>
    </row>
    <row r="65" ht="15" customHeight="1">
      <c r="A65" t="inlineStr">
        <is>
          <t>A 62351-2023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45267</v>
      </c>
      <c r="E65" s="1" t="n">
        <v>46254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3.5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Lunglav</t>
        </is>
      </c>
      <c r="W65">
        <f>HYPERLINK("https://klasma.github.io/Logging_2280/artfynd/A 62351-2023 artfynd.xlsx", "A 62351-2023")</f>
        <v/>
      </c>
      <c r="X65">
        <f>HYPERLINK("https://klasma.github.io/Logging_2280/kartor/A 62351-2023 karta.png", "A 62351-2023")</f>
        <v/>
      </c>
      <c r="Y65">
        <f>HYPERLINK("https://klasma.github.io/Logging_2280/kartor_geotiff/A 62351-2023 georefererad karta.tif", "A 62351-2023")</f>
        <v/>
      </c>
      <c r="AA65">
        <f>HYPERLINK("https://klasma.github.io/Logging_2280/klagomål/A 62351-2023 FSC-klagomål.docx", "A 62351-2023")</f>
        <v/>
      </c>
      <c r="AB65">
        <f>HYPERLINK("https://klasma.github.io/Logging_2280/klagomålsmail/A 62351-2023 FSC-klagomål mail.docx", "A 62351-2023")</f>
        <v/>
      </c>
      <c r="AC65">
        <f>HYPERLINK("https://klasma.github.io/Logging_2280/tillsyn/A 62351-2023 tillsynsbegäran.docx", "A 62351-2023")</f>
        <v/>
      </c>
      <c r="AD65">
        <f>HYPERLINK("https://klasma.github.io/Logging_2280/tillsynsmail/A 62351-2023 tillsynsbegäran mail.docx", "A 62351-2023")</f>
        <v/>
      </c>
    </row>
    <row r="66" ht="15" customHeight="1">
      <c r="A66" t="inlineStr">
        <is>
          <t>A 34545-2025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45847</v>
      </c>
      <c r="E66" s="1" t="n">
        <v>46254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Kyrkan</t>
        </is>
      </c>
      <c r="I66" t="n">
        <v>9.699999999999999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Tretåig hackspett
Korallblylav</t>
        </is>
      </c>
      <c r="W66">
        <f>HYPERLINK("https://klasma.github.io/Logging_2280/artfynd/A 34545-2025 artfynd.xlsx", "A 34545-2025")</f>
        <v/>
      </c>
      <c r="X66">
        <f>HYPERLINK("https://klasma.github.io/Logging_2280/kartor/A 34545-2025 karta.png", "A 34545-2025")</f>
        <v/>
      </c>
      <c r="Y66">
        <f>HYPERLINK("https://klasma.github.io/Logging_2280/kartor_geotiff/A 34545-2025 georefererad karta.tif", "A 34545-2025")</f>
        <v/>
      </c>
      <c r="AA66">
        <f>HYPERLINK("https://klasma.github.io/Logging_2280/klagomål/A 34545-2025 FSC-klagomål.docx", "A 34545-2025")</f>
        <v/>
      </c>
      <c r="AB66">
        <f>HYPERLINK("https://klasma.github.io/Logging_2280/klagomålsmail/A 34545-2025 FSC-klagomål mail.docx", "A 34545-2025")</f>
        <v/>
      </c>
      <c r="AC66">
        <f>HYPERLINK("https://klasma.github.io/Logging_2280/tillsyn/A 34545-2025 tillsynsbegäran.docx", "A 34545-2025")</f>
        <v/>
      </c>
      <c r="AD66">
        <f>HYPERLINK("https://klasma.github.io/Logging_2280/tillsynsmail/A 34545-2025 tillsynsbegäran mail.docx", "A 34545-2025")</f>
        <v/>
      </c>
      <c r="AE66">
        <f>HYPERLINK("https://klasma.github.io/Logging_2280/fåglar/A 34545-2025 prioriterade fågelarter.docx", "A 34545-2025")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46254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46254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46254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46254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46254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46254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46254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46254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8921-2024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46254</v>
      </c>
      <c r="F75" t="inlineStr">
        <is>
          <t>VÄSTERNORRLANDS LÄN</t>
        </is>
      </c>
      <c r="G75" t="inlineStr">
        <is>
          <t>HÄRNÖSAND</t>
        </is>
      </c>
      <c r="I75" t="n">
        <v>3.7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Apelsinticka</t>
        </is>
      </c>
      <c r="W75">
        <f>HYPERLINK("https://klasma.github.io/Logging_2280/artfynd/A 8921-2024 artfynd.xlsx", "A 8921-2024")</f>
        <v/>
      </c>
      <c r="X75">
        <f>HYPERLINK("https://klasma.github.io/Logging_2280/kartor/A 8921-2024 karta.png", "A 8921-2024")</f>
        <v/>
      </c>
      <c r="Y75">
        <f>HYPERLINK("https://klasma.github.io/Logging_2280/kartor_geotiff/A 8921-2024 georefererad karta.tif", "A 8921-2024")</f>
        <v/>
      </c>
      <c r="AA75">
        <f>HYPERLINK("https://klasma.github.io/Logging_2280/klagomål/A 8921-2024 FSC-klagomål.docx", "A 8921-2024")</f>
        <v/>
      </c>
      <c r="AB75">
        <f>HYPERLINK("https://klasma.github.io/Logging_2280/klagomålsmail/A 8921-2024 FSC-klagomål mail.docx", "A 8921-2024")</f>
        <v/>
      </c>
      <c r="AC75">
        <f>HYPERLINK("https://klasma.github.io/Logging_2280/tillsyn/A 8921-2024 tillsynsbegäran.docx", "A 8921-2024")</f>
        <v/>
      </c>
      <c r="AD75">
        <f>HYPERLINK("https://klasma.github.io/Logging_2280/tillsynsmail/A 8921-2024 tillsynsbegäran mail.docx", "A 8921-2024")</f>
        <v/>
      </c>
    </row>
    <row r="76" ht="15" customHeight="1">
      <c r="A76" t="inlineStr">
        <is>
          <t>A 7853-2024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46254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4.1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HYPERLINK("https://klasma.github.io/Logging_2280/artfynd/A 7853-2024 artfynd.xlsx", "A 7853-2024")</f>
        <v/>
      </c>
      <c r="X76">
        <f>HYPERLINK("https://klasma.github.io/Logging_2280/kartor/A 7853-2024 karta.png", "A 7853-2024")</f>
        <v/>
      </c>
      <c r="Y76">
        <f>HYPERLINK("https://klasma.github.io/Logging_2280/kartor_geotiff/A 7853-2024 georefererad karta.tif", "A 7853-2024")</f>
        <v/>
      </c>
      <c r="AA76">
        <f>HYPERLINK("https://klasma.github.io/Logging_2280/klagomål/A 7853-2024 FSC-klagomål.docx", "A 7853-2024")</f>
        <v/>
      </c>
      <c r="AB76">
        <f>HYPERLINK("https://klasma.github.io/Logging_2280/klagomålsmail/A 7853-2024 FSC-klagomål mail.docx", "A 7853-2024")</f>
        <v/>
      </c>
      <c r="AC76">
        <f>HYPERLINK("https://klasma.github.io/Logging_2280/tillsyn/A 7853-2024 tillsynsbegäran.docx", "A 7853-2024")</f>
        <v/>
      </c>
      <c r="AD76">
        <f>HYPERLINK("https://klasma.github.io/Logging_2280/tillsynsmail/A 7853-2024 tillsynsbegäran mail.docx", "A 7853-2024")</f>
        <v/>
      </c>
    </row>
    <row r="77" ht="15" customHeight="1">
      <c r="A77" t="inlineStr">
        <is>
          <t>A 61828-2024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45649</v>
      </c>
      <c r="E77" s="1" t="n">
        <v>46254</v>
      </c>
      <c r="F77" t="inlineStr">
        <is>
          <t>VÄSTERNORRLANDS LÄN</t>
        </is>
      </c>
      <c r="G77" t="inlineStr">
        <is>
          <t>HÄRNÖSAND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Luddfingersvamp</t>
        </is>
      </c>
      <c r="W77">
        <f>HYPERLINK("https://klasma.github.io/Logging_2280/artfynd/A 61828-2024 artfynd.xlsx", "A 61828-2024")</f>
        <v/>
      </c>
      <c r="X77">
        <f>HYPERLINK("https://klasma.github.io/Logging_2280/kartor/A 61828-2024 karta.png", "A 61828-2024")</f>
        <v/>
      </c>
      <c r="Y77">
        <f>HYPERLINK("https://klasma.github.io/Logging_2280/kartor_geotiff/A 61828-2024 georefererad karta.tif", "A 61828-2024")</f>
        <v/>
      </c>
      <c r="AA77">
        <f>HYPERLINK("https://klasma.github.io/Logging_2280/klagomål/A 61828-2024 FSC-klagomål.docx", "A 61828-2024")</f>
        <v/>
      </c>
      <c r="AB77">
        <f>HYPERLINK("https://klasma.github.io/Logging_2280/klagomålsmail/A 61828-2024 FSC-klagomål mail.docx", "A 61828-2024")</f>
        <v/>
      </c>
      <c r="AC77">
        <f>HYPERLINK("https://klasma.github.io/Logging_2280/tillsyn/A 61828-2024 tillsynsbegäran.docx", "A 61828-2024")</f>
        <v/>
      </c>
      <c r="AD77">
        <f>HYPERLINK("https://klasma.github.io/Logging_2280/tillsynsmail/A 61828-2024 tillsynsbegäran mail.docx", "A 61828-2024")</f>
        <v/>
      </c>
    </row>
    <row r="78" ht="15" customHeight="1">
      <c r="A78" t="inlineStr">
        <is>
          <t>A 8407-2024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46254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1.4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Lunglav</t>
        </is>
      </c>
      <c r="W78">
        <f>HYPERLINK("https://klasma.github.io/Logging_2280/artfynd/A 8407-2024 artfynd.xlsx", "A 8407-2024")</f>
        <v/>
      </c>
      <c r="X78">
        <f>HYPERLINK("https://klasma.github.io/Logging_2280/kartor/A 8407-2024 karta.png", "A 8407-2024")</f>
        <v/>
      </c>
      <c r="Y78">
        <f>HYPERLINK("https://klasma.github.io/Logging_2280/kartor_geotiff/A 8407-2024 georefererad karta.tif", "A 8407-2024")</f>
        <v/>
      </c>
      <c r="AA78">
        <f>HYPERLINK("https://klasma.github.io/Logging_2280/klagomål/A 8407-2024 FSC-klagomål.docx", "A 8407-2024")</f>
        <v/>
      </c>
      <c r="AB78">
        <f>HYPERLINK("https://klasma.github.io/Logging_2280/klagomålsmail/A 8407-2024 FSC-klagomål mail.docx", "A 8407-2024")</f>
        <v/>
      </c>
      <c r="AC78">
        <f>HYPERLINK("https://klasma.github.io/Logging_2280/tillsyn/A 8407-2024 tillsynsbegäran.docx", "A 8407-2024")</f>
        <v/>
      </c>
      <c r="AD78">
        <f>HYPERLINK("https://klasma.github.io/Logging_2280/tillsynsmail/A 8407-2024 tillsynsbegäran mail.docx", "A 8407-2024")</f>
        <v/>
      </c>
    </row>
    <row r="79" ht="15" customHeight="1">
      <c r="A79" t="inlineStr">
        <is>
          <t>A 45060-2025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46254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Gammelgransskål</t>
        </is>
      </c>
      <c r="W79">
        <f>HYPERLINK("https://klasma.github.io/Logging_2280/artfynd/A 45060-2025 artfynd.xlsx", "A 45060-2025")</f>
        <v/>
      </c>
      <c r="X79">
        <f>HYPERLINK("https://klasma.github.io/Logging_2280/kartor/A 45060-2025 karta.png", "A 45060-2025")</f>
        <v/>
      </c>
      <c r="Y79">
        <f>HYPERLINK("https://klasma.github.io/Logging_2280/kartor_geotiff/A 45060-2025 georefererad karta.tif", "A 45060-2025")</f>
        <v/>
      </c>
      <c r="AA79">
        <f>HYPERLINK("https://klasma.github.io/Logging_2280/klagomål/A 45060-2025 FSC-klagomål.docx", "A 45060-2025")</f>
        <v/>
      </c>
      <c r="AB79">
        <f>HYPERLINK("https://klasma.github.io/Logging_2280/klagomålsmail/A 45060-2025 FSC-klagomål mail.docx", "A 45060-2025")</f>
        <v/>
      </c>
      <c r="AC79">
        <f>HYPERLINK("https://klasma.github.io/Logging_2280/tillsyn/A 45060-2025 tillsynsbegäran.docx", "A 45060-2025")</f>
        <v/>
      </c>
      <c r="AD79">
        <f>HYPERLINK("https://klasma.github.io/Logging_2280/tillsynsmail/A 45060-2025 tillsynsbegäran mail.docx", "A 45060-2025")</f>
        <v/>
      </c>
    </row>
    <row r="80" ht="15" customHeight="1">
      <c r="A80" t="inlineStr">
        <is>
          <t>A 25340-2026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46176</v>
      </c>
      <c r="E80" s="1" t="n">
        <v>46254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1.5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0</v>
      </c>
      <c r="V80" s="2" t="inlineStr">
        <is>
          <t>Garnlav</t>
        </is>
      </c>
      <c r="W80">
        <f>HYPERLINK("https://klasma.github.io/Logging_2280/artfynd/A 25340-2026 artfynd.xlsx", "A 25340-2026")</f>
        <v/>
      </c>
      <c r="X80">
        <f>HYPERLINK("https://klasma.github.io/Logging_2280/kartor/A 25340-2026 karta.png", "A 25340-2026")</f>
        <v/>
      </c>
      <c r="Y80">
        <f>HYPERLINK("https://klasma.github.io/Logging_2280/kartor_geotiff/A 25340-2026 georefererad karta.tif", "A 25340-2026")</f>
        <v/>
      </c>
      <c r="AA80">
        <f>HYPERLINK("https://klasma.github.io/Logging_2280/klagomål/A 25340-2026 FSC-klagomål.docx", "A 25340-2026")</f>
        <v/>
      </c>
      <c r="AB80">
        <f>HYPERLINK("https://klasma.github.io/Logging_2280/klagomålsmail/A 25340-2026 FSC-klagomål mail.docx", "A 25340-2026")</f>
        <v/>
      </c>
      <c r="AC80">
        <f>HYPERLINK("https://klasma.github.io/Logging_2280/tillsyn/A 25340-2026 tillsynsbegäran.docx", "A 25340-2026")</f>
        <v/>
      </c>
      <c r="AD80">
        <f>HYPERLINK("https://klasma.github.io/Logging_2280/tillsynsmail/A 25340-2026 tillsynsbegäran mail.docx", "A 25340-2026")</f>
        <v/>
      </c>
    </row>
    <row r="81" ht="15" customHeight="1">
      <c r="A81" t="inlineStr">
        <is>
          <t>A 63724-2023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45276</v>
      </c>
      <c r="E81" s="1" t="n">
        <v>46254</v>
      </c>
      <c r="F81" t="inlineStr">
        <is>
          <t>VÄSTERNORRLANDS LÄN</t>
        </is>
      </c>
      <c r="G81" t="inlineStr">
        <is>
          <t>HÄRNÖSAND</t>
        </is>
      </c>
      <c r="I81" t="n">
        <v>10.1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Älg</t>
        </is>
      </c>
      <c r="W81">
        <f>HYPERLINK("https://klasma.github.io/Logging_2280/artfynd/A 63724-2023 artfynd.xlsx", "A 63724-2023")</f>
        <v/>
      </c>
      <c r="X81">
        <f>HYPERLINK("https://klasma.github.io/Logging_2280/kartor/A 63724-2023 karta.png", "A 63724-2023")</f>
        <v/>
      </c>
      <c r="Y81">
        <f>HYPERLINK("https://klasma.github.io/Logging_2280/kartor_geotiff/A 63724-2023 georefererad karta.tif", "A 63724-2023")</f>
        <v/>
      </c>
      <c r="AA81">
        <f>HYPERLINK("https://klasma.github.io/Logging_2280/klagomål/A 63724-2023 FSC-klagomål.docx", "A 63724-2023")</f>
        <v/>
      </c>
      <c r="AB81">
        <f>HYPERLINK("https://klasma.github.io/Logging_2280/klagomålsmail/A 63724-2023 FSC-klagomål mail.docx", "A 63724-2023")</f>
        <v/>
      </c>
      <c r="AC81">
        <f>HYPERLINK("https://klasma.github.io/Logging_2280/tillsyn/A 63724-2023 tillsynsbegäran.docx", "A 63724-2023")</f>
        <v/>
      </c>
      <c r="AD81">
        <f>HYPERLINK("https://klasma.github.io/Logging_2280/tillsynsmail/A 63724-2023 tillsynsbegäran mail.docx", "A 63724-2023")</f>
        <v/>
      </c>
    </row>
    <row r="82" ht="15" customHeight="1">
      <c r="A82" t="inlineStr">
        <is>
          <t>A 27457-2026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46254</v>
      </c>
      <c r="F82" t="inlineStr">
        <is>
          <t>VÄSTERNORRLANDS LÄN</t>
        </is>
      </c>
      <c r="G82" t="inlineStr">
        <is>
          <t>HÄRNÖSAND</t>
        </is>
      </c>
      <c r="I82" t="n">
        <v>3.8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HYPERLINK("https://klasma.github.io/Logging_2280/artfynd/A 27457-2026 artfynd.xlsx", "A 27457-2026")</f>
        <v/>
      </c>
      <c r="X82">
        <f>HYPERLINK("https://klasma.github.io/Logging_2280/kartor/A 27457-2026 karta.png", "A 27457-2026")</f>
        <v/>
      </c>
      <c r="Y82">
        <f>HYPERLINK("https://klasma.github.io/Logging_2280/kartor_geotiff/A 27457-2026 georefererad karta.tif", "A 27457-2026")</f>
        <v/>
      </c>
      <c r="AA82">
        <f>HYPERLINK("https://klasma.github.io/Logging_2280/klagomål/A 27457-2026 FSC-klagomål.docx", "A 27457-2026")</f>
        <v/>
      </c>
      <c r="AB82">
        <f>HYPERLINK("https://klasma.github.io/Logging_2280/klagomålsmail/A 27457-2026 FSC-klagomål mail.docx", "A 27457-2026")</f>
        <v/>
      </c>
      <c r="AC82">
        <f>HYPERLINK("https://klasma.github.io/Logging_2280/tillsyn/A 27457-2026 tillsynsbegäran.docx", "A 27457-2026")</f>
        <v/>
      </c>
      <c r="AD82">
        <f>HYPERLINK("https://klasma.github.io/Logging_2280/tillsynsmail/A 27457-2026 tillsynsbegäran mail.docx", "A 27457-2026")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46254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Veckticka</t>
        </is>
      </c>
      <c r="W83">
        <f>HYPERLINK("https://klasma.github.io/Logging_2280/artfynd/A 27923-2026 artfynd.xlsx", "A 27923-2026")</f>
        <v/>
      </c>
      <c r="X83">
        <f>HYPERLINK("https://klasma.github.io/Logging_2280/kartor/A 27923-2026 karta.png", "A 27923-2026")</f>
        <v/>
      </c>
      <c r="Y83">
        <f>HYPERLINK("https://klasma.github.io/Logging_2280/kartor_geotiff/A 27923-2026 georefererad karta.tif", "A 27923-2026")</f>
        <v/>
      </c>
      <c r="AA83">
        <f>HYPERLINK("https://klasma.github.io/Logging_2280/klagomål/A 27923-2026 FSC-klagomål.docx", "A 27923-2026")</f>
        <v/>
      </c>
      <c r="AB83">
        <f>HYPERLINK("https://klasma.github.io/Logging_2280/klagomålsmail/A 27923-2026 FSC-klagomål mail.docx", "A 27923-2026")</f>
        <v/>
      </c>
      <c r="AC83">
        <f>HYPERLINK("https://klasma.github.io/Logging_2280/tillsyn/A 27923-2026 tillsynsbegäran.docx", "A 27923-2026")</f>
        <v/>
      </c>
      <c r="AD83">
        <f>HYPERLINK("https://klasma.github.io/Logging_2280/tillsynsmail/A 27923-2026 tillsynsbegäran mail.docx", "A 27923-2026")</f>
        <v/>
      </c>
    </row>
    <row r="84" ht="15" customHeight="1">
      <c r="A84" t="inlineStr">
        <is>
          <t>A 26664-2026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46254</v>
      </c>
      <c r="F84" t="inlineStr">
        <is>
          <t>VÄSTERNORRLANDS LÄN</t>
        </is>
      </c>
      <c r="G84" t="inlineStr">
        <is>
          <t>HÄRNÖSAND</t>
        </is>
      </c>
      <c r="I84" t="n">
        <v>4.8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Duvhök</t>
        </is>
      </c>
      <c r="W84">
        <f>HYPERLINK("https://klasma.github.io/Logging_2280/artfynd/A 26664-2026 artfynd.xlsx", "A 26664-2026")</f>
        <v/>
      </c>
      <c r="X84">
        <f>HYPERLINK("https://klasma.github.io/Logging_2280/kartor/A 26664-2026 karta.png", "A 26664-2026")</f>
        <v/>
      </c>
      <c r="Y84">
        <f>HYPERLINK("https://klasma.github.io/Logging_2280/kartor_geotiff/A 26664-2026 georefererad karta.tif", "A 26664-2026")</f>
        <v/>
      </c>
      <c r="AA84">
        <f>HYPERLINK("https://klasma.github.io/Logging_2280/klagomål/A 26664-2026 FSC-klagomål.docx", "A 26664-2026")</f>
        <v/>
      </c>
      <c r="AB84">
        <f>HYPERLINK("https://klasma.github.io/Logging_2280/klagomålsmail/A 26664-2026 FSC-klagomål mail.docx", "A 26664-2026")</f>
        <v/>
      </c>
      <c r="AC84">
        <f>HYPERLINK("https://klasma.github.io/Logging_2280/tillsyn/A 26664-2026 tillsynsbegäran.docx", "A 26664-2026")</f>
        <v/>
      </c>
      <c r="AD84">
        <f>HYPERLINK("https://klasma.github.io/Logging_2280/tillsynsmail/A 26664-2026 tillsynsbegäran mail.docx", "A 26664-2026")</f>
        <v/>
      </c>
      <c r="AE84">
        <f>HYPERLINK("https://klasma.github.io/Logging_2280/fåglar/A 26664-2026 prioriterade fågelarter.docx", "A 26664-2026")</f>
        <v/>
      </c>
    </row>
    <row r="85" ht="15" customHeight="1">
      <c r="A85" t="inlineStr">
        <is>
          <t>A 74325-2021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44559</v>
      </c>
      <c r="E85" s="1" t="n">
        <v>46254</v>
      </c>
      <c r="F85" t="inlineStr">
        <is>
          <t>VÄSTERNORRLANDS LÄN</t>
        </is>
      </c>
      <c r="G85" t="inlineStr">
        <is>
          <t>HÄRNÖSAND</t>
        </is>
      </c>
      <c r="I85" t="n">
        <v>4.6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Skogshare</t>
        </is>
      </c>
      <c r="W85">
        <f>HYPERLINK("https://klasma.github.io/Logging_2280/artfynd/A 74325-2021 artfynd.xlsx", "A 74325-2021")</f>
        <v/>
      </c>
      <c r="X85">
        <f>HYPERLINK("https://klasma.github.io/Logging_2280/kartor/A 74325-2021 karta.png", "A 74325-2021")</f>
        <v/>
      </c>
      <c r="Y85">
        <f>HYPERLINK("https://klasma.github.io/Logging_2280/kartor_geotiff/A 74325-2021 georefererad karta.tif", "A 74325-2021")</f>
        <v/>
      </c>
      <c r="AA85">
        <f>HYPERLINK("https://klasma.github.io/Logging_2280/klagomål/A 74325-2021 FSC-klagomål.docx", "A 74325-2021")</f>
        <v/>
      </c>
      <c r="AB85">
        <f>HYPERLINK("https://klasma.github.io/Logging_2280/klagomålsmail/A 74325-2021 FSC-klagomål mail.docx", "A 74325-2021")</f>
        <v/>
      </c>
      <c r="AC85">
        <f>HYPERLINK("https://klasma.github.io/Logging_2280/tillsyn/A 74325-2021 tillsynsbegäran.docx", "A 74325-2021")</f>
        <v/>
      </c>
      <c r="AD85">
        <f>HYPERLINK("https://klasma.github.io/Logging_2280/tillsynsmail/A 74325-2021 tillsynsbegäran mail.docx", "A 74325-2021")</f>
        <v/>
      </c>
    </row>
    <row r="86" ht="15" customHeight="1">
      <c r="A86" t="inlineStr">
        <is>
          <t>A 1190-2026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46031</v>
      </c>
      <c r="E86" s="1" t="n">
        <v>46254</v>
      </c>
      <c r="F86" t="inlineStr">
        <is>
          <t>VÄSTERNORRLANDS LÄN</t>
        </is>
      </c>
      <c r="G86" t="inlineStr">
        <is>
          <t>HÄRNÖSAND</t>
        </is>
      </c>
      <c r="I86" t="n">
        <v>3.5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Tretåig hackspett</t>
        </is>
      </c>
      <c r="W86">
        <f>HYPERLINK("https://klasma.github.io/Logging_2280/artfynd/A 1190-2026 artfynd.xlsx", "A 1190-2026")</f>
        <v/>
      </c>
      <c r="X86">
        <f>HYPERLINK("https://klasma.github.io/Logging_2280/kartor/A 1190-2026 karta.png", "A 1190-2026")</f>
        <v/>
      </c>
      <c r="Y86">
        <f>HYPERLINK("https://klasma.github.io/Logging_2280/kartor_geotiff/A 1190-2026 georefererad karta.tif", "A 1190-2026")</f>
        <v/>
      </c>
      <c r="AA86">
        <f>HYPERLINK("https://klasma.github.io/Logging_2280/klagomål/A 1190-2026 FSC-klagomål.docx", "A 1190-2026")</f>
        <v/>
      </c>
      <c r="AB86">
        <f>HYPERLINK("https://klasma.github.io/Logging_2280/klagomålsmail/A 1190-2026 FSC-klagomål mail.docx", "A 1190-2026")</f>
        <v/>
      </c>
      <c r="AC86">
        <f>HYPERLINK("https://klasma.github.io/Logging_2280/tillsyn/A 1190-2026 tillsynsbegäran.docx", "A 1190-2026")</f>
        <v/>
      </c>
      <c r="AD86">
        <f>HYPERLINK("https://klasma.github.io/Logging_2280/tillsynsmail/A 1190-2026 tillsynsbegäran mail.docx", "A 1190-2026")</f>
        <v/>
      </c>
      <c r="AE86">
        <f>HYPERLINK("https://klasma.github.io/Logging_2280/fåglar/A 1190-2026 prioriterade fågelarter.docx", "A 1190-2026")</f>
        <v/>
      </c>
    </row>
    <row r="87" ht="15" customHeight="1">
      <c r="A87" t="inlineStr">
        <is>
          <t>A 11546-2024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45372</v>
      </c>
      <c r="E87" s="1" t="n">
        <v>46254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Garnlav</t>
        </is>
      </c>
      <c r="W87">
        <f>HYPERLINK("https://klasma.github.io/Logging_2280/artfynd/A 11546-2024 artfynd.xlsx", "A 11546-2024")</f>
        <v/>
      </c>
      <c r="X87">
        <f>HYPERLINK("https://klasma.github.io/Logging_2280/kartor/A 11546-2024 karta.png", "A 11546-2024")</f>
        <v/>
      </c>
      <c r="Y87">
        <f>HYPERLINK("https://klasma.github.io/Logging_2280/kartor_geotiff/A 11546-2024 georefererad karta.tif", "A 11546-2024")</f>
        <v/>
      </c>
      <c r="AA87">
        <f>HYPERLINK("https://klasma.github.io/Logging_2280/klagomål/A 11546-2024 FSC-klagomål.docx", "A 11546-2024")</f>
        <v/>
      </c>
      <c r="AB87">
        <f>HYPERLINK("https://klasma.github.io/Logging_2280/klagomålsmail/A 11546-2024 FSC-klagomål mail.docx", "A 11546-2024")</f>
        <v/>
      </c>
      <c r="AC87">
        <f>HYPERLINK("https://klasma.github.io/Logging_2280/tillsyn/A 11546-2024 tillsynsbegäran.docx", "A 11546-2024")</f>
        <v/>
      </c>
      <c r="AD87">
        <f>HYPERLINK("https://klasma.github.io/Logging_2280/tillsynsmail/A 11546-2024 tillsynsbegäran mail.docx", "A 11546-2024")</f>
        <v/>
      </c>
    </row>
    <row r="88" ht="15" customHeight="1">
      <c r="A88" t="inlineStr">
        <is>
          <t>A 43541-2022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44837</v>
      </c>
      <c r="E88" s="1" t="n">
        <v>46254</v>
      </c>
      <c r="F88" t="inlineStr">
        <is>
          <t>VÄSTERNORRLANDS LÄN</t>
        </is>
      </c>
      <c r="G88" t="inlineStr">
        <is>
          <t>HÄRNÖSAND</t>
        </is>
      </c>
      <c r="I88" t="n">
        <v>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Sötgräs</t>
        </is>
      </c>
      <c r="W88">
        <f>HYPERLINK("https://klasma.github.io/Logging_2280/artfynd/A 43541-2022 artfynd.xlsx", "A 43541-2022")</f>
        <v/>
      </c>
      <c r="X88">
        <f>HYPERLINK("https://klasma.github.io/Logging_2280/kartor/A 43541-2022 karta.png", "A 43541-2022")</f>
        <v/>
      </c>
      <c r="Y88">
        <f>HYPERLINK("https://klasma.github.io/Logging_2280/kartor_geotiff/A 43541-2022 georefererad karta.tif", "A 43541-2022")</f>
        <v/>
      </c>
      <c r="AA88">
        <f>HYPERLINK("https://klasma.github.io/Logging_2280/klagomål/A 43541-2022 FSC-klagomål.docx", "A 43541-2022")</f>
        <v/>
      </c>
      <c r="AB88">
        <f>HYPERLINK("https://klasma.github.io/Logging_2280/klagomålsmail/A 43541-2022 FSC-klagomål mail.docx", "A 43541-2022")</f>
        <v/>
      </c>
      <c r="AC88">
        <f>HYPERLINK("https://klasma.github.io/Logging_2280/tillsyn/A 43541-2022 tillsynsbegäran.docx", "A 43541-2022")</f>
        <v/>
      </c>
      <c r="AD88">
        <f>HYPERLINK("https://klasma.github.io/Logging_2280/tillsynsmail/A 43541-2022 tillsynsbegäran mail.docx", "A 43541-2022")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46254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Garnlav</t>
        </is>
      </c>
      <c r="W89">
        <f>HYPERLINK("https://klasma.github.io/Logging_2280/artfynd/A 19077-2024 artfynd.xlsx", "A 19077-2024")</f>
        <v/>
      </c>
      <c r="X89">
        <f>HYPERLINK("https://klasma.github.io/Logging_2280/kartor/A 19077-2024 karta.png", "A 19077-2024")</f>
        <v/>
      </c>
      <c r="Y89">
        <f>HYPERLINK("https://klasma.github.io/Logging_2280/kartor_geotiff/A 19077-2024 georefererad karta.tif", "A 19077-2024")</f>
        <v/>
      </c>
      <c r="AA89">
        <f>HYPERLINK("https://klasma.github.io/Logging_2280/klagomål/A 19077-2024 FSC-klagomål.docx", "A 19077-2024")</f>
        <v/>
      </c>
      <c r="AB89">
        <f>HYPERLINK("https://klasma.github.io/Logging_2280/klagomålsmail/A 19077-2024 FSC-klagomål mail.docx", "A 19077-2024")</f>
        <v/>
      </c>
      <c r="AC89">
        <f>HYPERLINK("https://klasma.github.io/Logging_2280/tillsyn/A 19077-2024 tillsynsbegäran.docx", "A 19077-2024")</f>
        <v/>
      </c>
      <c r="AD89">
        <f>HYPERLINK("https://klasma.github.io/Logging_2280/tillsynsmail/A 19077-2024 tillsynsbegäran mail.docx", "A 19077-2024")</f>
        <v/>
      </c>
    </row>
    <row r="90" ht="15" customHeight="1">
      <c r="A90" t="inlineStr">
        <is>
          <t>A 18583-2026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46254</v>
      </c>
      <c r="F90" t="inlineStr">
        <is>
          <t>VÄSTERNORRLANDS LÄN</t>
        </is>
      </c>
      <c r="G90" t="inlineStr">
        <is>
          <t>HÄRNÖSAND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Violettgrå tagellav</t>
        </is>
      </c>
      <c r="W90">
        <f>HYPERLINK("https://klasma.github.io/Logging_2280/artfynd/A 18583-2026 artfynd.xlsx", "A 18583-2026")</f>
        <v/>
      </c>
      <c r="X90">
        <f>HYPERLINK("https://klasma.github.io/Logging_2280/kartor/A 18583-2026 karta.png", "A 18583-2026")</f>
        <v/>
      </c>
      <c r="Y90">
        <f>HYPERLINK("https://klasma.github.io/Logging_2280/kartor_geotiff/A 18583-2026 georefererad karta.tif", "A 18583-2026")</f>
        <v/>
      </c>
      <c r="AA90">
        <f>HYPERLINK("https://klasma.github.io/Logging_2280/klagomål/A 18583-2026 FSC-klagomål.docx", "A 18583-2026")</f>
        <v/>
      </c>
      <c r="AB90">
        <f>HYPERLINK("https://klasma.github.io/Logging_2280/klagomålsmail/A 18583-2026 FSC-klagomål mail.docx", "A 18583-2026")</f>
        <v/>
      </c>
      <c r="AC90">
        <f>HYPERLINK("https://klasma.github.io/Logging_2280/tillsyn/A 18583-2026 tillsynsbegäran.docx", "A 18583-2026")</f>
        <v/>
      </c>
      <c r="AD90">
        <f>HYPERLINK("https://klasma.github.io/Logging_2280/tillsynsmail/A 18583-2026 tillsynsbegäran mail.docx", "A 18583-2026")</f>
        <v/>
      </c>
    </row>
    <row r="91" ht="15" customHeight="1">
      <c r="A91" t="inlineStr">
        <is>
          <t>A 26086-2025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46254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0.8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Orre</t>
        </is>
      </c>
      <c r="W91">
        <f>HYPERLINK("https://klasma.github.io/Logging_2280/artfynd/A 26086-2025 artfynd.xlsx", "A 26086-2025")</f>
        <v/>
      </c>
      <c r="X91">
        <f>HYPERLINK("https://klasma.github.io/Logging_2280/kartor/A 26086-2025 karta.png", "A 26086-2025")</f>
        <v/>
      </c>
      <c r="Y91">
        <f>HYPERLINK("https://klasma.github.io/Logging_2280/kartor_geotiff/A 26086-2025 georefererad karta.tif", "A 26086-2025")</f>
        <v/>
      </c>
      <c r="AA91">
        <f>HYPERLINK("https://klasma.github.io/Logging_2280/klagomål/A 26086-2025 FSC-klagomål.docx", "A 26086-2025")</f>
        <v/>
      </c>
      <c r="AB91">
        <f>HYPERLINK("https://klasma.github.io/Logging_2280/klagomålsmail/A 26086-2025 FSC-klagomål mail.docx", "A 26086-2025")</f>
        <v/>
      </c>
      <c r="AC91">
        <f>HYPERLINK("https://klasma.github.io/Logging_2280/tillsyn/A 26086-2025 tillsynsbegäran.docx", "A 26086-2025")</f>
        <v/>
      </c>
      <c r="AD91">
        <f>HYPERLINK("https://klasma.github.io/Logging_2280/tillsynsmail/A 26086-2025 tillsynsbegäran mail.docx", "A 26086-2025")</f>
        <v/>
      </c>
      <c r="AE91">
        <f>HYPERLINK("https://klasma.github.io/Logging_2280/fåglar/A 26086-2025 prioriterade fågelarter.docx", "A 26086-2025")</f>
        <v/>
      </c>
    </row>
    <row r="92" ht="15" customHeight="1">
      <c r="A92" t="inlineStr">
        <is>
          <t>A 26174-2025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46254</v>
      </c>
      <c r="F92" t="inlineStr">
        <is>
          <t>VÄSTERNORRLANDS LÄN</t>
        </is>
      </c>
      <c r="G92" t="inlineStr">
        <is>
          <t>HÄRNÖSAND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Lunglav</t>
        </is>
      </c>
      <c r="W92">
        <f>HYPERLINK("https://klasma.github.io/Logging_2280/artfynd/A 26174-2025 artfynd.xlsx", "A 26174-2025")</f>
        <v/>
      </c>
      <c r="X92">
        <f>HYPERLINK("https://klasma.github.io/Logging_2280/kartor/A 26174-2025 karta.png", "A 26174-2025")</f>
        <v/>
      </c>
      <c r="Y92">
        <f>HYPERLINK("https://klasma.github.io/Logging_2280/kartor_geotiff/A 26174-2025 georefererad karta.tif", "A 26174-2025")</f>
        <v/>
      </c>
      <c r="AA92">
        <f>HYPERLINK("https://klasma.github.io/Logging_2280/klagomål/A 26174-2025 FSC-klagomål.docx", "A 26174-2025")</f>
        <v/>
      </c>
      <c r="AB92">
        <f>HYPERLINK("https://klasma.github.io/Logging_2280/klagomålsmail/A 26174-2025 FSC-klagomål mail.docx", "A 26174-2025")</f>
        <v/>
      </c>
      <c r="AC92">
        <f>HYPERLINK("https://klasma.github.io/Logging_2280/tillsyn/A 26174-2025 tillsynsbegäran.docx", "A 26174-2025")</f>
        <v/>
      </c>
      <c r="AD92">
        <f>HYPERLINK("https://klasma.github.io/Logging_2280/tillsynsmail/A 26174-2025 tillsynsbegäran mail.docx", "A 26174-2025")</f>
        <v/>
      </c>
    </row>
    <row r="93" ht="15" customHeight="1">
      <c r="A93" t="inlineStr">
        <is>
          <t>A 26922-2025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46254</v>
      </c>
      <c r="F93" t="inlineStr">
        <is>
          <t>VÄSTERNORRLANDS LÄN</t>
        </is>
      </c>
      <c r="G93" t="inlineStr">
        <is>
          <t>HÄRNÖSAND</t>
        </is>
      </c>
      <c r="I93" t="n">
        <v>2.4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Barkticka</t>
        </is>
      </c>
      <c r="W93">
        <f>HYPERLINK("https://klasma.github.io/Logging_2280/artfynd/A 26922-2025 artfynd.xlsx", "A 26922-2025")</f>
        <v/>
      </c>
      <c r="X93">
        <f>HYPERLINK("https://klasma.github.io/Logging_2280/kartor/A 26922-2025 karta.png", "A 26922-2025")</f>
        <v/>
      </c>
      <c r="Y93">
        <f>HYPERLINK("https://klasma.github.io/Logging_2280/kartor_geotiff/A 26922-2025 georefererad karta.tif", "A 26922-2025")</f>
        <v/>
      </c>
      <c r="AA93">
        <f>HYPERLINK("https://klasma.github.io/Logging_2280/klagomål/A 26922-2025 FSC-klagomål.docx", "A 26922-2025")</f>
        <v/>
      </c>
      <c r="AB93">
        <f>HYPERLINK("https://klasma.github.io/Logging_2280/klagomålsmail/A 26922-2025 FSC-klagomål mail.docx", "A 26922-2025")</f>
        <v/>
      </c>
      <c r="AC93">
        <f>HYPERLINK("https://klasma.github.io/Logging_2280/tillsyn/A 26922-2025 tillsynsbegäran.docx", "A 26922-2025")</f>
        <v/>
      </c>
      <c r="AD93">
        <f>HYPERLINK("https://klasma.github.io/Logging_2280/tillsynsmail/A 26922-2025 tillsynsbegäran mail.docx", "A 26922-2025")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46254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46254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46254</v>
      </c>
      <c r="F96" t="inlineStr">
        <is>
          <t>VÄSTERNORRLANDS LÄN</t>
        </is>
      </c>
      <c r="G96" t="inlineStr">
        <is>
          <t>HÄRNÖSAND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46254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46254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46254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46254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46254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46254</v>
      </c>
      <c r="F102" t="inlineStr">
        <is>
          <t>VÄSTERNORRLANDS LÄN</t>
        </is>
      </c>
      <c r="G102" t="inlineStr">
        <is>
          <t>HÄRNÖSAND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46254</v>
      </c>
      <c r="F103" t="inlineStr">
        <is>
          <t>VÄSTERNORRLANDS LÄN</t>
        </is>
      </c>
      <c r="G103" t="inlineStr">
        <is>
          <t>HÄRNÖSAND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44720</v>
      </c>
      <c r="E104" s="1" t="n">
        <v>46254</v>
      </c>
      <c r="F104" t="inlineStr">
        <is>
          <t>VÄSTERNORRLANDS LÄN</t>
        </is>
      </c>
      <c r="G104" t="inlineStr">
        <is>
          <t>HÄRNÖSAND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46254</v>
      </c>
      <c r="F105" t="inlineStr">
        <is>
          <t>VÄSTERNORRLANDS LÄN</t>
        </is>
      </c>
      <c r="G105" t="inlineStr">
        <is>
          <t>HÄRNÖSAND</t>
        </is>
      </c>
      <c r="H105" t="inlineStr">
        <is>
          <t>SCA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46254</v>
      </c>
      <c r="F106" t="inlineStr">
        <is>
          <t>VÄSTERNORRLANDS LÄN</t>
        </is>
      </c>
      <c r="G106" t="inlineStr">
        <is>
          <t>HÄRNÖSAND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46254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46254</v>
      </c>
      <c r="F108" t="inlineStr">
        <is>
          <t>VÄSTERNORRLANDS LÄN</t>
        </is>
      </c>
      <c r="G108" t="inlineStr">
        <is>
          <t>HÄRNÖSAND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46254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64933-2021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44512</v>
      </c>
      <c r="E110" s="1" t="n">
        <v>46254</v>
      </c>
      <c r="F110" t="inlineStr">
        <is>
          <t>VÄSTERNORRLANDS LÄN</t>
        </is>
      </c>
      <c r="G110" t="inlineStr">
        <is>
          <t>HÄRNÖSAND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66159-2021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46254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46254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44477</v>
      </c>
      <c r="E113" s="1" t="n">
        <v>46254</v>
      </c>
      <c r="F113" t="inlineStr">
        <is>
          <t>VÄSTERNORRLANDS LÄN</t>
        </is>
      </c>
      <c r="G113" t="inlineStr">
        <is>
          <t>HÄRNÖSAND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46254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44771-2021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44438</v>
      </c>
      <c r="E115" s="1" t="n">
        <v>46254</v>
      </c>
      <c r="F115" t="inlineStr">
        <is>
          <t>VÄSTERNORRLANDS LÄN</t>
        </is>
      </c>
      <c r="G115" t="inlineStr">
        <is>
          <t>HÄRNÖSAND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46254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46254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46254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46254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46254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46254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46254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46254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46254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46254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46254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46254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46254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46254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46254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46254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46254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46254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46254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46254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46254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46254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46254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46254</v>
      </c>
      <c r="F139" t="inlineStr">
        <is>
          <t>VÄSTERNORRLANDS LÄN</t>
        </is>
      </c>
      <c r="G139" t="inlineStr">
        <is>
          <t>HÄRNÖSAND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46254</v>
      </c>
      <c r="F140" t="inlineStr">
        <is>
          <t>VÄSTERNORRLANDS LÄN</t>
        </is>
      </c>
      <c r="G140" t="inlineStr">
        <is>
          <t>HÄRNÖSAND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45293</v>
      </c>
      <c r="E141" s="1" t="n">
        <v>46254</v>
      </c>
      <c r="F141" t="inlineStr">
        <is>
          <t>VÄSTERNORRLANDS LÄN</t>
        </is>
      </c>
      <c r="G141" t="inlineStr">
        <is>
          <t>HÄRNÖSAND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44747</v>
      </c>
      <c r="E142" s="1" t="n">
        <v>46254</v>
      </c>
      <c r="F142" t="inlineStr">
        <is>
          <t>VÄSTERNORRLANDS LÄN</t>
        </is>
      </c>
      <c r="G142" t="inlineStr">
        <is>
          <t>HÄRNÖSAND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49261-2022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44858</v>
      </c>
      <c r="E143" s="1" t="n">
        <v>46254</v>
      </c>
      <c r="F143" t="inlineStr">
        <is>
          <t>VÄSTERNORRLANDS LÄN</t>
        </is>
      </c>
      <c r="G143" t="inlineStr">
        <is>
          <t>HÄRNÖSAND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54251-2022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44881</v>
      </c>
      <c r="E144" s="1" t="n">
        <v>46254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44641</v>
      </c>
      <c r="E145" s="1" t="n">
        <v>46254</v>
      </c>
      <c r="F145" t="inlineStr">
        <is>
          <t>VÄSTERNORRLANDS LÄN</t>
        </is>
      </c>
      <c r="G145" t="inlineStr">
        <is>
          <t>HÄRNÖSAND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45334</v>
      </c>
      <c r="E146" s="1" t="n">
        <v>46254</v>
      </c>
      <c r="F146" t="inlineStr">
        <is>
          <t>VÄSTERNORRLANDS LÄN</t>
        </is>
      </c>
      <c r="G146" t="inlineStr">
        <is>
          <t>HÄRNÖSAND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49039-2023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45209</v>
      </c>
      <c r="E147" s="1" t="n">
        <v>46254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45667</v>
      </c>
      <c r="E148" s="1" t="n">
        <v>46254</v>
      </c>
      <c r="F148" t="inlineStr">
        <is>
          <t>VÄSTERNORRLANDS LÄN</t>
        </is>
      </c>
      <c r="G148" t="inlineStr">
        <is>
          <t>HÄRNÖSAND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44617</v>
      </c>
      <c r="E149" s="1" t="n">
        <v>46254</v>
      </c>
      <c r="F149" t="inlineStr">
        <is>
          <t>VÄSTERNORRLANDS LÄN</t>
        </is>
      </c>
      <c r="G149" t="inlineStr">
        <is>
          <t>HÄRNÖSAND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45413-2024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45576</v>
      </c>
      <c r="E150" s="1" t="n">
        <v>46254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46254</v>
      </c>
      <c r="F151" t="inlineStr">
        <is>
          <t>VÄSTERNORRLANDS LÄN</t>
        </is>
      </c>
      <c r="G151" t="inlineStr">
        <is>
          <t>HÄRNÖSAND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45314</v>
      </c>
      <c r="E152" s="1" t="n">
        <v>46254</v>
      </c>
      <c r="F152" t="inlineStr">
        <is>
          <t>VÄSTERNORRLANDS LÄN</t>
        </is>
      </c>
      <c r="G152" t="inlineStr">
        <is>
          <t>HÄRNÖSAND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46254</v>
      </c>
      <c r="F153" t="inlineStr">
        <is>
          <t>VÄSTERNORRLANDS LÄN</t>
        </is>
      </c>
      <c r="G153" t="inlineStr">
        <is>
          <t>HÄRNÖSAND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46254</v>
      </c>
      <c r="F154" t="inlineStr">
        <is>
          <t>VÄSTERNORRLANDS LÄN</t>
        </is>
      </c>
      <c r="G154" t="inlineStr">
        <is>
          <t>HÄRNÖSAND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45496</v>
      </c>
      <c r="E155" s="1" t="n">
        <v>46254</v>
      </c>
      <c r="F155" t="inlineStr">
        <is>
          <t>VÄSTERNORRLANDS LÄN</t>
        </is>
      </c>
      <c r="G155" t="inlineStr">
        <is>
          <t>HÄRNÖSAND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46254</v>
      </c>
      <c r="F156" t="inlineStr">
        <is>
          <t>VÄSTERNORRLANDS LÄN</t>
        </is>
      </c>
      <c r="G156" t="inlineStr">
        <is>
          <t>HÄRNÖSAND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45352</v>
      </c>
      <c r="E157" s="1" t="n">
        <v>46254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47939-2022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44853</v>
      </c>
      <c r="E158" s="1" t="n">
        <v>46254</v>
      </c>
      <c r="F158" t="inlineStr">
        <is>
          <t>VÄSTERNORRLANDS LÄN</t>
        </is>
      </c>
      <c r="G158" t="inlineStr">
        <is>
          <t>HÄRNÖSAND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44809</v>
      </c>
      <c r="E159" s="1" t="n">
        <v>46254</v>
      </c>
      <c r="F159" t="inlineStr">
        <is>
          <t>VÄSTERNORRLANDS LÄN</t>
        </is>
      </c>
      <c r="G159" t="inlineStr">
        <is>
          <t>HÄRNÖSAND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17516-2025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45757</v>
      </c>
      <c r="E160" s="1" t="n">
        <v>46254</v>
      </c>
      <c r="F160" t="inlineStr">
        <is>
          <t>VÄSTERNORRLANDS LÄN</t>
        </is>
      </c>
      <c r="G160" t="inlineStr">
        <is>
          <t>HÄRNÖSAND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40716-2024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46254</v>
      </c>
      <c r="F161" t="inlineStr">
        <is>
          <t>VÄSTERNORRLANDS LÄN</t>
        </is>
      </c>
      <c r="G161" t="inlineStr">
        <is>
          <t>HÄRNÖSAND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45126</v>
      </c>
      <c r="E162" s="1" t="n">
        <v>46254</v>
      </c>
      <c r="F162" t="inlineStr">
        <is>
          <t>VÄSTERNORRLANDS LÄN</t>
        </is>
      </c>
      <c r="G162" t="inlineStr">
        <is>
          <t>HÄRNÖSAND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45228</v>
      </c>
      <c r="E163" s="1" t="n">
        <v>46254</v>
      </c>
      <c r="F163" t="inlineStr">
        <is>
          <t>VÄSTERNORRLANDS LÄN</t>
        </is>
      </c>
      <c r="G163" t="inlineStr">
        <is>
          <t>HÄRNÖSAND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46254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45300</v>
      </c>
      <c r="E165" s="1" t="n">
        <v>46254</v>
      </c>
      <c r="F165" t="inlineStr">
        <is>
          <t>VÄSTERNORRLANDS LÄN</t>
        </is>
      </c>
      <c r="G165" t="inlineStr">
        <is>
          <t>HÄRNÖSAND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45628</v>
      </c>
      <c r="E166" s="1" t="n">
        <v>46254</v>
      </c>
      <c r="F166" t="inlineStr">
        <is>
          <t>VÄSTERNORRLANDS LÄN</t>
        </is>
      </c>
      <c r="G166" t="inlineStr">
        <is>
          <t>HÄRNÖSAND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29255-2024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45482</v>
      </c>
      <c r="E167" s="1" t="n">
        <v>46254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29613-2023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45106</v>
      </c>
      <c r="E168" s="1" t="n">
        <v>46254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45531</v>
      </c>
      <c r="E169" s="1" t="n">
        <v>46254</v>
      </c>
      <c r="F169" t="inlineStr">
        <is>
          <t>VÄSTERNORRLANDS LÄN</t>
        </is>
      </c>
      <c r="G169" t="inlineStr">
        <is>
          <t>HÄRNÖSAND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44853</v>
      </c>
      <c r="E170" s="1" t="n">
        <v>46254</v>
      </c>
      <c r="F170" t="inlineStr">
        <is>
          <t>VÄSTERNORRLANDS LÄN</t>
        </is>
      </c>
      <c r="G170" t="inlineStr">
        <is>
          <t>HÄRNÖSAND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65222-2023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45289</v>
      </c>
      <c r="E171" s="1" t="n">
        <v>46254</v>
      </c>
      <c r="F171" t="inlineStr">
        <is>
          <t>VÄSTERNORRLANDS LÄN</t>
        </is>
      </c>
      <c r="G171" t="inlineStr">
        <is>
          <t>HÄRNÖSAND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46254</v>
      </c>
      <c r="F172" t="inlineStr">
        <is>
          <t>VÄSTERNORRLANDS LÄN</t>
        </is>
      </c>
      <c r="G172" t="inlineStr">
        <is>
          <t>HÄRNÖSAND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65224-2023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45289</v>
      </c>
      <c r="E173" s="1" t="n">
        <v>46254</v>
      </c>
      <c r="F173" t="inlineStr">
        <is>
          <t>VÄSTERNORRLANDS LÄN</t>
        </is>
      </c>
      <c r="G173" t="inlineStr">
        <is>
          <t>HÄRNÖSAND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64023-2023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45278</v>
      </c>
      <c r="E174" s="1" t="n">
        <v>46254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42646-2023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45181</v>
      </c>
      <c r="E175" s="1" t="n">
        <v>46254</v>
      </c>
      <c r="F175" t="inlineStr">
        <is>
          <t>VÄSTERNORRLANDS LÄN</t>
        </is>
      </c>
      <c r="G175" t="inlineStr">
        <is>
          <t>HÄRNÖSAND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45578</v>
      </c>
      <c r="E176" s="1" t="n">
        <v>46254</v>
      </c>
      <c r="F176" t="inlineStr">
        <is>
          <t>VÄSTERNORRLANDS LÄN</t>
        </is>
      </c>
      <c r="G176" t="inlineStr">
        <is>
          <t>HÄRNÖSAND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45578</v>
      </c>
      <c r="E177" s="1" t="n">
        <v>46254</v>
      </c>
      <c r="F177" t="inlineStr">
        <is>
          <t>VÄSTERNORRLANDS LÄN</t>
        </is>
      </c>
      <c r="G177" t="inlineStr">
        <is>
          <t>HÄRNÖSAND</t>
        </is>
      </c>
      <c r="I177" t="n">
        <v>10.3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45749</v>
      </c>
      <c r="E178" s="1" t="n">
        <v>46254</v>
      </c>
      <c r="F178" t="inlineStr">
        <is>
          <t>VÄSTERNORRLANDS LÄN</t>
        </is>
      </c>
      <c r="G178" t="inlineStr">
        <is>
          <t>HÄRNÖSAND</t>
        </is>
      </c>
      <c r="I178" t="n">
        <v>9.300000000000001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44728</v>
      </c>
      <c r="E179" s="1" t="n">
        <v>46254</v>
      </c>
      <c r="F179" t="inlineStr">
        <is>
          <t>VÄSTERNORRLANDS LÄN</t>
        </is>
      </c>
      <c r="G179" t="inlineStr">
        <is>
          <t>HÄRNÖSAND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45757</v>
      </c>
      <c r="E180" s="1" t="n">
        <v>46254</v>
      </c>
      <c r="F180" t="inlineStr">
        <is>
          <t>VÄSTERNORRLANDS LÄN</t>
        </is>
      </c>
      <c r="G180" t="inlineStr">
        <is>
          <t>HÄRNÖSAND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30710-2024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45496</v>
      </c>
      <c r="E181" s="1" t="n">
        <v>46254</v>
      </c>
      <c r="F181" t="inlineStr">
        <is>
          <t>VÄSTERNORRLANDS LÄN</t>
        </is>
      </c>
      <c r="G181" t="inlineStr">
        <is>
          <t>HÄRNÖSAND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29429-2024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45483</v>
      </c>
      <c r="E182" s="1" t="n">
        <v>46254</v>
      </c>
      <c r="F182" t="inlineStr">
        <is>
          <t>VÄSTERNORRLANDS LÄN</t>
        </is>
      </c>
      <c r="G182" t="inlineStr">
        <is>
          <t>HÄRNÖSAND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18812-2025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45764</v>
      </c>
      <c r="E183" s="1" t="n">
        <v>46254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7061-2022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44603</v>
      </c>
      <c r="E184" s="1" t="n">
        <v>46254</v>
      </c>
      <c r="F184" t="inlineStr">
        <is>
          <t>VÄSTERNORRLANDS LÄN</t>
        </is>
      </c>
      <c r="G184" t="inlineStr">
        <is>
          <t>HÄRNÖSAND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19167-2025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45769</v>
      </c>
      <c r="E185" s="1" t="n">
        <v>46254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41147-2023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45173</v>
      </c>
      <c r="E186" s="1" t="n">
        <v>46254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47781-2023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45203</v>
      </c>
      <c r="E187" s="1" t="n">
        <v>46254</v>
      </c>
      <c r="F187" t="inlineStr">
        <is>
          <t>VÄSTERNORRLANDS LÄN</t>
        </is>
      </c>
      <c r="G187" t="inlineStr">
        <is>
          <t>HÄRNÖSAND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44980</v>
      </c>
      <c r="E188" s="1" t="n">
        <v>46254</v>
      </c>
      <c r="F188" t="inlineStr">
        <is>
          <t>VÄSTERNORRLANDS LÄN</t>
        </is>
      </c>
      <c r="G188" t="inlineStr">
        <is>
          <t>HÄRNÖSAND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6886-2025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45701</v>
      </c>
      <c r="E189" s="1" t="n">
        <v>46254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40452-2023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45168</v>
      </c>
      <c r="E190" s="1" t="n">
        <v>46254</v>
      </c>
      <c r="F190" t="inlineStr">
        <is>
          <t>VÄSTERNORRLANDS LÄN</t>
        </is>
      </c>
      <c r="G190" t="inlineStr">
        <is>
          <t>HÄRNÖSAND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45097</v>
      </c>
      <c r="E191" s="1" t="n">
        <v>46254</v>
      </c>
      <c r="F191" t="inlineStr">
        <is>
          <t>VÄSTERNORRLANDS LÄN</t>
        </is>
      </c>
      <c r="G191" t="inlineStr">
        <is>
          <t>HÄRNÖSAND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42214-2024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45562</v>
      </c>
      <c r="E192" s="1" t="n">
        <v>46254</v>
      </c>
      <c r="F192" t="inlineStr">
        <is>
          <t>VÄSTERNORRLANDS LÄN</t>
        </is>
      </c>
      <c r="G192" t="inlineStr">
        <is>
          <t>HÄRNÖSAND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45729</v>
      </c>
      <c r="E193" s="1" t="n">
        <v>46254</v>
      </c>
      <c r="F193" t="inlineStr">
        <is>
          <t>VÄSTERNORRLANDS LÄN</t>
        </is>
      </c>
      <c r="G193" t="inlineStr">
        <is>
          <t>HÄRNÖSAND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45617</v>
      </c>
      <c r="E194" s="1" t="n">
        <v>46254</v>
      </c>
      <c r="F194" t="inlineStr">
        <is>
          <t>VÄSTERNORRLANDS LÄN</t>
        </is>
      </c>
      <c r="G194" t="inlineStr">
        <is>
          <t>HÄRNÖSAND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19166-2025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45769</v>
      </c>
      <c r="E195" s="1" t="n">
        <v>46254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45531</v>
      </c>
      <c r="E196" s="1" t="n">
        <v>46254</v>
      </c>
      <c r="F196" t="inlineStr">
        <is>
          <t>VÄSTERNORRLANDS LÄN</t>
        </is>
      </c>
      <c r="G196" t="inlineStr">
        <is>
          <t>HÄRNÖSAND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8411-2024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45352</v>
      </c>
      <c r="E197" s="1" t="n">
        <v>46254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12497-2025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45730</v>
      </c>
      <c r="E198" s="1" t="n">
        <v>46254</v>
      </c>
      <c r="F198" t="inlineStr">
        <is>
          <t>VÄSTERNORRLANDS LÄN</t>
        </is>
      </c>
      <c r="G198" t="inlineStr">
        <is>
          <t>HÄRNÖSAND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59408-2024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45638</v>
      </c>
      <c r="E199" s="1" t="n">
        <v>46254</v>
      </c>
      <c r="F199" t="inlineStr">
        <is>
          <t>VÄSTERNORRLANDS LÄN</t>
        </is>
      </c>
      <c r="G199" t="inlineStr">
        <is>
          <t>HÄRNÖSAND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45293</v>
      </c>
      <c r="E200" s="1" t="n">
        <v>46254</v>
      </c>
      <c r="F200" t="inlineStr">
        <is>
          <t>VÄSTERNORRLANDS LÄN</t>
        </is>
      </c>
      <c r="G200" t="inlineStr">
        <is>
          <t>HÄRNÖSAND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43248-2023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45180</v>
      </c>
      <c r="E201" s="1" t="n">
        <v>46254</v>
      </c>
      <c r="F201" t="inlineStr">
        <is>
          <t>VÄSTERNORRLANDS LÄN</t>
        </is>
      </c>
      <c r="G201" t="inlineStr">
        <is>
          <t>HÄRNÖSAND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47944-2022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44853</v>
      </c>
      <c r="E202" s="1" t="n">
        <v>46254</v>
      </c>
      <c r="F202" t="inlineStr">
        <is>
          <t>VÄSTERNORRLANDS LÄN</t>
        </is>
      </c>
      <c r="G202" t="inlineStr">
        <is>
          <t>HÄRNÖSAND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6833-2024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45342</v>
      </c>
      <c r="E203" s="1" t="n">
        <v>46254</v>
      </c>
      <c r="F203" t="inlineStr">
        <is>
          <t>VÄSTERNORRLANDS LÄN</t>
        </is>
      </c>
      <c r="G203" t="inlineStr">
        <is>
          <t>HÄRNÖSAND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45147</v>
      </c>
      <c r="E204" s="1" t="n">
        <v>46254</v>
      </c>
      <c r="F204" t="inlineStr">
        <is>
          <t>VÄSTERNORRLANDS LÄN</t>
        </is>
      </c>
      <c r="G204" t="inlineStr">
        <is>
          <t>HÄRNÖSAND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45761</v>
      </c>
      <c r="E205" s="1" t="n">
        <v>46254</v>
      </c>
      <c r="F205" t="inlineStr">
        <is>
          <t>VÄSTERNORRLANDS LÄN</t>
        </is>
      </c>
      <c r="G205" t="inlineStr">
        <is>
          <t>HÄRNÖSAND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45320</v>
      </c>
      <c r="E206" s="1" t="n">
        <v>46254</v>
      </c>
      <c r="F206" t="inlineStr">
        <is>
          <t>VÄSTERNORRLANDS LÄN</t>
        </is>
      </c>
      <c r="G206" t="inlineStr">
        <is>
          <t>HÄRNÖSAND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45887</v>
      </c>
      <c r="E207" s="1" t="n">
        <v>46254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40237-2023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45168</v>
      </c>
      <c r="E208" s="1" t="n">
        <v>46254</v>
      </c>
      <c r="F208" t="inlineStr">
        <is>
          <t>VÄSTERNORRLANDS LÄN</t>
        </is>
      </c>
      <c r="G208" t="inlineStr">
        <is>
          <t>HÄRNÖSAND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45293</v>
      </c>
      <c r="E209" s="1" t="n">
        <v>46254</v>
      </c>
      <c r="F209" t="inlineStr">
        <is>
          <t>VÄSTERNORRLANDS LÄN</t>
        </is>
      </c>
      <c r="G209" t="inlineStr">
        <is>
          <t>HÄRNÖSAND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46254</v>
      </c>
      <c r="F210" t="inlineStr">
        <is>
          <t>VÄSTERNORRLANDS LÄN</t>
        </is>
      </c>
      <c r="G210" t="inlineStr">
        <is>
          <t>HÄRNÖSAND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38926-2025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45887</v>
      </c>
      <c r="E211" s="1" t="n">
        <v>46254</v>
      </c>
      <c r="F211" t="inlineStr">
        <is>
          <t>VÄSTERNORRLANDS LÄN</t>
        </is>
      </c>
      <c r="G211" t="inlineStr">
        <is>
          <t>HÄRNÖSAND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46065</v>
      </c>
      <c r="E212" s="1" t="n">
        <v>46254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Kyrkan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46254</v>
      </c>
      <c r="F213" t="inlineStr">
        <is>
          <t>VÄSTERNORRLANDS LÄN</t>
        </is>
      </c>
      <c r="G213" t="inlineStr">
        <is>
          <t>HÄRNÖSAND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38567-2025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45884</v>
      </c>
      <c r="E214" s="1" t="n">
        <v>46254</v>
      </c>
      <c r="F214" t="inlineStr">
        <is>
          <t>VÄSTERNORRLANDS LÄN</t>
        </is>
      </c>
      <c r="G214" t="inlineStr">
        <is>
          <t>HÄRNÖSAND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39474-2025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45890</v>
      </c>
      <c r="E215" s="1" t="n">
        <v>46254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39667-2025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45890</v>
      </c>
      <c r="E216" s="1" t="n">
        <v>46254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45904</v>
      </c>
      <c r="E217" s="1" t="n">
        <v>46254</v>
      </c>
      <c r="F217" t="inlineStr">
        <is>
          <t>VÄSTERNORRLANDS LÄN</t>
        </is>
      </c>
      <c r="G217" t="inlineStr">
        <is>
          <t>HÄRNÖSAND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46024</v>
      </c>
      <c r="E218" s="1" t="n">
        <v>46254</v>
      </c>
      <c r="F218" t="inlineStr">
        <is>
          <t>VÄSTERNORRLANDS LÄN</t>
        </is>
      </c>
      <c r="G218" t="inlineStr">
        <is>
          <t>HÄRNÖSAND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39876-2025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45891</v>
      </c>
      <c r="E219" s="1" t="n">
        <v>46254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45348</v>
      </c>
      <c r="E220" s="1" t="n">
        <v>46254</v>
      </c>
      <c r="F220" t="inlineStr">
        <is>
          <t>VÄSTERNORRLANDS LÄN</t>
        </is>
      </c>
      <c r="G220" t="inlineStr">
        <is>
          <t>HÄRNÖSAND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45168</v>
      </c>
      <c r="E221" s="1" t="n">
        <v>46254</v>
      </c>
      <c r="F221" t="inlineStr">
        <is>
          <t>VÄSTERNORRLANDS LÄN</t>
        </is>
      </c>
      <c r="G221" t="inlineStr">
        <is>
          <t>HÄRNÖSAND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23547-2023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45072</v>
      </c>
      <c r="E222" s="1" t="n">
        <v>46254</v>
      </c>
      <c r="F222" t="inlineStr">
        <is>
          <t>VÄSTERNORRLANDS LÄN</t>
        </is>
      </c>
      <c r="G222" t="inlineStr">
        <is>
          <t>HÄRNÖSAND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44936</v>
      </c>
      <c r="E223" s="1" t="n">
        <v>46254</v>
      </c>
      <c r="F223" t="inlineStr">
        <is>
          <t>VÄSTERNORRLANDS LÄN</t>
        </is>
      </c>
      <c r="G223" t="inlineStr">
        <is>
          <t>HÄRNÖSAND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46254</v>
      </c>
      <c r="F224" t="inlineStr">
        <is>
          <t>VÄSTERNORRLANDS LÄN</t>
        </is>
      </c>
      <c r="G224" t="inlineStr">
        <is>
          <t>HÄRNÖSAND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45526</v>
      </c>
      <c r="E225" s="1" t="n">
        <v>46254</v>
      </c>
      <c r="F225" t="inlineStr">
        <is>
          <t>VÄSTERNORRLANDS LÄN</t>
        </is>
      </c>
      <c r="G225" t="inlineStr">
        <is>
          <t>HÄRNÖSAND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32180-2024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45511</v>
      </c>
      <c r="E226" s="1" t="n">
        <v>46254</v>
      </c>
      <c r="F226" t="inlineStr">
        <is>
          <t>VÄSTERNORRLANDS LÄN</t>
        </is>
      </c>
      <c r="G226" t="inlineStr">
        <is>
          <t>HÄRNÖSAND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46254</v>
      </c>
      <c r="F227" t="inlineStr">
        <is>
          <t>VÄSTERNORRLANDS LÄN</t>
        </is>
      </c>
      <c r="G227" t="inlineStr">
        <is>
          <t>HÄRNÖSAND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46254</v>
      </c>
      <c r="F228" t="inlineStr">
        <is>
          <t>VÄSTERNORRLANDS LÄN</t>
        </is>
      </c>
      <c r="G228" t="inlineStr">
        <is>
          <t>HÄRNÖSAND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25007-2022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44728</v>
      </c>
      <c r="E229" s="1" t="n">
        <v>46254</v>
      </c>
      <c r="F229" t="inlineStr">
        <is>
          <t>VÄSTERNORRLANDS LÄN</t>
        </is>
      </c>
      <c r="G229" t="inlineStr">
        <is>
          <t>HÄRNÖSAND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34011-2024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45523</v>
      </c>
      <c r="E230" s="1" t="n">
        <v>46254</v>
      </c>
      <c r="F230" t="inlineStr">
        <is>
          <t>VÄSTERNORRLANDS LÄN</t>
        </is>
      </c>
      <c r="G230" t="inlineStr">
        <is>
          <t>HÄRNÖSAND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38920-2025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45887</v>
      </c>
      <c r="E231" s="1" t="n">
        <v>46254</v>
      </c>
      <c r="F231" t="inlineStr">
        <is>
          <t>VÄSTERNORRLANDS LÄN</t>
        </is>
      </c>
      <c r="G231" t="inlineStr">
        <is>
          <t>HÄRNÖSAND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33156-2025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45840</v>
      </c>
      <c r="E232" s="1" t="n">
        <v>46254</v>
      </c>
      <c r="F232" t="inlineStr">
        <is>
          <t>VÄSTERNORRLANDS LÄN</t>
        </is>
      </c>
      <c r="G232" t="inlineStr">
        <is>
          <t>HÄRNÖSAND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7536-2023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44971</v>
      </c>
      <c r="E233" s="1" t="n">
        <v>46254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46072</v>
      </c>
      <c r="E234" s="1" t="n">
        <v>46254</v>
      </c>
      <c r="F234" t="inlineStr">
        <is>
          <t>VÄSTERNORRLANDS LÄN</t>
        </is>
      </c>
      <c r="G234" t="inlineStr">
        <is>
          <t>HÄRNÖSAND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46142</v>
      </c>
      <c r="E235" s="1" t="n">
        <v>46254</v>
      </c>
      <c r="F235" t="inlineStr">
        <is>
          <t>VÄSTERNORRLANDS LÄN</t>
        </is>
      </c>
      <c r="G235" t="inlineStr">
        <is>
          <t>HÄRNÖSAND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41562-2025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45901</v>
      </c>
      <c r="E236" s="1" t="n">
        <v>46254</v>
      </c>
      <c r="F236" t="inlineStr">
        <is>
          <t>VÄSTERNORRLANDS LÄN</t>
        </is>
      </c>
      <c r="G236" t="inlineStr">
        <is>
          <t>HÄRNÖSAND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45489</v>
      </c>
      <c r="E237" s="1" t="n">
        <v>46254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46254</v>
      </c>
      <c r="F238" t="inlineStr">
        <is>
          <t>VÄSTERNORRLANDS LÄN</t>
        </is>
      </c>
      <c r="G238" t="inlineStr">
        <is>
          <t>HÄRNÖSAND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34161-2022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44791</v>
      </c>
      <c r="E239" s="1" t="n">
        <v>46254</v>
      </c>
      <c r="F239" t="inlineStr">
        <is>
          <t>VÄSTERNORRLANDS LÄN</t>
        </is>
      </c>
      <c r="G239" t="inlineStr">
        <is>
          <t>HÄRNÖSAND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63375-2023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45273</v>
      </c>
      <c r="E240" s="1" t="n">
        <v>46254</v>
      </c>
      <c r="F240" t="inlineStr">
        <is>
          <t>VÄSTERNORRLANDS LÄN</t>
        </is>
      </c>
      <c r="G240" t="inlineStr">
        <is>
          <t>HÄRNÖSAND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45126</v>
      </c>
      <c r="E241" s="1" t="n">
        <v>46254</v>
      </c>
      <c r="F241" t="inlineStr">
        <is>
          <t>VÄSTERNORRLANDS LÄN</t>
        </is>
      </c>
      <c r="G241" t="inlineStr">
        <is>
          <t>HÄRNÖSAND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46254</v>
      </c>
      <c r="F242" t="inlineStr">
        <is>
          <t>VÄSTERNORRLANDS LÄN</t>
        </is>
      </c>
      <c r="G242" t="inlineStr">
        <is>
          <t>HÄRNÖSAND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44987</v>
      </c>
      <c r="E243" s="1" t="n">
        <v>46254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45189</v>
      </c>
      <c r="E244" s="1" t="n">
        <v>46254</v>
      </c>
      <c r="F244" t="inlineStr">
        <is>
          <t>VÄSTERNORRLANDS LÄN</t>
        </is>
      </c>
      <c r="G244" t="inlineStr">
        <is>
          <t>HÄRNÖSAND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21928-2026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46150</v>
      </c>
      <c r="E245" s="1" t="n">
        <v>46254</v>
      </c>
      <c r="F245" t="inlineStr">
        <is>
          <t>VÄSTERNORRLANDS LÄN</t>
        </is>
      </c>
      <c r="G245" t="inlineStr">
        <is>
          <t>HÄRNÖSAND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22142-2026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46153</v>
      </c>
      <c r="E246" s="1" t="n">
        <v>46254</v>
      </c>
      <c r="F246" t="inlineStr">
        <is>
          <t>VÄSTERNORRLANDS LÄN</t>
        </is>
      </c>
      <c r="G246" t="inlineStr">
        <is>
          <t>HÄRNÖSAND</t>
        </is>
      </c>
      <c r="I246" t="n">
        <v>16.7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25696-2025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45803</v>
      </c>
      <c r="E247" s="1" t="n">
        <v>46254</v>
      </c>
      <c r="F247" t="inlineStr">
        <is>
          <t>VÄSTERNORRLANDS LÄN</t>
        </is>
      </c>
      <c r="G247" t="inlineStr">
        <is>
          <t>HÄRNÖSAND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11903-2024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45376</v>
      </c>
      <c r="E248" s="1" t="n">
        <v>46254</v>
      </c>
      <c r="F248" t="inlineStr">
        <is>
          <t>VÄSTERNORRLANDS LÄN</t>
        </is>
      </c>
      <c r="G248" t="inlineStr">
        <is>
          <t>HÄRNÖSAND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22200-2026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46153</v>
      </c>
      <c r="E249" s="1" t="n">
        <v>46254</v>
      </c>
      <c r="F249" t="inlineStr">
        <is>
          <t>VÄSTERNORRLANDS LÄN</t>
        </is>
      </c>
      <c r="G249" t="inlineStr">
        <is>
          <t>HÄRNÖSAND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52237-2022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44869</v>
      </c>
      <c r="E250" s="1" t="n">
        <v>46254</v>
      </c>
      <c r="F250" t="inlineStr">
        <is>
          <t>VÄSTERNORRLANDS LÄN</t>
        </is>
      </c>
      <c r="G250" t="inlineStr">
        <is>
          <t>HÄRNÖSAND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13611-2023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45006</v>
      </c>
      <c r="E251" s="1" t="n">
        <v>46254</v>
      </c>
      <c r="F251" t="inlineStr">
        <is>
          <t>VÄSTERNORRLANDS LÄN</t>
        </is>
      </c>
      <c r="G251" t="inlineStr">
        <is>
          <t>HÄRNÖSAND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45428</v>
      </c>
      <c r="E252" s="1" t="n">
        <v>46254</v>
      </c>
      <c r="F252" t="inlineStr">
        <is>
          <t>VÄSTERNORRLANDS LÄN</t>
        </is>
      </c>
      <c r="G252" t="inlineStr">
        <is>
          <t>HÄRNÖSAND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42197-2024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46254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46155</v>
      </c>
      <c r="E254" s="1" t="n">
        <v>46254</v>
      </c>
      <c r="F254" t="inlineStr">
        <is>
          <t>VÄSTERNORRLANDS LÄN</t>
        </is>
      </c>
      <c r="G254" t="inlineStr">
        <is>
          <t>HÄRNÖSAND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46254</v>
      </c>
      <c r="F255" t="inlineStr">
        <is>
          <t>VÄSTERNORRLANDS LÄN</t>
        </is>
      </c>
      <c r="G255" t="inlineStr">
        <is>
          <t>HÄRNÖSAND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16866-2024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45409</v>
      </c>
      <c r="E256" s="1" t="n">
        <v>46254</v>
      </c>
      <c r="F256" t="inlineStr">
        <is>
          <t>VÄSTERNORRLANDS LÄN</t>
        </is>
      </c>
      <c r="G256" t="inlineStr">
        <is>
          <t>HÄRNÖSAND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45645</v>
      </c>
      <c r="E257" s="1" t="n">
        <v>46254</v>
      </c>
      <c r="F257" t="inlineStr">
        <is>
          <t>VÄSTERNORRLANDS LÄN</t>
        </is>
      </c>
      <c r="G257" t="inlineStr">
        <is>
          <t>HÄRNÖSAND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15821-2026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46107</v>
      </c>
      <c r="E258" s="1" t="n">
        <v>46254</v>
      </c>
      <c r="F258" t="inlineStr">
        <is>
          <t>VÄSTERNORRLANDS LÄN</t>
        </is>
      </c>
      <c r="G258" t="inlineStr">
        <is>
          <t>HÄRNÖSAND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16854-2024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45409</v>
      </c>
      <c r="E259" s="1" t="n">
        <v>46254</v>
      </c>
      <c r="F259" t="inlineStr">
        <is>
          <t>VÄSTERNORRLANDS LÄN</t>
        </is>
      </c>
      <c r="G259" t="inlineStr">
        <is>
          <t>HÄRNÖSAND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23130-2026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46161</v>
      </c>
      <c r="E260" s="1" t="n">
        <v>46254</v>
      </c>
      <c r="F260" t="inlineStr">
        <is>
          <t>VÄSTERNORRLANDS LÄN</t>
        </is>
      </c>
      <c r="G260" t="inlineStr">
        <is>
          <t>HÄRNÖSAND</t>
        </is>
      </c>
      <c r="I260" t="n">
        <v>9.199999999999999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23176-2026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46161</v>
      </c>
      <c r="E261" s="1" t="n">
        <v>46254</v>
      </c>
      <c r="F261" t="inlineStr">
        <is>
          <t>VÄSTERNORRLANDS LÄN</t>
        </is>
      </c>
      <c r="G261" t="inlineStr">
        <is>
          <t>HÄRNÖSAND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23185-2026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46161</v>
      </c>
      <c r="E262" s="1" t="n">
        <v>46254</v>
      </c>
      <c r="F262" t="inlineStr">
        <is>
          <t>VÄSTERNORRLANDS LÄN</t>
        </is>
      </c>
      <c r="G262" t="inlineStr">
        <is>
          <t>HÄRNÖSAND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45786</v>
      </c>
      <c r="E263" s="1" t="n">
        <v>46254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31.8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22852-2025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45790</v>
      </c>
      <c r="E264" s="1" t="n">
        <v>46254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31.8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23137-2026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46161</v>
      </c>
      <c r="E265" s="1" t="n">
        <v>46254</v>
      </c>
      <c r="F265" t="inlineStr">
        <is>
          <t>VÄSTERNORRLANDS LÄN</t>
        </is>
      </c>
      <c r="G265" t="inlineStr">
        <is>
          <t>HÄRNÖSAND</t>
        </is>
      </c>
      <c r="I265" t="n">
        <v>9.199999999999999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22990-2026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46160</v>
      </c>
      <c r="E266" s="1" t="n">
        <v>46254</v>
      </c>
      <c r="F266" t="inlineStr">
        <is>
          <t>VÄSTERNORRLANDS LÄN</t>
        </is>
      </c>
      <c r="G266" t="inlineStr">
        <is>
          <t>HÄRNÖSAND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45813</v>
      </c>
      <c r="E267" s="1" t="n">
        <v>46254</v>
      </c>
      <c r="F267" t="inlineStr">
        <is>
          <t>VÄSTERNORRLANDS LÄN</t>
        </is>
      </c>
      <c r="G267" t="inlineStr">
        <is>
          <t>HÄRNÖSAND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23140-2026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46161</v>
      </c>
      <c r="E268" s="1" t="n">
        <v>46254</v>
      </c>
      <c r="F268" t="inlineStr">
        <is>
          <t>VÄSTERNORRLANDS LÄN</t>
        </is>
      </c>
      <c r="G268" t="inlineStr">
        <is>
          <t>HÄRNÖSAND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44032-2025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46254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44039-2025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46254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23148-2026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46161</v>
      </c>
      <c r="E271" s="1" t="n">
        <v>46254</v>
      </c>
      <c r="F271" t="inlineStr">
        <is>
          <t>VÄSTERNORRLANDS LÄN</t>
        </is>
      </c>
      <c r="G271" t="inlineStr">
        <is>
          <t>HÄRNÖSAND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23179-2026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46161</v>
      </c>
      <c r="E272" s="1" t="n">
        <v>46254</v>
      </c>
      <c r="F272" t="inlineStr">
        <is>
          <t>VÄSTERNORRLANDS LÄN</t>
        </is>
      </c>
      <c r="G272" t="inlineStr">
        <is>
          <t>HÄRNÖSAND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23168-2026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46161</v>
      </c>
      <c r="E273" s="1" t="n">
        <v>46254</v>
      </c>
      <c r="F273" t="inlineStr">
        <is>
          <t>VÄSTERNORRLANDS LÄN</t>
        </is>
      </c>
      <c r="G273" t="inlineStr">
        <is>
          <t>HÄRNÖSAND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23182-2026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46161</v>
      </c>
      <c r="E274" s="1" t="n">
        <v>46254</v>
      </c>
      <c r="F274" t="inlineStr">
        <is>
          <t>VÄSTERNORRLANDS LÄN</t>
        </is>
      </c>
      <c r="G274" t="inlineStr">
        <is>
          <t>HÄRNÖSAND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23186-2026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46161</v>
      </c>
      <c r="E275" s="1" t="n">
        <v>46254</v>
      </c>
      <c r="F275" t="inlineStr">
        <is>
          <t>VÄSTERNORRLANDS LÄN</t>
        </is>
      </c>
      <c r="G275" t="inlineStr">
        <is>
          <t>HÄRNÖSAND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23233-2026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46162</v>
      </c>
      <c r="E276" s="1" t="n">
        <v>46254</v>
      </c>
      <c r="F276" t="inlineStr">
        <is>
          <t>VÄSTERNORRLANDS LÄN</t>
        </is>
      </c>
      <c r="G276" t="inlineStr">
        <is>
          <t>HÄRNÖSAND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23231-2026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46162</v>
      </c>
      <c r="E277" s="1" t="n">
        <v>46254</v>
      </c>
      <c r="F277" t="inlineStr">
        <is>
          <t>VÄSTERNORRLANDS LÄN</t>
        </is>
      </c>
      <c r="G277" t="inlineStr">
        <is>
          <t>HÄRNÖSAND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31165-2025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45832</v>
      </c>
      <c r="E278" s="1" t="n">
        <v>46254</v>
      </c>
      <c r="F278" t="inlineStr">
        <is>
          <t>VÄSTERNORRLANDS LÄN</t>
        </is>
      </c>
      <c r="G278" t="inlineStr">
        <is>
          <t>HÄRNÖSAND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44765-2025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45917</v>
      </c>
      <c r="E279" s="1" t="n">
        <v>46254</v>
      </c>
      <c r="F279" t="inlineStr">
        <is>
          <t>VÄSTERNORRLANDS LÄN</t>
        </is>
      </c>
      <c r="G279" t="inlineStr">
        <is>
          <t>HÄRNÖSAND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23236-2026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46162</v>
      </c>
      <c r="E280" s="1" t="n">
        <v>46254</v>
      </c>
      <c r="F280" t="inlineStr">
        <is>
          <t>VÄSTERNORRLANDS LÄN</t>
        </is>
      </c>
      <c r="G280" t="inlineStr">
        <is>
          <t>HÄRNÖSAND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45147</v>
      </c>
      <c r="E281" s="1" t="n">
        <v>46254</v>
      </c>
      <c r="F281" t="inlineStr">
        <is>
          <t>VÄSTERNORRLANDS LÄN</t>
        </is>
      </c>
      <c r="G281" t="inlineStr">
        <is>
          <t>HÄRNÖSAND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23884-2026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46167</v>
      </c>
      <c r="E282" s="1" t="n">
        <v>46254</v>
      </c>
      <c r="F282" t="inlineStr">
        <is>
          <t>VÄSTERNORRLANDS LÄN</t>
        </is>
      </c>
      <c r="G282" t="inlineStr">
        <is>
          <t>HÄRNÖSAND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46167</v>
      </c>
      <c r="E283" s="1" t="n">
        <v>46254</v>
      </c>
      <c r="F283" t="inlineStr">
        <is>
          <t>VÄSTERNORRLANDS LÄN</t>
        </is>
      </c>
      <c r="G283" t="inlineStr">
        <is>
          <t>HÄRNÖSAND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25116-2024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45462</v>
      </c>
      <c r="E284" s="1" t="n">
        <v>46254</v>
      </c>
      <c r="F284" t="inlineStr">
        <is>
          <t>VÄSTERNORRLANDS LÄN</t>
        </is>
      </c>
      <c r="G284" t="inlineStr">
        <is>
          <t>HÄRNÖSAND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38379-2023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45161</v>
      </c>
      <c r="E285" s="1" t="n">
        <v>46254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59591-2024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45638</v>
      </c>
      <c r="E286" s="1" t="n">
        <v>46254</v>
      </c>
      <c r="F286" t="inlineStr">
        <is>
          <t>VÄSTERNORRLANDS LÄN</t>
        </is>
      </c>
      <c r="G286" t="inlineStr">
        <is>
          <t>HÄRNÖSAND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45063-2025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45919</v>
      </c>
      <c r="E287" s="1" t="n">
        <v>46254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45418</v>
      </c>
      <c r="E288" s="1" t="n">
        <v>46254</v>
      </c>
      <c r="F288" t="inlineStr">
        <is>
          <t>VÄSTERNORRLANDS LÄN</t>
        </is>
      </c>
      <c r="G288" t="inlineStr">
        <is>
          <t>HÄRNÖSAND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21585-2026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46149</v>
      </c>
      <c r="E289" s="1" t="n">
        <v>46254</v>
      </c>
      <c r="F289" t="inlineStr">
        <is>
          <t>VÄSTERNORRLANDS LÄN</t>
        </is>
      </c>
      <c r="G289" t="inlineStr">
        <is>
          <t>HÄRNÖSAND</t>
        </is>
      </c>
      <c r="I289" t="n">
        <v>13.8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26976-2023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46254</v>
      </c>
      <c r="F290" t="inlineStr">
        <is>
          <t>VÄSTERNORRLANDS LÄN</t>
        </is>
      </c>
      <c r="G290" t="inlineStr">
        <is>
          <t>HÄRNÖSAND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44937</v>
      </c>
      <c r="E291" s="1" t="n">
        <v>46254</v>
      </c>
      <c r="F291" t="inlineStr">
        <is>
          <t>VÄSTERNORRLANDS LÄN</t>
        </is>
      </c>
      <c r="G291" t="inlineStr">
        <is>
          <t>HÄRNÖSAND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24120-2026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46168</v>
      </c>
      <c r="E292" s="1" t="n">
        <v>46254</v>
      </c>
      <c r="F292" t="inlineStr">
        <is>
          <t>VÄSTERNORRLANDS LÄN</t>
        </is>
      </c>
      <c r="G292" t="inlineStr">
        <is>
          <t>HÄRNÖSAND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45739-2025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45923</v>
      </c>
      <c r="E293" s="1" t="n">
        <v>46254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45922</v>
      </c>
      <c r="E294" s="1" t="n">
        <v>46254</v>
      </c>
      <c r="F294" t="inlineStr">
        <is>
          <t>VÄSTERNORRLANDS LÄN</t>
        </is>
      </c>
      <c r="G294" t="inlineStr">
        <is>
          <t>HÄRNÖSAND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58467-2025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45985</v>
      </c>
      <c r="E295" s="1" t="n">
        <v>46254</v>
      </c>
      <c r="F295" t="inlineStr">
        <is>
          <t>VÄSTERNORRLANDS LÄN</t>
        </is>
      </c>
      <c r="G295" t="inlineStr">
        <is>
          <t>HÄRNÖSAND</t>
        </is>
      </c>
      <c r="I295" t="n">
        <v>12.3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30971-2026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46213</v>
      </c>
      <c r="E296" s="1" t="n">
        <v>46254</v>
      </c>
      <c r="F296" t="inlineStr">
        <is>
          <t>VÄSTERNORRLANDS LÄN</t>
        </is>
      </c>
      <c r="G296" t="inlineStr">
        <is>
          <t>HÄRNÖSAND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46213</v>
      </c>
      <c r="E297" s="1" t="n">
        <v>46254</v>
      </c>
      <c r="F297" t="inlineStr">
        <is>
          <t>VÄSTERNORRLANDS LÄN</t>
        </is>
      </c>
      <c r="G297" t="inlineStr">
        <is>
          <t>HÄRNÖSAND</t>
        </is>
      </c>
      <c r="I297" t="n">
        <v>13.6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45354-2025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45922</v>
      </c>
      <c r="E298" s="1" t="n">
        <v>46254</v>
      </c>
      <c r="F298" t="inlineStr">
        <is>
          <t>VÄSTERNORRLANDS LÄN</t>
        </is>
      </c>
      <c r="G298" t="inlineStr">
        <is>
          <t>HÄRNÖSAND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24502-2026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46170</v>
      </c>
      <c r="E299" s="1" t="n">
        <v>46254</v>
      </c>
      <c r="F299" t="inlineStr">
        <is>
          <t>VÄSTERNORRLANDS LÄN</t>
        </is>
      </c>
      <c r="G299" t="inlineStr">
        <is>
          <t>HÄRNÖSAND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30907-2026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46213</v>
      </c>
      <c r="E300" s="1" t="n">
        <v>46254</v>
      </c>
      <c r="F300" t="inlineStr">
        <is>
          <t>VÄSTERNORRLANDS LÄN</t>
        </is>
      </c>
      <c r="G300" t="inlineStr">
        <is>
          <t>HÄRNÖSAND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45997-2025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46254</v>
      </c>
      <c r="F301" t="inlineStr">
        <is>
          <t>VÄSTERNORRLANDS LÄN</t>
        </is>
      </c>
      <c r="G301" t="inlineStr">
        <is>
          <t>HÄRNÖSAND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11045-2025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45723</v>
      </c>
      <c r="E302" s="1" t="n">
        <v>46254</v>
      </c>
      <c r="F302" t="inlineStr">
        <is>
          <t>VÄSTERNORRLANDS LÄN</t>
        </is>
      </c>
      <c r="G302" t="inlineStr">
        <is>
          <t>HÄRNÖSAND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30893-2026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46213</v>
      </c>
      <c r="E303" s="1" t="n">
        <v>46254</v>
      </c>
      <c r="F303" t="inlineStr">
        <is>
          <t>VÄSTERNORRLANDS LÄN</t>
        </is>
      </c>
      <c r="G303" t="inlineStr">
        <is>
          <t>HÄRNÖSAND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24503-2026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46170</v>
      </c>
      <c r="E304" s="1" t="n">
        <v>46254</v>
      </c>
      <c r="F304" t="inlineStr">
        <is>
          <t>VÄSTERNORRLANDS LÄN</t>
        </is>
      </c>
      <c r="G304" t="inlineStr">
        <is>
          <t>HÄRNÖSAND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46254</v>
      </c>
      <c r="F305" t="inlineStr">
        <is>
          <t>VÄSTERNORRLANDS LÄN</t>
        </is>
      </c>
      <c r="G305" t="inlineStr">
        <is>
          <t>HÄRNÖSAND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45733</v>
      </c>
      <c r="E306" s="1" t="n">
        <v>46254</v>
      </c>
      <c r="F306" t="inlineStr">
        <is>
          <t>VÄSTERNORRLANDS LÄN</t>
        </is>
      </c>
      <c r="G306" t="inlineStr">
        <is>
          <t>HÄRNÖSAND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45981-2025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45924</v>
      </c>
      <c r="E307" s="1" t="n">
        <v>46254</v>
      </c>
      <c r="F307" t="inlineStr">
        <is>
          <t>VÄSTERNORRLANDS LÄN</t>
        </is>
      </c>
      <c r="G307" t="inlineStr">
        <is>
          <t>HÄRNÖSAND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46021-2025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46254</v>
      </c>
      <c r="F308" t="inlineStr">
        <is>
          <t>VÄSTERNORRLANDS LÄN</t>
        </is>
      </c>
      <c r="G308" t="inlineStr">
        <is>
          <t>HÄRNÖSAND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45293</v>
      </c>
      <c r="E309" s="1" t="n">
        <v>46254</v>
      </c>
      <c r="F309" t="inlineStr">
        <is>
          <t>VÄSTERNORRLANDS LÄN</t>
        </is>
      </c>
      <c r="G309" t="inlineStr">
        <is>
          <t>HÄRNÖSAND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46254</v>
      </c>
      <c r="F310" t="inlineStr">
        <is>
          <t>VÄSTERNORRLANDS LÄN</t>
        </is>
      </c>
      <c r="G310" t="inlineStr">
        <is>
          <t>HÄRNÖSAND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45924</v>
      </c>
      <c r="E311" s="1" t="n">
        <v>46254</v>
      </c>
      <c r="F311" t="inlineStr">
        <is>
          <t>VÄSTERNORRLANDS LÄN</t>
        </is>
      </c>
      <c r="G311" t="inlineStr">
        <is>
          <t>HÄRNÖSAND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46215</v>
      </c>
      <c r="E312" s="1" t="n">
        <v>46254</v>
      </c>
      <c r="F312" t="inlineStr">
        <is>
          <t>VÄSTERNORRLANDS LÄN</t>
        </is>
      </c>
      <c r="G312" t="inlineStr">
        <is>
          <t>HÄRNÖSAND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45910</v>
      </c>
      <c r="E313" s="1" t="n">
        <v>46254</v>
      </c>
      <c r="F313" t="inlineStr">
        <is>
          <t>VÄSTERNORRLANDS LÄN</t>
        </is>
      </c>
      <c r="G313" t="inlineStr">
        <is>
          <t>HÄRNÖSAND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14018-2024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45392</v>
      </c>
      <c r="E314" s="1" t="n">
        <v>46254</v>
      </c>
      <c r="F314" t="inlineStr">
        <is>
          <t>VÄSTERNORRLANDS LÄN</t>
        </is>
      </c>
      <c r="G314" t="inlineStr">
        <is>
          <t>HÄRNÖSAND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13417-2026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46254</v>
      </c>
      <c r="F315" t="inlineStr">
        <is>
          <t>VÄSTERNORRLANDS LÄN</t>
        </is>
      </c>
      <c r="G315" t="inlineStr">
        <is>
          <t>HÄRNÖSAND</t>
        </is>
      </c>
      <c r="I315" t="n">
        <v>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18885-2023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45044</v>
      </c>
      <c r="E316" s="1" t="n">
        <v>46254</v>
      </c>
      <c r="F316" t="inlineStr">
        <is>
          <t>VÄSTERNORRLANDS LÄN</t>
        </is>
      </c>
      <c r="G316" t="inlineStr">
        <is>
          <t>HÄRNÖSAND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31049-2026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46215</v>
      </c>
      <c r="E317" s="1" t="n">
        <v>46254</v>
      </c>
      <c r="F317" t="inlineStr">
        <is>
          <t>VÄSTERNORRLANDS LÄN</t>
        </is>
      </c>
      <c r="G317" t="inlineStr">
        <is>
          <t>HÄRNÖSAND</t>
        </is>
      </c>
      <c r="I317" t="n">
        <v>12.7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3897-2023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44951</v>
      </c>
      <c r="E318" s="1" t="n">
        <v>46254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23818-2026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46165</v>
      </c>
      <c r="E319" s="1" t="n">
        <v>46254</v>
      </c>
      <c r="F319" t="inlineStr">
        <is>
          <t>VÄSTERNORRLANDS LÄN</t>
        </is>
      </c>
      <c r="G319" t="inlineStr">
        <is>
          <t>HÄRNÖSAND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46254</v>
      </c>
      <c r="F320" t="inlineStr">
        <is>
          <t>VÄSTERNORRLANDS LÄN</t>
        </is>
      </c>
      <c r="G320" t="inlineStr">
        <is>
          <t>HÄRNÖSAND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59073-2022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44897</v>
      </c>
      <c r="E321" s="1" t="n">
        <v>46254</v>
      </c>
      <c r="F321" t="inlineStr">
        <is>
          <t>VÄSTERNORRLANDS LÄN</t>
        </is>
      </c>
      <c r="G321" t="inlineStr">
        <is>
          <t>HÄRNÖSAND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18978-2023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45044</v>
      </c>
      <c r="E322" s="1" t="n">
        <v>46254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12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25248-2026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46175</v>
      </c>
      <c r="E323" s="1" t="n">
        <v>46254</v>
      </c>
      <c r="F323" t="inlineStr">
        <is>
          <t>VÄSTERNORRLANDS LÄN</t>
        </is>
      </c>
      <c r="G323" t="inlineStr">
        <is>
          <t>HÄRNÖSAND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25254-2026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46254</v>
      </c>
      <c r="F324" t="inlineStr">
        <is>
          <t>VÄSTERNORRLANDS LÄN</t>
        </is>
      </c>
      <c r="G324" t="inlineStr">
        <is>
          <t>HÄRNÖSAND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25908-2026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46254</v>
      </c>
      <c r="F325" t="inlineStr">
        <is>
          <t>VÄSTERNORRLANDS LÄN</t>
        </is>
      </c>
      <c r="G325" t="inlineStr">
        <is>
          <t>HÄRNÖSAND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25430-2022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44732</v>
      </c>
      <c r="E326" s="1" t="n">
        <v>46254</v>
      </c>
      <c r="F326" t="inlineStr">
        <is>
          <t>VÄSTERNORRLANDS LÄN</t>
        </is>
      </c>
      <c r="G326" t="inlineStr">
        <is>
          <t>HÄRNÖSAND</t>
        </is>
      </c>
      <c r="I326" t="n">
        <v>18.7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46177</v>
      </c>
      <c r="E327" s="1" t="n">
        <v>46254</v>
      </c>
      <c r="F327" t="inlineStr">
        <is>
          <t>VÄSTERNORRLANDS LÄN</t>
        </is>
      </c>
      <c r="G327" t="inlineStr">
        <is>
          <t>HÄRNÖSAND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25451-2026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46177</v>
      </c>
      <c r="E328" s="1" t="n">
        <v>46254</v>
      </c>
      <c r="F328" t="inlineStr">
        <is>
          <t>VÄSTERNORRLANDS LÄN</t>
        </is>
      </c>
      <c r="G328" t="inlineStr">
        <is>
          <t>HÄRNÖSAND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46177</v>
      </c>
      <c r="E329" s="1" t="n">
        <v>46254</v>
      </c>
      <c r="F329" t="inlineStr">
        <is>
          <t>VÄSTERNORRLANDS LÄN</t>
        </is>
      </c>
      <c r="G329" t="inlineStr">
        <is>
          <t>HÄRNÖSAND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25439-2026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46177</v>
      </c>
      <c r="E330" s="1" t="n">
        <v>46254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10.2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25452-2026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46177</v>
      </c>
      <c r="E331" s="1" t="n">
        <v>46254</v>
      </c>
      <c r="F331" t="inlineStr">
        <is>
          <t>VÄSTERNORRLANDS LÄN</t>
        </is>
      </c>
      <c r="G331" t="inlineStr">
        <is>
          <t>HÄRNÖSAND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46178</v>
      </c>
      <c r="E332" s="1" t="n">
        <v>46254</v>
      </c>
      <c r="F332" t="inlineStr">
        <is>
          <t>VÄSTERNORRLANDS LÄN</t>
        </is>
      </c>
      <c r="G332" t="inlineStr">
        <is>
          <t>HÄRNÖSAND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5896-2022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44596</v>
      </c>
      <c r="E333" s="1" t="n">
        <v>46254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Övriga statliga verk och myndigheter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21471-2022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44706</v>
      </c>
      <c r="E334" s="1" t="n">
        <v>46254</v>
      </c>
      <c r="F334" t="inlineStr">
        <is>
          <t>VÄSTERNORRLANDS LÄN</t>
        </is>
      </c>
      <c r="G334" t="inlineStr">
        <is>
          <t>HÄRNÖSAND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32421-2024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45512</v>
      </c>
      <c r="E335" s="1" t="n">
        <v>46254</v>
      </c>
      <c r="F335" t="inlineStr">
        <is>
          <t>VÄSTERNORRLANDS LÄN</t>
        </is>
      </c>
      <c r="G335" t="inlineStr">
        <is>
          <t>HÄRNÖSAND</t>
        </is>
      </c>
      <c r="I335" t="n">
        <v>5.8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31504-2026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46219</v>
      </c>
      <c r="E336" s="1" t="n">
        <v>46254</v>
      </c>
      <c r="F336" t="inlineStr">
        <is>
          <t>VÄSTERNORRLANDS LÄN</t>
        </is>
      </c>
      <c r="G336" t="inlineStr">
        <is>
          <t>HÄRNÖSAND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31506-2026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46219</v>
      </c>
      <c r="E337" s="1" t="n">
        <v>46254</v>
      </c>
      <c r="F337" t="inlineStr">
        <is>
          <t>VÄSTERNORRLANDS LÄN</t>
        </is>
      </c>
      <c r="G337" t="inlineStr">
        <is>
          <t>HÄRNÖSAND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25466-2026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46177</v>
      </c>
      <c r="E338" s="1" t="n">
        <v>46254</v>
      </c>
      <c r="F338" t="inlineStr">
        <is>
          <t>VÄSTERNORRLANDS LÄN</t>
        </is>
      </c>
      <c r="G338" t="inlineStr">
        <is>
          <t>HÄRNÖSAND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45082-2025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45919</v>
      </c>
      <c r="E339" s="1" t="n">
        <v>46254</v>
      </c>
      <c r="F339" t="inlineStr">
        <is>
          <t>VÄSTERNORRLANDS LÄN</t>
        </is>
      </c>
      <c r="G339" t="inlineStr">
        <is>
          <t>HÄRNÖSAND</t>
        </is>
      </c>
      <c r="H339" t="inlineStr">
        <is>
          <t>SCA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48721-2025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45936</v>
      </c>
      <c r="E340" s="1" t="n">
        <v>46254</v>
      </c>
      <c r="F340" t="inlineStr">
        <is>
          <t>VÄSTERNORRLANDS LÄN</t>
        </is>
      </c>
      <c r="G340" t="inlineStr">
        <is>
          <t>HÄRNÖSAND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31503-2026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46219</v>
      </c>
      <c r="E341" s="1" t="n">
        <v>46254</v>
      </c>
      <c r="F341" t="inlineStr">
        <is>
          <t>VÄSTERNORRLANDS LÄN</t>
        </is>
      </c>
      <c r="G341" t="inlineStr">
        <is>
          <t>HÄRNÖSAND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48630-2025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45936</v>
      </c>
      <c r="E342" s="1" t="n">
        <v>46254</v>
      </c>
      <c r="F342" t="inlineStr">
        <is>
          <t>VÄSTERNORRLANDS LÄN</t>
        </is>
      </c>
      <c r="G342" t="inlineStr">
        <is>
          <t>HÄRNÖSAND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48633-2025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45936</v>
      </c>
      <c r="E343" s="1" t="n">
        <v>46254</v>
      </c>
      <c r="F343" t="inlineStr">
        <is>
          <t>VÄSTERNORRLANDS LÄN</t>
        </is>
      </c>
      <c r="G343" t="inlineStr">
        <is>
          <t>HÄRNÖSAND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46254</v>
      </c>
      <c r="F344" t="inlineStr">
        <is>
          <t>VÄSTERNORRLANDS LÄN</t>
        </is>
      </c>
      <c r="G344" t="inlineStr">
        <is>
          <t>HÄRNÖSAND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48800-2025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45937</v>
      </c>
      <c r="E345" s="1" t="n">
        <v>46254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26256-2026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46182</v>
      </c>
      <c r="E346" s="1" t="n">
        <v>46254</v>
      </c>
      <c r="F346" t="inlineStr">
        <is>
          <t>VÄSTERNORRLANDS LÄN</t>
        </is>
      </c>
      <c r="G346" t="inlineStr">
        <is>
          <t>HÄRNÖSAND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49625-2025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45939</v>
      </c>
      <c r="E347" s="1" t="n">
        <v>46254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25981-2026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46181</v>
      </c>
      <c r="E348" s="1" t="n">
        <v>46254</v>
      </c>
      <c r="F348" t="inlineStr">
        <is>
          <t>VÄSTERNORRLANDS LÄN</t>
        </is>
      </c>
      <c r="G348" t="inlineStr">
        <is>
          <t>HÄRNÖSAND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46254</v>
      </c>
      <c r="F349" t="inlineStr">
        <is>
          <t>VÄSTERNORRLANDS LÄN</t>
        </is>
      </c>
      <c r="G349" t="inlineStr">
        <is>
          <t>HÄRNÖSAND</t>
        </is>
      </c>
      <c r="I349" t="n">
        <v>9.1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61337-2024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45646</v>
      </c>
      <c r="E350" s="1" t="n">
        <v>46254</v>
      </c>
      <c r="F350" t="inlineStr">
        <is>
          <t>VÄSTERNORRLANDS LÄN</t>
        </is>
      </c>
      <c r="G350" t="inlineStr">
        <is>
          <t>HÄRNÖSAND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45329</v>
      </c>
      <c r="E351" s="1" t="n">
        <v>46254</v>
      </c>
      <c r="F351" t="inlineStr">
        <is>
          <t>VÄSTERNORRLANDS LÄN</t>
        </is>
      </c>
      <c r="G351" t="inlineStr">
        <is>
          <t>HÄRNÖSAND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54091-2024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45616</v>
      </c>
      <c r="E352" s="1" t="n">
        <v>46254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45320</v>
      </c>
      <c r="E353" s="1" t="n">
        <v>46254</v>
      </c>
      <c r="F353" t="inlineStr">
        <is>
          <t>VÄSTERNORRLANDS LÄN</t>
        </is>
      </c>
      <c r="G353" t="inlineStr">
        <is>
          <t>HÄRNÖSAND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46254</v>
      </c>
      <c r="F354" t="inlineStr">
        <is>
          <t>VÄSTERNORRLANDS LÄN</t>
        </is>
      </c>
      <c r="G354" t="inlineStr">
        <is>
          <t>HÄRNÖSAND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25745-2025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45800</v>
      </c>
      <c r="E355" s="1" t="n">
        <v>46254</v>
      </c>
      <c r="F355" t="inlineStr">
        <is>
          <t>VÄSTERNORRLANDS LÄN</t>
        </is>
      </c>
      <c r="G355" t="inlineStr">
        <is>
          <t>HÄRNÖSAND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27458-2026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46189</v>
      </c>
      <c r="E356" s="1" t="n">
        <v>46254</v>
      </c>
      <c r="F356" t="inlineStr">
        <is>
          <t>VÄSTERNORRLANDS LÄN</t>
        </is>
      </c>
      <c r="G356" t="inlineStr">
        <is>
          <t>HÄRNÖSAND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17431-2023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45035</v>
      </c>
      <c r="E357" s="1" t="n">
        <v>46254</v>
      </c>
      <c r="F357" t="inlineStr">
        <is>
          <t>VÄSTERNORRLANDS LÄN</t>
        </is>
      </c>
      <c r="G357" t="inlineStr">
        <is>
          <t>HÄRNÖSAND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27461-2026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46189</v>
      </c>
      <c r="E358" s="1" t="n">
        <v>46254</v>
      </c>
      <c r="F358" t="inlineStr">
        <is>
          <t>VÄSTERNORRLANDS LÄN</t>
        </is>
      </c>
      <c r="G358" t="inlineStr">
        <is>
          <t>HÄRNÖSAND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27459-2026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46189</v>
      </c>
      <c r="E359" s="1" t="n">
        <v>46254</v>
      </c>
      <c r="F359" t="inlineStr">
        <is>
          <t>VÄSTERNORRLANDS LÄN</t>
        </is>
      </c>
      <c r="G359" t="inlineStr">
        <is>
          <t>HÄRNÖSAND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45163</v>
      </c>
      <c r="E360" s="1" t="n">
        <v>46254</v>
      </c>
      <c r="F360" t="inlineStr">
        <is>
          <t>VÄSTERNORRLANDS LÄN</t>
        </is>
      </c>
      <c r="G360" t="inlineStr">
        <is>
          <t>HÄRNÖSAND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31956-2026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46232</v>
      </c>
      <c r="E361" s="1" t="n">
        <v>46254</v>
      </c>
      <c r="F361" t="inlineStr">
        <is>
          <t>VÄSTERNORRLANDS LÄN</t>
        </is>
      </c>
      <c r="G361" t="inlineStr">
        <is>
          <t>HÄRNÖSAND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27453-2026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46189</v>
      </c>
      <c r="E362" s="1" t="n">
        <v>46254</v>
      </c>
      <c r="F362" t="inlineStr">
        <is>
          <t>VÄSTERNORRLANDS LÄN</t>
        </is>
      </c>
      <c r="G362" t="inlineStr">
        <is>
          <t>HÄRNÖSAND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46189</v>
      </c>
      <c r="E363" s="1" t="n">
        <v>46254</v>
      </c>
      <c r="F363" t="inlineStr">
        <is>
          <t>VÄSTERNORRLANDS LÄN</t>
        </is>
      </c>
      <c r="G363" t="inlineStr">
        <is>
          <t>HÄRNÖSAND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46254</v>
      </c>
      <c r="F364" t="inlineStr">
        <is>
          <t>VÄSTERNORRLANDS LÄN</t>
        </is>
      </c>
      <c r="G364" t="inlineStr">
        <is>
          <t>HÄRNÖSAND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46189</v>
      </c>
      <c r="E365" s="1" t="n">
        <v>46254</v>
      </c>
      <c r="F365" t="inlineStr">
        <is>
          <t>VÄSTERNORRLANDS LÄN</t>
        </is>
      </c>
      <c r="G365" t="inlineStr">
        <is>
          <t>HÄRNÖSAND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47552-2022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44853</v>
      </c>
      <c r="E366" s="1" t="n">
        <v>46254</v>
      </c>
      <c r="F366" t="inlineStr">
        <is>
          <t>VÄSTERNORRLANDS LÄN</t>
        </is>
      </c>
      <c r="G366" t="inlineStr">
        <is>
          <t>HÄRNÖSAND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46191</v>
      </c>
      <c r="E367" s="1" t="n">
        <v>46254</v>
      </c>
      <c r="F367" t="inlineStr">
        <is>
          <t>VÄSTERNORRLANDS LÄN</t>
        </is>
      </c>
      <c r="G367" t="inlineStr">
        <is>
          <t>HÄRNÖSAND</t>
        </is>
      </c>
      <c r="H367" t="inlineStr">
        <is>
          <t>SCA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34619-2023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45138</v>
      </c>
      <c r="E368" s="1" t="n">
        <v>46254</v>
      </c>
      <c r="F368" t="inlineStr">
        <is>
          <t>VÄSTERNORRLANDS LÄN</t>
        </is>
      </c>
      <c r="G368" t="inlineStr">
        <is>
          <t>HÄRNÖSAND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32293-2026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46237</v>
      </c>
      <c r="E369" s="1" t="n">
        <v>46254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46195</v>
      </c>
      <c r="E370" s="1" t="n">
        <v>46254</v>
      </c>
      <c r="F370" t="inlineStr">
        <is>
          <t>VÄSTERNORRLANDS LÄN</t>
        </is>
      </c>
      <c r="G370" t="inlineStr">
        <is>
          <t>HÄRNÖSAND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46254</v>
      </c>
      <c r="F371" t="inlineStr">
        <is>
          <t>VÄSTERNORRLANDS LÄN</t>
        </is>
      </c>
      <c r="G371" t="inlineStr">
        <is>
          <t>HÄRNÖSAND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32485-2026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46239</v>
      </c>
      <c r="E372" s="1" t="n">
        <v>46254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SCA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35595-2024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45531</v>
      </c>
      <c r="E373" s="1" t="n">
        <v>46254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51001-2022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44867</v>
      </c>
      <c r="E374" s="1" t="n">
        <v>46254</v>
      </c>
      <c r="F374" t="inlineStr">
        <is>
          <t>VÄSTERNORRLANDS LÄN</t>
        </is>
      </c>
      <c r="G374" t="inlineStr">
        <is>
          <t>HÄRNÖSAND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46195</v>
      </c>
      <c r="E375" s="1" t="n">
        <v>46254</v>
      </c>
      <c r="F375" t="inlineStr">
        <is>
          <t>VÄSTERNORRLANDS LÄN</t>
        </is>
      </c>
      <c r="G375" t="inlineStr">
        <is>
          <t>HÄRNÖSAND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28043-2026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46195</v>
      </c>
      <c r="E376" s="1" t="n">
        <v>46254</v>
      </c>
      <c r="F376" t="inlineStr">
        <is>
          <t>VÄSTERNORRLANDS LÄN</t>
        </is>
      </c>
      <c r="G376" t="inlineStr">
        <is>
          <t>HÄRNÖSAND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28005-2026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46195</v>
      </c>
      <c r="E377" s="1" t="n">
        <v>46254</v>
      </c>
      <c r="F377" t="inlineStr">
        <is>
          <t>VÄSTERNORRLANDS LÄN</t>
        </is>
      </c>
      <c r="G377" t="inlineStr">
        <is>
          <t>HÄRNÖSAND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46195</v>
      </c>
      <c r="E378" s="1" t="n">
        <v>46254</v>
      </c>
      <c r="F378" t="inlineStr">
        <is>
          <t>VÄSTERNORRLANDS LÄN</t>
        </is>
      </c>
      <c r="G378" t="inlineStr">
        <is>
          <t>HÄRNÖSAND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13605-2024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45390</v>
      </c>
      <c r="E379" s="1" t="n">
        <v>46254</v>
      </c>
      <c r="F379" t="inlineStr">
        <is>
          <t>VÄSTERNORRLANDS LÄN</t>
        </is>
      </c>
      <c r="G379" t="inlineStr">
        <is>
          <t>HÄRNÖSAND</t>
        </is>
      </c>
      <c r="I379" t="n">
        <v>14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45678</v>
      </c>
      <c r="E380" s="1" t="n">
        <v>46254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SCA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53327-2025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45959</v>
      </c>
      <c r="E381" s="1" t="n">
        <v>46254</v>
      </c>
      <c r="F381" t="inlineStr">
        <is>
          <t>VÄSTERNORRLANDS LÄN</t>
        </is>
      </c>
      <c r="G381" t="inlineStr">
        <is>
          <t>HÄRNÖSAND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53328-2025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45959</v>
      </c>
      <c r="E382" s="1" t="n">
        <v>46254</v>
      </c>
      <c r="F382" t="inlineStr">
        <is>
          <t>VÄSTERNORRLANDS LÄN</t>
        </is>
      </c>
      <c r="G382" t="inlineStr">
        <is>
          <t>HÄRNÖSAND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22875-2023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45072</v>
      </c>
      <c r="E383" s="1" t="n">
        <v>46254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Kyrkan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16979-2022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44676</v>
      </c>
      <c r="E384" s="1" t="n">
        <v>46254</v>
      </c>
      <c r="F384" t="inlineStr">
        <is>
          <t>VÄSTERNORRLANDS LÄN</t>
        </is>
      </c>
      <c r="G384" t="inlineStr">
        <is>
          <t>HÄRNÖSAND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21927-2026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46150</v>
      </c>
      <c r="E385" s="1" t="n">
        <v>46254</v>
      </c>
      <c r="F385" t="inlineStr">
        <is>
          <t>VÄSTERNORRLANDS LÄN</t>
        </is>
      </c>
      <c r="G385" t="inlineStr">
        <is>
          <t>HÄRNÖSAND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23688-2025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45793</v>
      </c>
      <c r="E386" s="1" t="n">
        <v>46254</v>
      </c>
      <c r="F386" t="inlineStr">
        <is>
          <t>VÄSTERNORRLANDS LÄN</t>
        </is>
      </c>
      <c r="G386" t="inlineStr">
        <is>
          <t>HÄRNÖSAND</t>
        </is>
      </c>
      <c r="H386" t="inlineStr">
        <is>
          <t>SCA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14874-2023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45015</v>
      </c>
      <c r="E387" s="1" t="n">
        <v>46254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SCA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32847-2026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46244</v>
      </c>
      <c r="E388" s="1" t="n">
        <v>46254</v>
      </c>
      <c r="F388" t="inlineStr">
        <is>
          <t>VÄSTERNORRLANDS LÄN</t>
        </is>
      </c>
      <c r="G388" t="inlineStr">
        <is>
          <t>HÄRNÖSAND</t>
        </is>
      </c>
      <c r="H388" t="inlineStr">
        <is>
          <t>Kyrkan</t>
        </is>
      </c>
      <c r="I388" t="n">
        <v>24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55773-2025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45972</v>
      </c>
      <c r="E389" s="1" t="n">
        <v>46254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12.2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29450-2026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46203</v>
      </c>
      <c r="E390" s="1" t="n">
        <v>46254</v>
      </c>
      <c r="F390" t="inlineStr">
        <is>
          <t>VÄSTERNORRLANDS LÄN</t>
        </is>
      </c>
      <c r="G390" t="inlineStr">
        <is>
          <t>HÄRNÖSAND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19317-2026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46133</v>
      </c>
      <c r="E391" s="1" t="n">
        <v>46254</v>
      </c>
      <c r="F391" t="inlineStr">
        <is>
          <t>VÄSTERNORRLANDS LÄN</t>
        </is>
      </c>
      <c r="G391" t="inlineStr">
        <is>
          <t>HÄRNÖSAND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16237-2025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45749</v>
      </c>
      <c r="E392" s="1" t="n">
        <v>46254</v>
      </c>
      <c r="F392" t="inlineStr">
        <is>
          <t>VÄSTERNORRLANDS LÄN</t>
        </is>
      </c>
      <c r="G392" t="inlineStr">
        <is>
          <t>HÄRNÖSAND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29483-2026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46203</v>
      </c>
      <c r="E393" s="1" t="n">
        <v>46254</v>
      </c>
      <c r="F393" t="inlineStr">
        <is>
          <t>VÄSTERNORRLANDS LÄN</t>
        </is>
      </c>
      <c r="G393" t="inlineStr">
        <is>
          <t>HÄRNÖSAND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55772-2025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45972</v>
      </c>
      <c r="E394" s="1" t="n">
        <v>46254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15.6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29476-2026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46203</v>
      </c>
      <c r="E395" s="1" t="n">
        <v>46254</v>
      </c>
      <c r="F395" t="inlineStr">
        <is>
          <t>VÄSTERNORRLANDS LÄN</t>
        </is>
      </c>
      <c r="G395" t="inlineStr">
        <is>
          <t>HÄRNÖSAND</t>
        </is>
      </c>
      <c r="H395" t="inlineStr">
        <is>
          <t>SCA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29714-2026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46254</v>
      </c>
      <c r="F396" t="inlineStr">
        <is>
          <t>VÄSTERNORRLANDS LÄN</t>
        </is>
      </c>
      <c r="G396" t="inlineStr">
        <is>
          <t>HÄRNÖSAND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29716-2026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46204</v>
      </c>
      <c r="E397" s="1" t="n">
        <v>46254</v>
      </c>
      <c r="F397" t="inlineStr">
        <is>
          <t>VÄSTERNORRLANDS LÄN</t>
        </is>
      </c>
      <c r="G397" t="inlineStr">
        <is>
          <t>HÄRNÖSAND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29402-2026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46203</v>
      </c>
      <c r="E398" s="1" t="n">
        <v>46254</v>
      </c>
      <c r="F398" t="inlineStr">
        <is>
          <t>VÄSTERNORRLANDS LÄN</t>
        </is>
      </c>
      <c r="G398" t="inlineStr">
        <is>
          <t>HÄRNÖSAND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45313</v>
      </c>
      <c r="E399" s="1" t="n">
        <v>46254</v>
      </c>
      <c r="F399" t="inlineStr">
        <is>
          <t>VÄSTERNORRLANDS LÄN</t>
        </is>
      </c>
      <c r="G399" t="inlineStr">
        <is>
          <t>HÄRNÖSAND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46204</v>
      </c>
      <c r="E400" s="1" t="n">
        <v>46254</v>
      </c>
      <c r="F400" t="inlineStr">
        <is>
          <t>VÄSTERNORRLANDS LÄN</t>
        </is>
      </c>
      <c r="G400" t="inlineStr">
        <is>
          <t>HÄRNÖSAND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29754-2026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46254</v>
      </c>
      <c r="F401" t="inlineStr">
        <is>
          <t>VÄSTERNORRLANDS LÄN</t>
        </is>
      </c>
      <c r="G401" t="inlineStr">
        <is>
          <t>HÄRNÖSAND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56633-2025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45975</v>
      </c>
      <c r="E402" s="1" t="n">
        <v>46254</v>
      </c>
      <c r="F402" t="inlineStr">
        <is>
          <t>VÄSTERNORRLANDS LÄN</t>
        </is>
      </c>
      <c r="G402" t="inlineStr">
        <is>
          <t>HÄRNÖSAND</t>
        </is>
      </c>
      <c r="H402" t="inlineStr">
        <is>
          <t>SCA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56422-2025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45975</v>
      </c>
      <c r="E403" s="1" t="n">
        <v>46254</v>
      </c>
      <c r="F403" t="inlineStr">
        <is>
          <t>VÄSTERNORRLANDS LÄN</t>
        </is>
      </c>
      <c r="G403" t="inlineStr">
        <is>
          <t>HÄRNÖSAND</t>
        </is>
      </c>
      <c r="H403" t="inlineStr">
        <is>
          <t>SCA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46254</v>
      </c>
      <c r="F404" t="inlineStr">
        <is>
          <t>VÄSTERNORRLANDS LÄN</t>
        </is>
      </c>
      <c r="G404" t="inlineStr">
        <is>
          <t>HÄRNÖSAND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29792-2026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46205</v>
      </c>
      <c r="E405" s="1" t="n">
        <v>46254</v>
      </c>
      <c r="F405" t="inlineStr">
        <is>
          <t>VÄSTERNORRLANDS LÄN</t>
        </is>
      </c>
      <c r="G405" t="inlineStr">
        <is>
          <t>HÄRNÖSAND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56736-2025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45978</v>
      </c>
      <c r="E406" s="1" t="n">
        <v>46254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46254</v>
      </c>
      <c r="F407" t="inlineStr">
        <is>
          <t>VÄSTERNORRLANDS LÄN</t>
        </is>
      </c>
      <c r="G407" t="inlineStr">
        <is>
          <t>HÄRNÖSAND</t>
        </is>
      </c>
      <c r="I407" t="n">
        <v>14.6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45979</v>
      </c>
      <c r="E408" s="1" t="n">
        <v>46254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57089-2025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46254</v>
      </c>
      <c r="F409" t="inlineStr">
        <is>
          <t>VÄSTERNORRLANDS LÄN</t>
        </is>
      </c>
      <c r="G409" t="inlineStr">
        <is>
          <t>HÄRNÖSAND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57099-2025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45979</v>
      </c>
      <c r="E410" s="1" t="n">
        <v>46254</v>
      </c>
      <c r="F410" t="inlineStr">
        <is>
          <t>VÄSTERNORRLANDS LÄN</t>
        </is>
      </c>
      <c r="G410" t="inlineStr">
        <is>
          <t>HÄRNÖSAND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33747-2026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46251</v>
      </c>
      <c r="E411" s="1" t="n">
        <v>46254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SCA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55895-2024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45622</v>
      </c>
      <c r="E412" s="1" t="n">
        <v>46254</v>
      </c>
      <c r="F412" t="inlineStr">
        <is>
          <t>VÄSTERNORRLANDS LÄN</t>
        </is>
      </c>
      <c r="G412" t="inlineStr">
        <is>
          <t>HÄRNÖSAND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57132-2025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45979</v>
      </c>
      <c r="E413" s="1" t="n">
        <v>46254</v>
      </c>
      <c r="F413" t="inlineStr">
        <is>
          <t>VÄSTERNORRLANDS LÄN</t>
        </is>
      </c>
      <c r="G413" t="inlineStr">
        <is>
          <t>HÄRNÖSAND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57033-2025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45979</v>
      </c>
      <c r="E414" s="1" t="n">
        <v>46254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SCA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57035-2025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45979</v>
      </c>
      <c r="E415" s="1" t="n">
        <v>46254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SCA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45979</v>
      </c>
      <c r="E416" s="1" t="n">
        <v>46254</v>
      </c>
      <c r="F416" t="inlineStr">
        <is>
          <t>VÄSTERNORRLANDS LÄN</t>
        </is>
      </c>
      <c r="G416" t="inlineStr">
        <is>
          <t>HÄRNÖSAND</t>
        </is>
      </c>
      <c r="H416" t="inlineStr">
        <is>
          <t>SCA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30216-2026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46254</v>
      </c>
      <c r="F417" t="inlineStr">
        <is>
          <t>VÄSTERNORRLANDS LÄN</t>
        </is>
      </c>
      <c r="G417" t="inlineStr">
        <is>
          <t>HÄRNÖSAND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30171-2026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46206</v>
      </c>
      <c r="E418" s="1" t="n">
        <v>46254</v>
      </c>
      <c r="F418" t="inlineStr">
        <is>
          <t>VÄSTERNORRLANDS LÄN</t>
        </is>
      </c>
      <c r="G418" t="inlineStr">
        <is>
          <t>HÄRNÖSAND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7522-2023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44971</v>
      </c>
      <c r="E419" s="1" t="n">
        <v>46254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46206</v>
      </c>
      <c r="E420" s="1" t="n">
        <v>46254</v>
      </c>
      <c r="F420" t="inlineStr">
        <is>
          <t>VÄSTERNORRLANDS LÄN</t>
        </is>
      </c>
      <c r="G420" t="inlineStr">
        <is>
          <t>HÄRNÖSAND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57618-2025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45981</v>
      </c>
      <c r="E421" s="1" t="n">
        <v>46254</v>
      </c>
      <c r="F421" t="inlineStr">
        <is>
          <t>VÄSTERNORRLANDS LÄN</t>
        </is>
      </c>
      <c r="G421" t="inlineStr">
        <is>
          <t>HÄRNÖSAND</t>
        </is>
      </c>
      <c r="H421" t="inlineStr">
        <is>
          <t>SCA</t>
        </is>
      </c>
      <c r="I421" t="n">
        <v>7.8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25746-2025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45800</v>
      </c>
      <c r="E422" s="1" t="n">
        <v>46254</v>
      </c>
      <c r="F422" t="inlineStr">
        <is>
          <t>VÄSTERNORRLANDS LÄN</t>
        </is>
      </c>
      <c r="G422" t="inlineStr">
        <is>
          <t>HÄRNÖSAND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35969-2023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45148</v>
      </c>
      <c r="E423" s="1" t="n">
        <v>46254</v>
      </c>
      <c r="F423" t="inlineStr">
        <is>
          <t>VÄSTERNORRLANDS LÄN</t>
        </is>
      </c>
      <c r="G423" t="inlineStr">
        <is>
          <t>HÄRNÖSAND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56680-2023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45243</v>
      </c>
      <c r="E424" s="1" t="n">
        <v>46254</v>
      </c>
      <c r="F424" t="inlineStr">
        <is>
          <t>VÄSTERNORRLANDS LÄN</t>
        </is>
      </c>
      <c r="G424" t="inlineStr">
        <is>
          <t>HÄRNÖSAND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30201-2026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46206</v>
      </c>
      <c r="E425" s="1" t="n">
        <v>46254</v>
      </c>
      <c r="F425" t="inlineStr">
        <is>
          <t>VÄSTERNORRLANDS LÄN</t>
        </is>
      </c>
      <c r="G425" t="inlineStr">
        <is>
          <t>HÄRNÖSAND</t>
        </is>
      </c>
      <c r="I425" t="n">
        <v>7.9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45687-2022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44845</v>
      </c>
      <c r="E426" s="1" t="n">
        <v>46254</v>
      </c>
      <c r="F426" t="inlineStr">
        <is>
          <t>VÄSTERNORRLANDS LÄN</t>
        </is>
      </c>
      <c r="G426" t="inlineStr">
        <is>
          <t>HÄRNÖSAND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57877-2025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45981</v>
      </c>
      <c r="E427" s="1" t="n">
        <v>46254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30182-2026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46206</v>
      </c>
      <c r="E428" s="1" t="n">
        <v>46254</v>
      </c>
      <c r="F428" t="inlineStr">
        <is>
          <t>VÄSTERNORRLANDS LÄN</t>
        </is>
      </c>
      <c r="G428" t="inlineStr">
        <is>
          <t>HÄRNÖSAND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16875-2024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45409</v>
      </c>
      <c r="E429" s="1" t="n">
        <v>46254</v>
      </c>
      <c r="F429" t="inlineStr">
        <is>
          <t>VÄSTERNORRLANDS LÄN</t>
        </is>
      </c>
      <c r="G429" t="inlineStr">
        <is>
          <t>HÄRNÖSAND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33659-2026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46248</v>
      </c>
      <c r="E430" s="1" t="n">
        <v>46254</v>
      </c>
      <c r="F430" t="inlineStr">
        <is>
          <t>VÄSTERNORRLANDS LÄN</t>
        </is>
      </c>
      <c r="G430" t="inlineStr">
        <is>
          <t>HÄRNÖSAND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2756-2022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44580</v>
      </c>
      <c r="E431" s="1" t="n">
        <v>46254</v>
      </c>
      <c r="F431" t="inlineStr">
        <is>
          <t>VÄSTERNORRLANDS LÄN</t>
        </is>
      </c>
      <c r="G431" t="inlineStr">
        <is>
          <t>HÄRNÖSAND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34028-2026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46252</v>
      </c>
      <c r="E432" s="1" t="n">
        <v>46254</v>
      </c>
      <c r="F432" t="inlineStr">
        <is>
          <t>VÄSTERNORRLANDS LÄN</t>
        </is>
      </c>
      <c r="G432" t="inlineStr">
        <is>
          <t>HÄRNÖSAND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58588-2022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44894</v>
      </c>
      <c r="E433" s="1" t="n">
        <v>46254</v>
      </c>
      <c r="F433" t="inlineStr">
        <is>
          <t>VÄSTERNORRLANDS LÄN</t>
        </is>
      </c>
      <c r="G433" t="inlineStr">
        <is>
          <t>HÄRNÖSAND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10549-2024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45366</v>
      </c>
      <c r="E434" s="1" t="n">
        <v>46254</v>
      </c>
      <c r="F434" t="inlineStr">
        <is>
          <t>VÄSTERNORRLANDS LÄN</t>
        </is>
      </c>
      <c r="G434" t="inlineStr">
        <is>
          <t>HÄRNÖSAND</t>
        </is>
      </c>
      <c r="I434" t="n">
        <v>8.4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30413-2026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46209</v>
      </c>
      <c r="E435" s="1" t="n">
        <v>46254</v>
      </c>
      <c r="F435" t="inlineStr">
        <is>
          <t>VÄSTERNORRLANDS LÄN</t>
        </is>
      </c>
      <c r="G435" t="inlineStr">
        <is>
          <t>HÄRNÖSAND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58995-2025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45987</v>
      </c>
      <c r="E436" s="1" t="n">
        <v>46254</v>
      </c>
      <c r="F436" t="inlineStr">
        <is>
          <t>VÄSTERNORRLANDS LÄN</t>
        </is>
      </c>
      <c r="G436" t="inlineStr">
        <is>
          <t>HÄRNÖSAND</t>
        </is>
      </c>
      <c r="I436" t="n">
        <v>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30710-2026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46211</v>
      </c>
      <c r="E437" s="1" t="n">
        <v>46254</v>
      </c>
      <c r="F437" t="inlineStr">
        <is>
          <t>VÄSTERNORRLANDS LÄN</t>
        </is>
      </c>
      <c r="G437" t="inlineStr">
        <is>
          <t>HÄRNÖSAND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45251</v>
      </c>
      <c r="E438" s="1" t="n">
        <v>46254</v>
      </c>
      <c r="F438" t="inlineStr">
        <is>
          <t>VÄSTERNORRLANDS LÄN</t>
        </is>
      </c>
      <c r="G438" t="inlineStr">
        <is>
          <t>HÄRNÖSAND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61102-2021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44498</v>
      </c>
      <c r="E439" s="1" t="n">
        <v>46254</v>
      </c>
      <c r="F439" t="inlineStr">
        <is>
          <t>VÄSTERNORRLANDS LÄN</t>
        </is>
      </c>
      <c r="G439" t="inlineStr">
        <is>
          <t>HÄRNÖSAND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46211</v>
      </c>
      <c r="E440" s="1" t="n">
        <v>46254</v>
      </c>
      <c r="F440" t="inlineStr">
        <is>
          <t>VÄSTERNORRLANDS LÄN</t>
        </is>
      </c>
      <c r="G440" t="inlineStr">
        <is>
          <t>HÄRNÖSAND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11881-2024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45376</v>
      </c>
      <c r="E441" s="1" t="n">
        <v>46254</v>
      </c>
      <c r="F441" t="inlineStr">
        <is>
          <t>VÄSTERNORRLANDS LÄN</t>
        </is>
      </c>
      <c r="G441" t="inlineStr">
        <is>
          <t>HÄRNÖSAND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59869-2025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45992</v>
      </c>
      <c r="E442" s="1" t="n">
        <v>46254</v>
      </c>
      <c r="F442" t="inlineStr">
        <is>
          <t>VÄSTERNORRLANDS LÄN</t>
        </is>
      </c>
      <c r="G442" t="inlineStr">
        <is>
          <t>HÄRNÖSAND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50338-2022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44865</v>
      </c>
      <c r="E443" s="1" t="n">
        <v>46254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SCA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45699</v>
      </c>
      <c r="E444" s="1" t="n">
        <v>46254</v>
      </c>
      <c r="F444" t="inlineStr">
        <is>
          <t>VÄSTERNORRLANDS LÄN</t>
        </is>
      </c>
      <c r="G444" t="inlineStr">
        <is>
          <t>HÄRNÖSAND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34224-2023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45126</v>
      </c>
      <c r="E445" s="1" t="n">
        <v>46254</v>
      </c>
      <c r="F445" t="inlineStr">
        <is>
          <t>VÄSTERNORRLANDS LÄN</t>
        </is>
      </c>
      <c r="G445" t="inlineStr">
        <is>
          <t>HÄRNÖSAND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18979-2023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45044</v>
      </c>
      <c r="E446" s="1" t="n">
        <v>46254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SCA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31408-2024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45502</v>
      </c>
      <c r="E447" s="1" t="n">
        <v>46254</v>
      </c>
      <c r="F447" t="inlineStr">
        <is>
          <t>VÄSTERNORRLANDS LÄN</t>
        </is>
      </c>
      <c r="G447" t="inlineStr">
        <is>
          <t>HÄRNÖSAND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60768-2025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45999</v>
      </c>
      <c r="E448" s="1" t="n">
        <v>46254</v>
      </c>
      <c r="F448" t="inlineStr">
        <is>
          <t>VÄSTERNORRLANDS LÄN</t>
        </is>
      </c>
      <c r="G448" t="inlineStr">
        <is>
          <t>HÄRNÖSAND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60771-2025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45999</v>
      </c>
      <c r="E449" s="1" t="n">
        <v>46254</v>
      </c>
      <c r="F449" t="inlineStr">
        <is>
          <t>VÄSTERNORRLANDS LÄN</t>
        </is>
      </c>
      <c r="G449" t="inlineStr">
        <is>
          <t>HÄRNÖSAND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24452-2022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44726</v>
      </c>
      <c r="E450" s="1" t="n">
        <v>46254</v>
      </c>
      <c r="F450" t="inlineStr">
        <is>
          <t>VÄSTERNORRLANDS LÄN</t>
        </is>
      </c>
      <c r="G450" t="inlineStr">
        <is>
          <t>HÄRNÖSAND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60772-2025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45999</v>
      </c>
      <c r="E451" s="1" t="n">
        <v>46254</v>
      </c>
      <c r="F451" t="inlineStr">
        <is>
          <t>VÄSTERNORRLANDS LÄN</t>
        </is>
      </c>
      <c r="G451" t="inlineStr">
        <is>
          <t>HÄRNÖSAND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61189-2025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46000</v>
      </c>
      <c r="E452" s="1" t="n">
        <v>46254</v>
      </c>
      <c r="F452" t="inlineStr">
        <is>
          <t>VÄSTERNORRLANDS LÄN</t>
        </is>
      </c>
      <c r="G452" t="inlineStr">
        <is>
          <t>HÄRNÖSAND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61181-2025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46000</v>
      </c>
      <c r="E453" s="1" t="n">
        <v>46254</v>
      </c>
      <c r="F453" t="inlineStr">
        <is>
          <t>VÄSTERNORRLANDS LÄN</t>
        </is>
      </c>
      <c r="G453" t="inlineStr">
        <is>
          <t>HÄRNÖSAND</t>
        </is>
      </c>
      <c r="I453" t="n">
        <v>12.5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56165-2022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44889</v>
      </c>
      <c r="E454" s="1" t="n">
        <v>46254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SCA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29813-2022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44755</v>
      </c>
      <c r="E455" s="1" t="n">
        <v>46254</v>
      </c>
      <c r="F455" t="inlineStr">
        <is>
          <t>VÄSTERNORRLANDS LÄN</t>
        </is>
      </c>
      <c r="G455" t="inlineStr">
        <is>
          <t>HÄRNÖSAND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54252-2022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44881</v>
      </c>
      <c r="E456" s="1" t="n">
        <v>46254</v>
      </c>
      <c r="F456" t="inlineStr">
        <is>
          <t>VÄSTERNORRLANDS LÄN</t>
        </is>
      </c>
      <c r="G456" t="inlineStr">
        <is>
          <t>HÄRNÖSAND</t>
        </is>
      </c>
      <c r="H456" t="inlineStr">
        <is>
          <t>SCA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46508-2023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45194</v>
      </c>
      <c r="E457" s="1" t="n">
        <v>46254</v>
      </c>
      <c r="F457" t="inlineStr">
        <is>
          <t>VÄSTERNORRLANDS LÄN</t>
        </is>
      </c>
      <c r="G457" t="inlineStr">
        <is>
          <t>HÄRNÖSAND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31546-2024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45505</v>
      </c>
      <c r="E458" s="1" t="n">
        <v>46254</v>
      </c>
      <c r="F458" t="inlineStr">
        <is>
          <t>VÄSTERNORRLANDS LÄN</t>
        </is>
      </c>
      <c r="G458" t="inlineStr">
        <is>
          <t>HÄRNÖSAND</t>
        </is>
      </c>
      <c r="H458" t="inlineStr">
        <is>
          <t>SCA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46320-2022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44847</v>
      </c>
      <c r="E459" s="1" t="n">
        <v>46254</v>
      </c>
      <c r="F459" t="inlineStr">
        <is>
          <t>VÄSTERNORRLANDS LÄN</t>
        </is>
      </c>
      <c r="G459" t="inlineStr">
        <is>
          <t>HÄRNÖSAND</t>
        </is>
      </c>
      <c r="H459" t="inlineStr">
        <is>
          <t>Kyrkan</t>
        </is>
      </c>
      <c r="I459" t="n">
        <v>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64107-2025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46013</v>
      </c>
      <c r="E460" s="1" t="n">
        <v>46254</v>
      </c>
      <c r="F460" t="inlineStr">
        <is>
          <t>VÄSTERNORRLANDS LÄN</t>
        </is>
      </c>
      <c r="G460" t="inlineStr">
        <is>
          <t>HÄRNÖSAND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46319-2022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44847</v>
      </c>
      <c r="E461" s="1" t="n">
        <v>46254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Kyrkan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11078-2025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45723</v>
      </c>
      <c r="E462" s="1" t="n">
        <v>46254</v>
      </c>
      <c r="F462" t="inlineStr">
        <is>
          <t>VÄSTERNORRLANDS LÄN</t>
        </is>
      </c>
      <c r="G462" t="inlineStr">
        <is>
          <t>HÄRNÖSAND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29279-2024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45482</v>
      </c>
      <c r="E463" s="1" t="n">
        <v>46254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4818-2024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45328</v>
      </c>
      <c r="E464" s="1" t="n">
        <v>46254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4819-2024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45328</v>
      </c>
      <c r="E465" s="1" t="n">
        <v>46254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46023</v>
      </c>
      <c r="E466" s="1" t="n">
        <v>46254</v>
      </c>
      <c r="F466" t="inlineStr">
        <is>
          <t>VÄSTERNORRLANDS LÄN</t>
        </is>
      </c>
      <c r="G466" t="inlineStr">
        <is>
          <t>HÄRNÖSAND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46023</v>
      </c>
      <c r="E467" s="1" t="n">
        <v>46254</v>
      </c>
      <c r="F467" t="inlineStr">
        <is>
          <t>VÄSTERNORRLANDS LÄN</t>
        </is>
      </c>
      <c r="G467" t="inlineStr">
        <is>
          <t>HÄRNÖSAND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46023</v>
      </c>
      <c r="E468" s="1" t="n">
        <v>46254</v>
      </c>
      <c r="F468" t="inlineStr">
        <is>
          <t>VÄSTERNORRLANDS LÄN</t>
        </is>
      </c>
      <c r="G468" t="inlineStr">
        <is>
          <t>HÄRNÖSAND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46024</v>
      </c>
      <c r="E469" s="1" t="n">
        <v>46254</v>
      </c>
      <c r="F469" t="inlineStr">
        <is>
          <t>VÄSTERNORRLANDS LÄN</t>
        </is>
      </c>
      <c r="G469" t="inlineStr">
        <is>
          <t>HÄRNÖSAND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46024</v>
      </c>
      <c r="E470" s="1" t="n">
        <v>46254</v>
      </c>
      <c r="F470" t="inlineStr">
        <is>
          <t>VÄSTERNORRLANDS LÄN</t>
        </is>
      </c>
      <c r="G470" t="inlineStr">
        <is>
          <t>HÄRNÖSAND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46024</v>
      </c>
      <c r="E471" s="1" t="n">
        <v>46254</v>
      </c>
      <c r="F471" t="inlineStr">
        <is>
          <t>VÄSTERNORRLANDS LÄN</t>
        </is>
      </c>
      <c r="G471" t="inlineStr">
        <is>
          <t>HÄRNÖSAND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46026</v>
      </c>
      <c r="E472" s="1" t="n">
        <v>46254</v>
      </c>
      <c r="F472" t="inlineStr">
        <is>
          <t>VÄSTERNORRLANDS LÄN</t>
        </is>
      </c>
      <c r="G472" t="inlineStr">
        <is>
          <t>HÄRNÖSAND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46024</v>
      </c>
      <c r="E473" s="1" t="n">
        <v>46254</v>
      </c>
      <c r="F473" t="inlineStr">
        <is>
          <t>VÄSTERNORRLANDS LÄN</t>
        </is>
      </c>
      <c r="G473" t="inlineStr">
        <is>
          <t>HÄRNÖSAND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13604-2024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45390</v>
      </c>
      <c r="E474" s="1" t="n">
        <v>46254</v>
      </c>
      <c r="F474" t="inlineStr">
        <is>
          <t>VÄSTERNORRLANDS LÄN</t>
        </is>
      </c>
      <c r="G474" t="inlineStr">
        <is>
          <t>HÄRNÖSAND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46029</v>
      </c>
      <c r="E475" s="1" t="n">
        <v>46254</v>
      </c>
      <c r="F475" t="inlineStr">
        <is>
          <t>VÄSTERNORRLANDS LÄN</t>
        </is>
      </c>
      <c r="G475" t="inlineStr">
        <is>
          <t>HÄRNÖSAND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60970-2021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44496</v>
      </c>
      <c r="E476" s="1" t="n">
        <v>46254</v>
      </c>
      <c r="F476" t="inlineStr">
        <is>
          <t>VÄSTERNORRLANDS LÄN</t>
        </is>
      </c>
      <c r="G476" t="inlineStr">
        <is>
          <t>HÄRNÖSAND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52987-2022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44875</v>
      </c>
      <c r="E477" s="1" t="n">
        <v>46254</v>
      </c>
      <c r="F477" t="inlineStr">
        <is>
          <t>VÄSTERNORRLANDS LÄN</t>
        </is>
      </c>
      <c r="G477" t="inlineStr">
        <is>
          <t>HÄRNÖSAND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46029</v>
      </c>
      <c r="E478" s="1" t="n">
        <v>46254</v>
      </c>
      <c r="F478" t="inlineStr">
        <is>
          <t>VÄSTERNORRLANDS LÄN</t>
        </is>
      </c>
      <c r="G478" t="inlineStr">
        <is>
          <t>HÄRNÖSAND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47702-2021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44448</v>
      </c>
      <c r="E479" s="1" t="n">
        <v>46254</v>
      </c>
      <c r="F479" t="inlineStr">
        <is>
          <t>VÄSTERNORRLANDS LÄN</t>
        </is>
      </c>
      <c r="G479" t="inlineStr">
        <is>
          <t>HÄRNÖSAND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69269-2021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44531</v>
      </c>
      <c r="E480" s="1" t="n">
        <v>46254</v>
      </c>
      <c r="F480" t="inlineStr">
        <is>
          <t>VÄSTERNORRLANDS LÄN</t>
        </is>
      </c>
      <c r="G480" t="inlineStr">
        <is>
          <t>HÄRNÖSAND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12267-2025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45729</v>
      </c>
      <c r="E481" s="1" t="n">
        <v>46254</v>
      </c>
      <c r="F481" t="inlineStr">
        <is>
          <t>VÄSTERNORRLANDS LÄN</t>
        </is>
      </c>
      <c r="G481" t="inlineStr">
        <is>
          <t>HÄRNÖSAND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38146-2024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45545</v>
      </c>
      <c r="E482" s="1" t="n">
        <v>46254</v>
      </c>
      <c r="F482" t="inlineStr">
        <is>
          <t>VÄSTERNORRLANDS LÄN</t>
        </is>
      </c>
      <c r="G482" t="inlineStr">
        <is>
          <t>HÄRNÖSAND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46030</v>
      </c>
      <c r="E483" s="1" t="n">
        <v>46254</v>
      </c>
      <c r="F483" t="inlineStr">
        <is>
          <t>VÄSTERNORRLANDS LÄN</t>
        </is>
      </c>
      <c r="G483" t="inlineStr">
        <is>
          <t>HÄRNÖSAND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780-2026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46029</v>
      </c>
      <c r="E484" s="1" t="n">
        <v>46254</v>
      </c>
      <c r="F484" t="inlineStr">
        <is>
          <t>VÄSTERNORRLANDS LÄN</t>
        </is>
      </c>
      <c r="G484" t="inlineStr">
        <is>
          <t>HÄRNÖSAND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49346-2024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45595</v>
      </c>
      <c r="E485" s="1" t="n">
        <v>46254</v>
      </c>
      <c r="F485" t="inlineStr">
        <is>
          <t>VÄSTERNORRLANDS LÄN</t>
        </is>
      </c>
      <c r="G485" t="inlineStr">
        <is>
          <t>HÄRNÖSAND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49364-2024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45595</v>
      </c>
      <c r="E486" s="1" t="n">
        <v>46254</v>
      </c>
      <c r="F486" t="inlineStr">
        <is>
          <t>VÄSTERNORRLANDS LÄN</t>
        </is>
      </c>
      <c r="G486" t="inlineStr">
        <is>
          <t>HÄRNÖSAND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774-2026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46029</v>
      </c>
      <c r="E487" s="1" t="n">
        <v>46254</v>
      </c>
      <c r="F487" t="inlineStr">
        <is>
          <t>VÄSTERNORRLANDS LÄN</t>
        </is>
      </c>
      <c r="G487" t="inlineStr">
        <is>
          <t>HÄRNÖSAND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46254</v>
      </c>
      <c r="F488" t="inlineStr">
        <is>
          <t>VÄSTERNORRLANDS LÄN</t>
        </is>
      </c>
      <c r="G488" t="inlineStr">
        <is>
          <t>HÄRNÖSAND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1690-2026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46034</v>
      </c>
      <c r="E489" s="1" t="n">
        <v>46254</v>
      </c>
      <c r="F489" t="inlineStr">
        <is>
          <t>VÄSTERNORRLANDS LÄN</t>
        </is>
      </c>
      <c r="G489" t="inlineStr">
        <is>
          <t>HÄRNÖSAND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46035</v>
      </c>
      <c r="E490" s="1" t="n">
        <v>46254</v>
      </c>
      <c r="F490" t="inlineStr">
        <is>
          <t>VÄSTERNORRLANDS LÄN</t>
        </is>
      </c>
      <c r="G490" t="inlineStr">
        <is>
          <t>HÄRNÖSAND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64377-2023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45280</v>
      </c>
      <c r="E491" s="1" t="n">
        <v>46254</v>
      </c>
      <c r="F491" t="inlineStr">
        <is>
          <t>VÄSTERNORRLANDS LÄN</t>
        </is>
      </c>
      <c r="G491" t="inlineStr">
        <is>
          <t>HÄRNÖSAND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19827-2022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44694</v>
      </c>
      <c r="E492" s="1" t="n">
        <v>46254</v>
      </c>
      <c r="F492" t="inlineStr">
        <is>
          <t>VÄSTERNORRLANDS LÄN</t>
        </is>
      </c>
      <c r="G492" t="inlineStr">
        <is>
          <t>HÄRNÖSAND</t>
        </is>
      </c>
      <c r="H492" t="inlineStr">
        <is>
          <t>SCA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27912-2022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44743</v>
      </c>
      <c r="E493" s="1" t="n">
        <v>46254</v>
      </c>
      <c r="F493" t="inlineStr">
        <is>
          <t>VÄSTERNORRLANDS LÄN</t>
        </is>
      </c>
      <c r="G493" t="inlineStr">
        <is>
          <t>HÄRNÖSAND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37172-2022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44806</v>
      </c>
      <c r="E494" s="1" t="n">
        <v>46254</v>
      </c>
      <c r="F494" t="inlineStr">
        <is>
          <t>VÄSTERNORRLANDS LÄN</t>
        </is>
      </c>
      <c r="G494" t="inlineStr">
        <is>
          <t>HÄRNÖSAND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37172-2022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44806</v>
      </c>
      <c r="E495" s="1" t="n">
        <v>46254</v>
      </c>
      <c r="F495" t="inlineStr">
        <is>
          <t>VÄSTERNORRLANDS LÄN</t>
        </is>
      </c>
      <c r="G495" t="inlineStr">
        <is>
          <t>HÄRNÖSAND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46038</v>
      </c>
      <c r="E496" s="1" t="n">
        <v>46254</v>
      </c>
      <c r="F496" t="inlineStr">
        <is>
          <t>VÄSTERNORRLANDS LÄN</t>
        </is>
      </c>
      <c r="G496" t="inlineStr">
        <is>
          <t>HÄRNÖSAND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46038</v>
      </c>
      <c r="E497" s="1" t="n">
        <v>46254</v>
      </c>
      <c r="F497" t="inlineStr">
        <is>
          <t>VÄSTERNORRLANDS LÄN</t>
        </is>
      </c>
      <c r="G497" t="inlineStr">
        <is>
          <t>HÄRNÖSAND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9242-2025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45714</v>
      </c>
      <c r="E498" s="1" t="n">
        <v>46254</v>
      </c>
      <c r="F498" t="inlineStr">
        <is>
          <t>VÄSTERNORRLANDS LÄN</t>
        </is>
      </c>
      <c r="G498" t="inlineStr">
        <is>
          <t>HÄRNÖSAND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46254</v>
      </c>
      <c r="F499" t="inlineStr">
        <is>
          <t>VÄSTERNORRLANDS LÄN</t>
        </is>
      </c>
      <c r="G499" t="inlineStr">
        <is>
          <t>HÄRNÖSAND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55058-2023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45229</v>
      </c>
      <c r="E500" s="1" t="n">
        <v>46254</v>
      </c>
      <c r="F500" t="inlineStr">
        <is>
          <t>VÄSTERNORRLANDS LÄN</t>
        </is>
      </c>
      <c r="G500" t="inlineStr">
        <is>
          <t>HÄRNÖSAND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46045</v>
      </c>
      <c r="E501" s="1" t="n">
        <v>46254</v>
      </c>
      <c r="F501" t="inlineStr">
        <is>
          <t>VÄSTERNORRLANDS LÄN</t>
        </is>
      </c>
      <c r="G501" t="inlineStr">
        <is>
          <t>HÄRNÖSAND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46254</v>
      </c>
      <c r="F502" t="inlineStr">
        <is>
          <t>VÄSTERNORRLANDS LÄN</t>
        </is>
      </c>
      <c r="G502" t="inlineStr">
        <is>
          <t>HÄRNÖSAND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11043-2023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44991</v>
      </c>
      <c r="E503" s="1" t="n">
        <v>46254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SCA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58869-2023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45250</v>
      </c>
      <c r="E504" s="1" t="n">
        <v>46254</v>
      </c>
      <c r="F504" t="inlineStr">
        <is>
          <t>VÄSTERNORRLANDS LÄN</t>
        </is>
      </c>
      <c r="G504" t="inlineStr">
        <is>
          <t>HÄRNÖSAND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6418-2026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46254</v>
      </c>
      <c r="F505" t="inlineStr">
        <is>
          <t>VÄSTERNORRLANDS LÄN</t>
        </is>
      </c>
      <c r="G505" t="inlineStr">
        <is>
          <t>HÄRNÖSAND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45921-2024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45580</v>
      </c>
      <c r="E506" s="1" t="n">
        <v>46254</v>
      </c>
      <c r="F506" t="inlineStr">
        <is>
          <t>VÄSTERNORRLANDS LÄN</t>
        </is>
      </c>
      <c r="G506" t="inlineStr">
        <is>
          <t>HÄRNÖSAND</t>
        </is>
      </c>
      <c r="I506" t="n">
        <v>14.2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46054</v>
      </c>
      <c r="E507" s="1" t="n">
        <v>46254</v>
      </c>
      <c r="F507" t="inlineStr">
        <is>
          <t>VÄSTERNORRLANDS LÄN</t>
        </is>
      </c>
      <c r="G507" t="inlineStr">
        <is>
          <t>HÄRNÖSAND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46052</v>
      </c>
      <c r="E508" s="1" t="n">
        <v>46254</v>
      </c>
      <c r="F508" t="inlineStr">
        <is>
          <t>VÄSTERNORRLANDS LÄN</t>
        </is>
      </c>
      <c r="G508" t="inlineStr">
        <is>
          <t>HÄRNÖSAND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5860-2026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46052</v>
      </c>
      <c r="E509" s="1" t="n">
        <v>46254</v>
      </c>
      <c r="F509" t="inlineStr">
        <is>
          <t>VÄSTERNORRLANDS LÄN</t>
        </is>
      </c>
      <c r="G509" t="inlineStr">
        <is>
          <t>HÄRNÖSAND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46052</v>
      </c>
      <c r="E510" s="1" t="n">
        <v>46254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64749-2023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45281</v>
      </c>
      <c r="E511" s="1" t="n">
        <v>46254</v>
      </c>
      <c r="F511" t="inlineStr">
        <is>
          <t>VÄSTERNORRLANDS LÄN</t>
        </is>
      </c>
      <c r="G511" t="inlineStr">
        <is>
          <t>HÄRNÖSAND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6646-2026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46056</v>
      </c>
      <c r="E512" s="1" t="n">
        <v>46254</v>
      </c>
      <c r="F512" t="inlineStr">
        <is>
          <t>VÄSTERNORRLANDS LÄN</t>
        </is>
      </c>
      <c r="G512" t="inlineStr">
        <is>
          <t>HÄRNÖSAND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6258-2023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44957</v>
      </c>
      <c r="E513" s="1" t="n">
        <v>46254</v>
      </c>
      <c r="F513" t="inlineStr">
        <is>
          <t>VÄSTERNORRLANDS LÄN</t>
        </is>
      </c>
      <c r="G513" t="inlineStr">
        <is>
          <t>HÄRNÖSAND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61776-2023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45265</v>
      </c>
      <c r="E514" s="1" t="n">
        <v>46254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7896-2026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46254</v>
      </c>
      <c r="F515" t="inlineStr">
        <is>
          <t>VÄSTERNORRLANDS LÄN</t>
        </is>
      </c>
      <c r="G515" t="inlineStr">
        <is>
          <t>HÄRNÖSAND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27977-2024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45476</v>
      </c>
      <c r="E516" s="1" t="n">
        <v>46254</v>
      </c>
      <c r="F516" t="inlineStr">
        <is>
          <t>VÄSTERNORRLANDS LÄN</t>
        </is>
      </c>
      <c r="G516" t="inlineStr">
        <is>
          <t>HÄRNÖSAND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8421-2026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46065</v>
      </c>
      <c r="E517" s="1" t="n">
        <v>46254</v>
      </c>
      <c r="F517" t="inlineStr">
        <is>
          <t>VÄSTERNORRLANDS LÄN</t>
        </is>
      </c>
      <c r="G517" t="inlineStr">
        <is>
          <t>HÄRNÖSAND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27976-2024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45476</v>
      </c>
      <c r="E518" s="1" t="n">
        <v>46254</v>
      </c>
      <c r="F518" t="inlineStr">
        <is>
          <t>VÄSTERNORRLANDS LÄN</t>
        </is>
      </c>
      <c r="G518" t="inlineStr">
        <is>
          <t>HÄRNÖSAND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8413-2026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46065</v>
      </c>
      <c r="E519" s="1" t="n">
        <v>46254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Kyrkan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8414-2026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46065</v>
      </c>
      <c r="E520" s="1" t="n">
        <v>46254</v>
      </c>
      <c r="F520" t="inlineStr">
        <is>
          <t>VÄSTERNORRLANDS LÄN</t>
        </is>
      </c>
      <c r="G520" t="inlineStr">
        <is>
          <t>HÄRNÖSAND</t>
        </is>
      </c>
      <c r="H520" t="inlineStr">
        <is>
          <t>Kyrkan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8415-2026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46065</v>
      </c>
      <c r="E521" s="1" t="n">
        <v>46254</v>
      </c>
      <c r="F521" t="inlineStr">
        <is>
          <t>VÄSTERNORRLANDS LÄN</t>
        </is>
      </c>
      <c r="G521" t="inlineStr">
        <is>
          <t>HÄRNÖSAND</t>
        </is>
      </c>
      <c r="H521" t="inlineStr">
        <is>
          <t>Kyrkan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8495-2026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46065</v>
      </c>
      <c r="E522" s="1" t="n">
        <v>46254</v>
      </c>
      <c r="F522" t="inlineStr">
        <is>
          <t>VÄSTERNORRLANDS LÄN</t>
        </is>
      </c>
      <c r="G522" t="inlineStr">
        <is>
          <t>HÄRNÖSAND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39498-2023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46254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46069</v>
      </c>
      <c r="E524" s="1" t="n">
        <v>46254</v>
      </c>
      <c r="F524" t="inlineStr">
        <is>
          <t>VÄSTERNORRLANDS LÄN</t>
        </is>
      </c>
      <c r="G524" t="inlineStr">
        <is>
          <t>HÄRNÖSAND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48047-2022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44855</v>
      </c>
      <c r="E525" s="1" t="n">
        <v>46254</v>
      </c>
      <c r="F525" t="inlineStr">
        <is>
          <t>VÄSTERNORRLANDS LÄN</t>
        </is>
      </c>
      <c r="G525" t="inlineStr">
        <is>
          <t>HÄRNÖSAND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56395-2022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44890</v>
      </c>
      <c r="E526" s="1" t="n">
        <v>46254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Kyrkan</t>
        </is>
      </c>
      <c r="I526" t="n">
        <v>7.4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9160-2026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46254</v>
      </c>
      <c r="F527" t="inlineStr">
        <is>
          <t>VÄSTERNORRLANDS LÄN</t>
        </is>
      </c>
      <c r="G527" t="inlineStr">
        <is>
          <t>HÄRNÖSAND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9161-2026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46070</v>
      </c>
      <c r="E528" s="1" t="n">
        <v>46254</v>
      </c>
      <c r="F528" t="inlineStr">
        <is>
          <t>VÄSTERNORRLANDS LÄN</t>
        </is>
      </c>
      <c r="G528" t="inlineStr">
        <is>
          <t>HÄRNÖSAND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9162-2026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46070</v>
      </c>
      <c r="E529" s="1" t="n">
        <v>46254</v>
      </c>
      <c r="F529" t="inlineStr">
        <is>
          <t>VÄSTERNORRLANDS LÄN</t>
        </is>
      </c>
      <c r="G529" t="inlineStr">
        <is>
          <t>HÄRNÖSAND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9804-2026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46254</v>
      </c>
      <c r="F530" t="inlineStr">
        <is>
          <t>VÄSTERNORRLANDS LÄN</t>
        </is>
      </c>
      <c r="G530" t="inlineStr">
        <is>
          <t>HÄRNÖSAND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46254</v>
      </c>
      <c r="F531" t="inlineStr">
        <is>
          <t>VÄSTERNORRLANDS LÄN</t>
        </is>
      </c>
      <c r="G531" t="inlineStr">
        <is>
          <t>HÄRNÖSAND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9642-2026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46072</v>
      </c>
      <c r="E532" s="1" t="n">
        <v>46254</v>
      </c>
      <c r="F532" t="inlineStr">
        <is>
          <t>VÄSTERNORRLANDS LÄN</t>
        </is>
      </c>
      <c r="G532" t="inlineStr">
        <is>
          <t>HÄRNÖSAND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9656-2026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46072</v>
      </c>
      <c r="E533" s="1" t="n">
        <v>46254</v>
      </c>
      <c r="F533" t="inlineStr">
        <is>
          <t>VÄSTERNORRLANDS LÄN</t>
        </is>
      </c>
      <c r="G533" t="inlineStr">
        <is>
          <t>HÄRNÖSAND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10571-2026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46077</v>
      </c>
      <c r="E534" s="1" t="n">
        <v>46254</v>
      </c>
      <c r="F534" t="inlineStr">
        <is>
          <t>VÄSTERNORRLANDS LÄN</t>
        </is>
      </c>
      <c r="G534" t="inlineStr">
        <is>
          <t>HÄRNÖSAND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3024-2023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44945</v>
      </c>
      <c r="E535" s="1" t="n">
        <v>46254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11202-2026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46080</v>
      </c>
      <c r="E536" s="1" t="n">
        <v>46254</v>
      </c>
      <c r="F536" t="inlineStr">
        <is>
          <t>VÄSTERNORRLANDS LÄN</t>
        </is>
      </c>
      <c r="G536" t="inlineStr">
        <is>
          <t>HÄRNÖSAND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59034-2022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44903</v>
      </c>
      <c r="E537" s="1" t="n">
        <v>46254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46085</v>
      </c>
      <c r="E538" s="1" t="n">
        <v>46254</v>
      </c>
      <c r="F538" t="inlineStr">
        <is>
          <t>VÄSTERNORRLANDS LÄN</t>
        </is>
      </c>
      <c r="G538" t="inlineStr">
        <is>
          <t>HÄRNÖSAND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8375-2026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46064</v>
      </c>
      <c r="E539" s="1" t="n">
        <v>46254</v>
      </c>
      <c r="F539" t="inlineStr">
        <is>
          <t>VÄSTERNORRLANDS LÄN</t>
        </is>
      </c>
      <c r="G539" t="inlineStr">
        <is>
          <t>HÄRNÖSAND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59155-2023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45251</v>
      </c>
      <c r="E540" s="1" t="n">
        <v>46254</v>
      </c>
      <c r="F540" t="inlineStr">
        <is>
          <t>VÄSTERNORRLANDS LÄN</t>
        </is>
      </c>
      <c r="G540" t="inlineStr">
        <is>
          <t>HÄRNÖSAND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12340-2026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46087</v>
      </c>
      <c r="E541" s="1" t="n">
        <v>46254</v>
      </c>
      <c r="F541" t="inlineStr">
        <is>
          <t>VÄSTERNORRLANDS LÄN</t>
        </is>
      </c>
      <c r="G541" t="inlineStr">
        <is>
          <t>HÄRNÖSAND</t>
        </is>
      </c>
      <c r="H541" t="inlineStr">
        <is>
          <t>Övriga statliga verk och myndigheter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12613-2026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46091</v>
      </c>
      <c r="E542" s="1" t="n">
        <v>46254</v>
      </c>
      <c r="F542" t="inlineStr">
        <is>
          <t>VÄSTERNORRLANDS LÄN</t>
        </is>
      </c>
      <c r="G542" t="inlineStr">
        <is>
          <t>HÄRNÖSAND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12630-2026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46091</v>
      </c>
      <c r="E543" s="1" t="n">
        <v>46254</v>
      </c>
      <c r="F543" t="inlineStr">
        <is>
          <t>VÄSTERNORRLANDS LÄN</t>
        </is>
      </c>
      <c r="G543" t="inlineStr">
        <is>
          <t>HÄRNÖSAND</t>
        </is>
      </c>
      <c r="I543" t="n">
        <v>9.9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32418-2024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45512</v>
      </c>
      <c r="E544" s="1" t="n">
        <v>46254</v>
      </c>
      <c r="F544" t="inlineStr">
        <is>
          <t>VÄSTERNORRLANDS LÄN</t>
        </is>
      </c>
      <c r="G544" t="inlineStr">
        <is>
          <t>HÄRNÖSAND</t>
        </is>
      </c>
      <c r="I544" t="n">
        <v>6.8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12637-2026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46091</v>
      </c>
      <c r="E545" s="1" t="n">
        <v>46254</v>
      </c>
      <c r="F545" t="inlineStr">
        <is>
          <t>VÄSTERNORRLANDS LÄN</t>
        </is>
      </c>
      <c r="G545" t="inlineStr">
        <is>
          <t>HÄRNÖSAND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11042-2025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45723</v>
      </c>
      <c r="E546" s="1" t="n">
        <v>46254</v>
      </c>
      <c r="F546" t="inlineStr">
        <is>
          <t>VÄSTERNORRLANDS LÄN</t>
        </is>
      </c>
      <c r="G546" t="inlineStr">
        <is>
          <t>HÄRNÖSAND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12650-2026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46091</v>
      </c>
      <c r="E547" s="1" t="n">
        <v>46254</v>
      </c>
      <c r="F547" t="inlineStr">
        <is>
          <t>VÄSTERNORRLANDS LÄN</t>
        </is>
      </c>
      <c r="G547" t="inlineStr">
        <is>
          <t>HÄRNÖSAND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12623-2026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46091</v>
      </c>
      <c r="E548" s="1" t="n">
        <v>46254</v>
      </c>
      <c r="F548" t="inlineStr">
        <is>
          <t>VÄSTERNORRLANDS LÄN</t>
        </is>
      </c>
      <c r="G548" t="inlineStr">
        <is>
          <t>HÄRNÖSAND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61574-2021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44497</v>
      </c>
      <c r="E549" s="1" t="n">
        <v>46254</v>
      </c>
      <c r="F549" t="inlineStr">
        <is>
          <t>VÄSTERNORRLANDS LÄN</t>
        </is>
      </c>
      <c r="G549" t="inlineStr">
        <is>
          <t>HÄRNÖSAND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62333-2021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44502</v>
      </c>
      <c r="E550" s="1" t="n">
        <v>46254</v>
      </c>
      <c r="F550" t="inlineStr">
        <is>
          <t>VÄSTERNORRLANDS LÄN</t>
        </is>
      </c>
      <c r="G550" t="inlineStr">
        <is>
          <t>HÄRNÖSAND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13459-2026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46254</v>
      </c>
      <c r="F551" t="inlineStr">
        <is>
          <t>VÄSTERNORRLANDS LÄN</t>
        </is>
      </c>
      <c r="G551" t="inlineStr">
        <is>
          <t>HÄRNÖSAND</t>
        </is>
      </c>
      <c r="H551" t="inlineStr">
        <is>
          <t>SCA</t>
        </is>
      </c>
      <c r="I551" t="n">
        <v>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45323</v>
      </c>
      <c r="E552" s="1" t="n">
        <v>46254</v>
      </c>
      <c r="F552" t="inlineStr">
        <is>
          <t>VÄSTERNORRLANDS LÄN</t>
        </is>
      </c>
      <c r="G552" t="inlineStr">
        <is>
          <t>HÄRNÖSAND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13488-2026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46094</v>
      </c>
      <c r="E553" s="1" t="n">
        <v>46254</v>
      </c>
      <c r="F553" t="inlineStr">
        <is>
          <t>VÄSTERNORRLANDS LÄN</t>
        </is>
      </c>
      <c r="G553" t="inlineStr">
        <is>
          <t>HÄRNÖSAND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59715-2024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45639</v>
      </c>
      <c r="E554" s="1" t="n">
        <v>46254</v>
      </c>
      <c r="F554" t="inlineStr">
        <is>
          <t>VÄSTERNORRLANDS LÄN</t>
        </is>
      </c>
      <c r="G554" t="inlineStr">
        <is>
          <t>HÄRNÖSAND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8220-2022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44609</v>
      </c>
      <c r="E555" s="1" t="n">
        <v>46254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Övriga statliga verk och myndigheter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4648-2023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44952</v>
      </c>
      <c r="E556" s="1" t="n">
        <v>46254</v>
      </c>
      <c r="F556" t="inlineStr">
        <is>
          <t>VÄSTERNORRLANDS LÄN</t>
        </is>
      </c>
      <c r="G556" t="inlineStr">
        <is>
          <t>HÄRNÖSAND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14936-2026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46104</v>
      </c>
      <c r="E557" s="1" t="n">
        <v>46254</v>
      </c>
      <c r="F557" t="inlineStr">
        <is>
          <t>VÄSTERNORRLANDS LÄN</t>
        </is>
      </c>
      <c r="G557" t="inlineStr">
        <is>
          <t>HÄRNÖSAND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46101</v>
      </c>
      <c r="E558" s="1" t="n">
        <v>46254</v>
      </c>
      <c r="F558" t="inlineStr">
        <is>
          <t>VÄSTERNORRLANDS LÄN</t>
        </is>
      </c>
      <c r="G558" t="inlineStr">
        <is>
          <t>HÄRNÖSAND</t>
        </is>
      </c>
      <c r="H558" t="inlineStr">
        <is>
          <t>SCA</t>
        </is>
      </c>
      <c r="I558" t="n">
        <v>16.2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15137-2026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46105</v>
      </c>
      <c r="E559" s="1" t="n">
        <v>46254</v>
      </c>
      <c r="F559" t="inlineStr">
        <is>
          <t>VÄSTERNORRLANDS LÄN</t>
        </is>
      </c>
      <c r="G559" t="inlineStr">
        <is>
          <t>HÄRNÖSAND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28319-2022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44747</v>
      </c>
      <c r="E560" s="1" t="n">
        <v>46254</v>
      </c>
      <c r="F560" t="inlineStr">
        <is>
          <t>VÄSTERNORRLANDS LÄN</t>
        </is>
      </c>
      <c r="G560" t="inlineStr">
        <is>
          <t>HÄRNÖSAND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15199-2026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46105</v>
      </c>
      <c r="E561" s="1" t="n">
        <v>46254</v>
      </c>
      <c r="F561" t="inlineStr">
        <is>
          <t>VÄSTERNORRLANDS LÄN</t>
        </is>
      </c>
      <c r="G561" t="inlineStr">
        <is>
          <t>HÄRNÖSAND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15613-2026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46254</v>
      </c>
      <c r="F562" t="inlineStr">
        <is>
          <t>VÄSTERNORRLANDS LÄN</t>
        </is>
      </c>
      <c r="G562" t="inlineStr">
        <is>
          <t>HÄRNÖSAND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15192-2026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46105</v>
      </c>
      <c r="E563" s="1" t="n">
        <v>46254</v>
      </c>
      <c r="F563" t="inlineStr">
        <is>
          <t>VÄSTERNORRLANDS LÄN</t>
        </is>
      </c>
      <c r="G563" t="inlineStr">
        <is>
          <t>HÄRNÖSAND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15160-2026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46105</v>
      </c>
      <c r="E564" s="1" t="n">
        <v>46254</v>
      </c>
      <c r="F564" t="inlineStr">
        <is>
          <t>VÄSTERNORRLANDS LÄN</t>
        </is>
      </c>
      <c r="G564" t="inlineStr">
        <is>
          <t>HÄRNÖSAND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36496-2023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45152</v>
      </c>
      <c r="E565" s="1" t="n">
        <v>46254</v>
      </c>
      <c r="F565" t="inlineStr">
        <is>
          <t>VÄSTERNORRLANDS LÄN</t>
        </is>
      </c>
      <c r="G565" t="inlineStr">
        <is>
          <t>HÄRNÖSAND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15928-2026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46107</v>
      </c>
      <c r="E566" s="1" t="n">
        <v>46254</v>
      </c>
      <c r="F566" t="inlineStr">
        <is>
          <t>VÄSTERNORRLANDS LÄN</t>
        </is>
      </c>
      <c r="G566" t="inlineStr">
        <is>
          <t>HÄRNÖSAND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15921-2026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46107</v>
      </c>
      <c r="E567" s="1" t="n">
        <v>46254</v>
      </c>
      <c r="F567" t="inlineStr">
        <is>
          <t>VÄSTERNORRLANDS LÄN</t>
        </is>
      </c>
      <c r="G567" t="inlineStr">
        <is>
          <t>HÄRNÖSAND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28368-2023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45099</v>
      </c>
      <c r="E568" s="1" t="n">
        <v>46254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15930-2026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46107</v>
      </c>
      <c r="E569" s="1" t="n">
        <v>46254</v>
      </c>
      <c r="F569" t="inlineStr">
        <is>
          <t>VÄSTERNORRLANDS LÄN</t>
        </is>
      </c>
      <c r="G569" t="inlineStr">
        <is>
          <t>HÄRNÖSAND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16705-2026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46113</v>
      </c>
      <c r="E570" s="1" t="n">
        <v>46254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SCA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57154-2024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45629</v>
      </c>
      <c r="E571" s="1" t="n">
        <v>46254</v>
      </c>
      <c r="F571" t="inlineStr">
        <is>
          <t>VÄSTERNORRLANDS LÄN</t>
        </is>
      </c>
      <c r="G571" t="inlineStr">
        <is>
          <t>HÄRNÖSAND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16835-2026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46113</v>
      </c>
      <c r="E572" s="1" t="n">
        <v>46254</v>
      </c>
      <c r="F572" t="inlineStr">
        <is>
          <t>VÄSTERNORRLANDS LÄN</t>
        </is>
      </c>
      <c r="G572" t="inlineStr">
        <is>
          <t>HÄRNÖSAND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12533-2023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45000</v>
      </c>
      <c r="E573" s="1" t="n">
        <v>46254</v>
      </c>
      <c r="F573" t="inlineStr">
        <is>
          <t>VÄSTERNORRLANDS LÄN</t>
        </is>
      </c>
      <c r="G573" t="inlineStr">
        <is>
          <t>HÄRNÖSAND</t>
        </is>
      </c>
      <c r="H573" t="inlineStr">
        <is>
          <t>SCA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12543-2023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45000</v>
      </c>
      <c r="E574" s="1" t="n">
        <v>46254</v>
      </c>
      <c r="F574" t="inlineStr">
        <is>
          <t>VÄSTERNORRLANDS LÄN</t>
        </is>
      </c>
      <c r="G574" t="inlineStr">
        <is>
          <t>HÄRNÖSAND</t>
        </is>
      </c>
      <c r="H574" t="inlineStr">
        <is>
          <t>SCA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17661-2026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46120</v>
      </c>
      <c r="E575" s="1" t="n">
        <v>46254</v>
      </c>
      <c r="F575" t="inlineStr">
        <is>
          <t>VÄSTERNORRLANDS LÄN</t>
        </is>
      </c>
      <c r="G575" t="inlineStr">
        <is>
          <t>HÄRNÖSAND</t>
        </is>
      </c>
      <c r="I575" t="n">
        <v>10.8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39954-2022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44819</v>
      </c>
      <c r="E576" s="1" t="n">
        <v>46254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18348-2025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45762</v>
      </c>
      <c r="E577" s="1" t="n">
        <v>46254</v>
      </c>
      <c r="F577" t="inlineStr">
        <is>
          <t>VÄSTERNORRLANDS LÄN</t>
        </is>
      </c>
      <c r="G577" t="inlineStr">
        <is>
          <t>HÄRNÖSAND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46273-2021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44442</v>
      </c>
      <c r="E578" s="1" t="n">
        <v>46254</v>
      </c>
      <c r="F578" t="inlineStr">
        <is>
          <t>VÄSTERNORRLANDS LÄN</t>
        </is>
      </c>
      <c r="G578" t="inlineStr">
        <is>
          <t>HÄRNÖSAND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17874-2026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46122</v>
      </c>
      <c r="E579" s="1" t="n">
        <v>46254</v>
      </c>
      <c r="F579" t="inlineStr">
        <is>
          <t>VÄSTERNORRLANDS LÄN</t>
        </is>
      </c>
      <c r="G579" t="inlineStr">
        <is>
          <t>HÄRNÖSAND</t>
        </is>
      </c>
      <c r="I579" t="n">
        <v>8.300000000000001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18393-2026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46126</v>
      </c>
      <c r="E580" s="1" t="n">
        <v>46254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31.9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18288-2026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46126</v>
      </c>
      <c r="E581" s="1" t="n">
        <v>46254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39044-2023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45163</v>
      </c>
      <c r="E582" s="1" t="n">
        <v>46254</v>
      </c>
      <c r="F582" t="inlineStr">
        <is>
          <t>VÄSTERNORRLANDS LÄN</t>
        </is>
      </c>
      <c r="G582" t="inlineStr">
        <is>
          <t>HÄRNÖSAND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18575-2026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46127</v>
      </c>
      <c r="E583" s="1" t="n">
        <v>46254</v>
      </c>
      <c r="F583" t="inlineStr">
        <is>
          <t>VÄSTERNORRLANDS LÄN</t>
        </is>
      </c>
      <c r="G583" t="inlineStr">
        <is>
          <t>HÄRNÖSAND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32140-2023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45107</v>
      </c>
      <c r="E584" s="1" t="n">
        <v>46254</v>
      </c>
      <c r="F584" t="inlineStr">
        <is>
          <t>VÄSTERNORRLANDS LÄN</t>
        </is>
      </c>
      <c r="G584" t="inlineStr">
        <is>
          <t>HÄRNÖSAND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19327-2026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46133</v>
      </c>
      <c r="E585" s="1" t="n">
        <v>46254</v>
      </c>
      <c r="F585" t="inlineStr">
        <is>
          <t>VÄSTERNORRLANDS LÄN</t>
        </is>
      </c>
      <c r="G585" t="inlineStr">
        <is>
          <t>HÄRNÖSAND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45685</v>
      </c>
      <c r="E586" s="1" t="n">
        <v>46254</v>
      </c>
      <c r="F586" t="inlineStr">
        <is>
          <t>VÄSTERNORRLANDS LÄN</t>
        </is>
      </c>
      <c r="G586" t="inlineStr">
        <is>
          <t>HÄRNÖSAND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19245-2026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46254</v>
      </c>
      <c r="F587" t="inlineStr">
        <is>
          <t>VÄSTERNORRLANDS LÄN</t>
        </is>
      </c>
      <c r="G587" t="inlineStr">
        <is>
          <t>HÄRNÖSAND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19346-2026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46133</v>
      </c>
      <c r="E588" s="1" t="n">
        <v>46254</v>
      </c>
      <c r="F588" t="inlineStr">
        <is>
          <t>VÄSTERNORRLANDS LÄN</t>
        </is>
      </c>
      <c r="G588" t="inlineStr">
        <is>
          <t>HÄRNÖSAND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20822-2025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45776</v>
      </c>
      <c r="E589" s="1" t="n">
        <v>46254</v>
      </c>
      <c r="F589" t="inlineStr">
        <is>
          <t>VÄSTERNORRLANDS LÄN</t>
        </is>
      </c>
      <c r="G589" t="inlineStr">
        <is>
          <t>HÄRNÖSAND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20821-2025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45776</v>
      </c>
      <c r="E590" s="1" t="n">
        <v>46254</v>
      </c>
      <c r="F590" t="inlineStr">
        <is>
          <t>VÄSTERNORRLANDS LÄN</t>
        </is>
      </c>
      <c r="G590" t="inlineStr">
        <is>
          <t>HÄRNÖSAND</t>
        </is>
      </c>
      <c r="I590" t="n">
        <v>7.6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21484-2025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45782</v>
      </c>
      <c r="E591" s="1" t="n">
        <v>46254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32.1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21480-2025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45782</v>
      </c>
      <c r="E592" s="1" t="n">
        <v>46254</v>
      </c>
      <c r="F592" t="inlineStr">
        <is>
          <t>VÄSTERNORRLANDS LÄN</t>
        </is>
      </c>
      <c r="G592" t="inlineStr">
        <is>
          <t>HÄRNÖSAND</t>
        </is>
      </c>
      <c r="H592" t="inlineStr">
        <is>
          <t>SCA</t>
        </is>
      </c>
      <c r="I592" t="n">
        <v>12.3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42343-2024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45562</v>
      </c>
      <c r="E593" s="1" t="n">
        <v>46254</v>
      </c>
      <c r="F593" t="inlineStr">
        <is>
          <t>VÄSTERNORRLANDS LÄN</t>
        </is>
      </c>
      <c r="G593" t="inlineStr">
        <is>
          <t>HÄRNÖSAND</t>
        </is>
      </c>
      <c r="I593" t="n">
        <v>15.6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45502-2024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45578</v>
      </c>
      <c r="E594" s="1" t="n">
        <v>46254</v>
      </c>
      <c r="F594" t="inlineStr">
        <is>
          <t>VÄSTERNORRLANDS LÄN</t>
        </is>
      </c>
      <c r="G594" t="inlineStr">
        <is>
          <t>HÄRNÖSAND</t>
        </is>
      </c>
      <c r="I594" t="n">
        <v>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44590-2024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45574</v>
      </c>
      <c r="E595" s="1" t="n">
        <v>46254</v>
      </c>
      <c r="F595" t="inlineStr">
        <is>
          <t>VÄSTERNORRLANDS LÄN</t>
        </is>
      </c>
      <c r="G595" t="inlineStr">
        <is>
          <t>HÄRNÖSAND</t>
        </is>
      </c>
      <c r="I595" t="n">
        <v>11.9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23290-2025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45791</v>
      </c>
      <c r="E596" s="1" t="n">
        <v>46254</v>
      </c>
      <c r="F596" t="inlineStr">
        <is>
          <t>VÄSTERNORRLANDS LÄN</t>
        </is>
      </c>
      <c r="G596" t="inlineStr">
        <is>
          <t>HÄRNÖSAND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6831-2024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45342</v>
      </c>
      <c r="E597" s="1" t="n">
        <v>46254</v>
      </c>
      <c r="F597" t="inlineStr">
        <is>
          <t>VÄSTERNORRLANDS LÄN</t>
        </is>
      </c>
      <c r="G597" t="inlineStr">
        <is>
          <t>HÄRNÖSAND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19949-2024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45433</v>
      </c>
      <c r="E598" s="1" t="n">
        <v>46254</v>
      </c>
      <c r="F598" t="inlineStr">
        <is>
          <t>VÄSTERNORRLANDS LÄN</t>
        </is>
      </c>
      <c r="G598" t="inlineStr">
        <is>
          <t>HÄRNÖSAND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8475-2024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45351</v>
      </c>
      <c r="E599" s="1" t="n">
        <v>46254</v>
      </c>
      <c r="F599" t="inlineStr">
        <is>
          <t>VÄSTERNORRLANDS LÄN</t>
        </is>
      </c>
      <c r="G599" t="inlineStr">
        <is>
          <t>HÄRNÖSAND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23825-2025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45793</v>
      </c>
      <c r="E600" s="1" t="n">
        <v>46254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45585-2024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45579</v>
      </c>
      <c r="E601" s="1" t="n">
        <v>46254</v>
      </c>
      <c r="F601" t="inlineStr">
        <is>
          <t>VÄSTERNORRLANDS LÄN</t>
        </is>
      </c>
      <c r="G601" t="inlineStr">
        <is>
          <t>HÄRNÖSAND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1088-2022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44571</v>
      </c>
      <c r="E602" s="1" t="n">
        <v>46254</v>
      </c>
      <c r="F602" t="inlineStr">
        <is>
          <t>VÄSTERNORRLANDS LÄN</t>
        </is>
      </c>
      <c r="G602" t="inlineStr">
        <is>
          <t>HÄRNÖSAND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61944-2023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45266</v>
      </c>
      <c r="E603" s="1" t="n">
        <v>46254</v>
      </c>
      <c r="F603" t="inlineStr">
        <is>
          <t>VÄSTERNORRLANDS LÄN</t>
        </is>
      </c>
      <c r="G603" t="inlineStr">
        <is>
          <t>HÄRNÖSAND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32790-2024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45516</v>
      </c>
      <c r="E604" s="1" t="n">
        <v>46254</v>
      </c>
      <c r="F604" t="inlineStr">
        <is>
          <t>VÄSTERNORRLANDS LÄN</t>
        </is>
      </c>
      <c r="G604" t="inlineStr">
        <is>
          <t>HÄRNÖSAND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24955-2025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45799</v>
      </c>
      <c r="E605" s="1" t="n">
        <v>46254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SCA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34745-2023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45139</v>
      </c>
      <c r="E606" s="1" t="n">
        <v>46254</v>
      </c>
      <c r="F606" t="inlineStr">
        <is>
          <t>VÄSTERNORRLANDS LÄN</t>
        </is>
      </c>
      <c r="G606" t="inlineStr">
        <is>
          <t>HÄRNÖSAND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55583-2021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44475</v>
      </c>
      <c r="E607" s="1" t="n">
        <v>46254</v>
      </c>
      <c r="F607" t="inlineStr">
        <is>
          <t>VÄSTERNORRLANDS LÄN</t>
        </is>
      </c>
      <c r="G607" t="inlineStr">
        <is>
          <t>HÄRNÖSAND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25541-2025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45803</v>
      </c>
      <c r="E608" s="1" t="n">
        <v>46254</v>
      </c>
      <c r="F608" t="inlineStr">
        <is>
          <t>VÄSTERNORRLANDS LÄN</t>
        </is>
      </c>
      <c r="G608" t="inlineStr">
        <is>
          <t>HÄRNÖSAND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18461-2025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45762</v>
      </c>
      <c r="E609" s="1" t="n">
        <v>46254</v>
      </c>
      <c r="F609" t="inlineStr">
        <is>
          <t>VÄSTERNORRLANDS LÄN</t>
        </is>
      </c>
      <c r="G609" t="inlineStr">
        <is>
          <t>HÄRNÖSAND</t>
        </is>
      </c>
      <c r="I609" t="n">
        <v>5.6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25355-2025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45800</v>
      </c>
      <c r="E610" s="1" t="n">
        <v>46254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45681-2021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44441</v>
      </c>
      <c r="E611" s="1" t="n">
        <v>46254</v>
      </c>
      <c r="F611" t="inlineStr">
        <is>
          <t>VÄSTERNORRLANDS LÄN</t>
        </is>
      </c>
      <c r="G611" t="inlineStr">
        <is>
          <t>HÄRNÖSAND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26176-2025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45805</v>
      </c>
      <c r="E612" s="1" t="n">
        <v>46254</v>
      </c>
      <c r="F612" t="inlineStr">
        <is>
          <t>VÄSTERNORRLANDS LÄN</t>
        </is>
      </c>
      <c r="G612" t="inlineStr">
        <is>
          <t>HÄRNÖSAND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57685-2024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45630</v>
      </c>
      <c r="E613" s="1" t="n">
        <v>46254</v>
      </c>
      <c r="F613" t="inlineStr">
        <is>
          <t>VÄSTERNORRLANDS LÄN</t>
        </is>
      </c>
      <c r="G613" t="inlineStr">
        <is>
          <t>HÄRNÖSAND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49531-2023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45205</v>
      </c>
      <c r="E614" s="1" t="n">
        <v>46254</v>
      </c>
      <c r="F614" t="inlineStr">
        <is>
          <t>VÄSTERNORRLANDS LÄN</t>
        </is>
      </c>
      <c r="G614" t="inlineStr">
        <is>
          <t>HÄRNÖSAND</t>
        </is>
      </c>
      <c r="I614" t="n">
        <v>7.9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26918-2025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45811</v>
      </c>
      <c r="E615" s="1" t="n">
        <v>46254</v>
      </c>
      <c r="F615" t="inlineStr">
        <is>
          <t>VÄSTERNORRLANDS LÄN</t>
        </is>
      </c>
      <c r="G615" t="inlineStr">
        <is>
          <t>HÄRNÖSAND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27272-2025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45812</v>
      </c>
      <c r="E616" s="1" t="n">
        <v>46254</v>
      </c>
      <c r="F616" t="inlineStr">
        <is>
          <t>VÄSTERNORRLANDS LÄN</t>
        </is>
      </c>
      <c r="G616" t="inlineStr">
        <is>
          <t>HÄRNÖSAND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27273-2025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45812</v>
      </c>
      <c r="E617" s="1" t="n">
        <v>46254</v>
      </c>
      <c r="F617" t="inlineStr">
        <is>
          <t>VÄSTERNORRLANDS LÄN</t>
        </is>
      </c>
      <c r="G617" t="inlineStr">
        <is>
          <t>HÄRNÖSAND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28389-2025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45819</v>
      </c>
      <c r="E618" s="1" t="n">
        <v>46254</v>
      </c>
      <c r="F618" t="inlineStr">
        <is>
          <t>VÄSTERNORRLANDS LÄN</t>
        </is>
      </c>
      <c r="G618" t="inlineStr">
        <is>
          <t>HÄRNÖSAND</t>
        </is>
      </c>
      <c r="I618" t="n">
        <v>9.300000000000001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29542-2025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45825</v>
      </c>
      <c r="E619" s="1" t="n">
        <v>46254</v>
      </c>
      <c r="F619" t="inlineStr">
        <is>
          <t>VÄSTERNORRLANDS LÄN</t>
        </is>
      </c>
      <c r="G619" t="inlineStr">
        <is>
          <t>HÄRNÖSAND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29548-2025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45825</v>
      </c>
      <c r="E620" s="1" t="n">
        <v>46254</v>
      </c>
      <c r="F620" t="inlineStr">
        <is>
          <t>VÄSTERNORRLANDS LÄN</t>
        </is>
      </c>
      <c r="G620" t="inlineStr">
        <is>
          <t>HÄRNÖSAND</t>
        </is>
      </c>
      <c r="I620" t="n">
        <v>7.1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29549-2025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45825</v>
      </c>
      <c r="E621" s="1" t="n">
        <v>46254</v>
      </c>
      <c r="F621" t="inlineStr">
        <is>
          <t>VÄSTERNORRLANDS LÄN</t>
        </is>
      </c>
      <c r="G621" t="inlineStr">
        <is>
          <t>HÄRNÖSAND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29550-2025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45825</v>
      </c>
      <c r="E622" s="1" t="n">
        <v>46254</v>
      </c>
      <c r="F622" t="inlineStr">
        <is>
          <t>VÄSTERNORRLANDS LÄN</t>
        </is>
      </c>
      <c r="G622" t="inlineStr">
        <is>
          <t>HÄRNÖSAND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29233-2025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45824</v>
      </c>
      <c r="E623" s="1" t="n">
        <v>46254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30039-2025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45826</v>
      </c>
      <c r="E624" s="1" t="n">
        <v>46254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Kyrkan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31342-2025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46254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31344-2025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45833</v>
      </c>
      <c r="E626" s="1" t="n">
        <v>46254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31305-2025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45833</v>
      </c>
      <c r="E627" s="1" t="n">
        <v>46254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13.5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31483-2025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45833</v>
      </c>
      <c r="E628" s="1" t="n">
        <v>46254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31303-2025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45833</v>
      </c>
      <c r="E629" s="1" t="n">
        <v>46254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SCA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31890-2025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45834</v>
      </c>
      <c r="E630" s="1" t="n">
        <v>46254</v>
      </c>
      <c r="F630" t="inlineStr">
        <is>
          <t>VÄSTERNORRLANDS LÄN</t>
        </is>
      </c>
      <c r="G630" t="inlineStr">
        <is>
          <t>HÄRNÖSAND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26920-2025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45811</v>
      </c>
      <c r="E631" s="1" t="n">
        <v>46254</v>
      </c>
      <c r="F631" t="inlineStr">
        <is>
          <t>VÄSTERNORRLANDS LÄN</t>
        </is>
      </c>
      <c r="G631" t="inlineStr">
        <is>
          <t>HÄRNÖSAND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31721-2025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45834</v>
      </c>
      <c r="E632" s="1" t="n">
        <v>46254</v>
      </c>
      <c r="F632" t="inlineStr">
        <is>
          <t>VÄSTERNORRLANDS LÄN</t>
        </is>
      </c>
      <c r="G632" t="inlineStr">
        <is>
          <t>HÄRNÖSAND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32365-2025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45837</v>
      </c>
      <c r="E633" s="1" t="n">
        <v>46254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32374-2025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45837</v>
      </c>
      <c r="E634" s="1" t="n">
        <v>46254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34729-2025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45840</v>
      </c>
      <c r="E635" s="1" t="n">
        <v>46254</v>
      </c>
      <c r="F635" t="inlineStr">
        <is>
          <t>VÄSTERNORRLANDS LÄN</t>
        </is>
      </c>
      <c r="G635" t="inlineStr">
        <is>
          <t>HÄRNÖSAND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33145-2025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45840</v>
      </c>
      <c r="E636" s="1" t="n">
        <v>46254</v>
      </c>
      <c r="F636" t="inlineStr">
        <is>
          <t>VÄSTERNORRLANDS LÄN</t>
        </is>
      </c>
      <c r="G636" t="inlineStr">
        <is>
          <t>HÄRNÖSAND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16220-2025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45749</v>
      </c>
      <c r="E637" s="1" t="n">
        <v>46254</v>
      </c>
      <c r="F637" t="inlineStr">
        <is>
          <t>VÄSTERNORRLANDS LÄN</t>
        </is>
      </c>
      <c r="G637" t="inlineStr">
        <is>
          <t>HÄRNÖSAND</t>
        </is>
      </c>
      <c r="I637" t="n">
        <v>10.3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34736-2025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45848</v>
      </c>
      <c r="E638" s="1" t="n">
        <v>46254</v>
      </c>
      <c r="F638" t="inlineStr">
        <is>
          <t>VÄSTERNORRLANDS LÄN</t>
        </is>
      </c>
      <c r="G638" t="inlineStr">
        <is>
          <t>HÄRNÖSAND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34751-2025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45848</v>
      </c>
      <c r="E639" s="1" t="n">
        <v>46254</v>
      </c>
      <c r="F639" t="inlineStr">
        <is>
          <t>VÄSTERNORRLANDS LÄN</t>
        </is>
      </c>
      <c r="G639" t="inlineStr">
        <is>
          <t>HÄRNÖSAND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35189-2025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45853</v>
      </c>
      <c r="E640" s="1" t="n">
        <v>46254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8023-2023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44973</v>
      </c>
      <c r="E641" s="1" t="n">
        <v>46254</v>
      </c>
      <c r="F641" t="inlineStr">
        <is>
          <t>VÄSTERNORRLANDS LÄN</t>
        </is>
      </c>
      <c r="G641" t="inlineStr">
        <is>
          <t>HÄRNÖSAND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14494-2025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46254</v>
      </c>
      <c r="F642" t="inlineStr">
        <is>
          <t>VÄSTERNORRLANDS LÄN</t>
        </is>
      </c>
      <c r="G642" t="inlineStr">
        <is>
          <t>HÄRNÖSAND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23805-2025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45793</v>
      </c>
      <c r="E643" s="1" t="n">
        <v>46254</v>
      </c>
      <c r="F643" t="inlineStr">
        <is>
          <t>VÄSTERNORRLANDS LÄN</t>
        </is>
      </c>
      <c r="G643" t="inlineStr">
        <is>
          <t>HÄRNÖSAND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12150-2025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45729</v>
      </c>
      <c r="E644" s="1" t="n">
        <v>46254</v>
      </c>
      <c r="F644" t="inlineStr">
        <is>
          <t>VÄSTERNORRLANDS LÄN</t>
        </is>
      </c>
      <c r="G644" t="inlineStr">
        <is>
          <t>HÄRNÖSAND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44459-2024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45574</v>
      </c>
      <c r="E645" s="1" t="n">
        <v>46254</v>
      </c>
      <c r="F645" t="inlineStr">
        <is>
          <t>VÄSTERNORRLANDS LÄN</t>
        </is>
      </c>
      <c r="G645" t="inlineStr">
        <is>
          <t>HÄRNÖSAND</t>
        </is>
      </c>
      <c r="I645" t="n">
        <v>9.5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14495-2025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45741</v>
      </c>
      <c r="E646" s="1" t="n">
        <v>46254</v>
      </c>
      <c r="F646" t="inlineStr">
        <is>
          <t>VÄSTERNORRLANDS LÄN</t>
        </is>
      </c>
      <c r="G646" t="inlineStr">
        <is>
          <t>HÄRNÖSAND</t>
        </is>
      </c>
      <c r="I646" t="n">
        <v>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36958-2025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45874</v>
      </c>
      <c r="E647" s="1" t="n">
        <v>46254</v>
      </c>
      <c r="F647" t="inlineStr">
        <is>
          <t>VÄSTERNORRLANDS LÄN</t>
        </is>
      </c>
      <c r="G647" t="inlineStr">
        <is>
          <t>HÄRNÖSAND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36959-2025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45874</v>
      </c>
      <c r="E648" s="1" t="n">
        <v>46254</v>
      </c>
      <c r="F648" t="inlineStr">
        <is>
          <t>VÄSTERNORRLANDS LÄN</t>
        </is>
      </c>
      <c r="G648" t="inlineStr">
        <is>
          <t>HÄRNÖSAND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36960-2025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45874</v>
      </c>
      <c r="E649" s="1" t="n">
        <v>46254</v>
      </c>
      <c r="F649" t="inlineStr">
        <is>
          <t>VÄSTERNORRLANDS LÄN</t>
        </is>
      </c>
      <c r="G649" t="inlineStr">
        <is>
          <t>HÄRNÖSAND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36993-2025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45874</v>
      </c>
      <c r="E650" s="1" t="n">
        <v>46254</v>
      </c>
      <c r="F650" t="inlineStr">
        <is>
          <t>VÄSTERNORRLANDS LÄN</t>
        </is>
      </c>
      <c r="G650" t="inlineStr">
        <is>
          <t>HÄRNÖSAND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37562-2025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45880</v>
      </c>
      <c r="E651" s="1" t="n">
        <v>46254</v>
      </c>
      <c r="F651" t="inlineStr">
        <is>
          <t>VÄSTERNORRLANDS LÄN</t>
        </is>
      </c>
      <c r="G651" t="inlineStr">
        <is>
          <t>HÄRNÖSAND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4299-2021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44393</v>
      </c>
      <c r="E652" s="1" t="n">
        <v>46254</v>
      </c>
      <c r="F652" t="inlineStr">
        <is>
          <t>VÄSTERNORRLANDS LÄN</t>
        </is>
      </c>
      <c r="G652" t="inlineStr">
        <is>
          <t>HÄRNÖSAND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382-2024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45323</v>
      </c>
      <c r="E653" s="1" t="n">
        <v>46254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831-2025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45733</v>
      </c>
      <c r="E654" s="1" t="n">
        <v>46254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113.3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1148-2025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45755</v>
      </c>
      <c r="E655" s="1" t="n">
        <v>46254</v>
      </c>
      <c r="F655" t="inlineStr">
        <is>
          <t>VÄSTERNORRLANDS LÄN</t>
        </is>
      </c>
      <c r="G655" t="inlineStr">
        <is>
          <t>HÄRNÖSAND</t>
        </is>
      </c>
      <c r="I655" t="n">
        <v>10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1559-2025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45793</v>
      </c>
      <c r="E656" s="1" t="n">
        <v>46254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525-2026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46078</v>
      </c>
      <c r="E657" s="1" t="n">
        <v>46254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484-2026</t>
        </is>
      </c>
      <c r="B658" t="inlineStr">
        <is>
          <t>samrådsanmälan</t>
        </is>
      </c>
      <c r="C658" t="inlineStr">
        <is>
          <t>Skogsgödsling</t>
        </is>
      </c>
      <c r="D658" s="1" t="n">
        <v>46073</v>
      </c>
      <c r="E658" s="1" t="n">
        <v>46254</v>
      </c>
      <c r="F658" t="inlineStr">
        <is>
          <t>VÄSTERNORRLANDS LÄN</t>
        </is>
      </c>
      <c r="G658" t="inlineStr">
        <is>
          <t>HÄRNÖSAND</t>
        </is>
      </c>
      <c r="I658" t="n">
        <v>6.5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723-2026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46093</v>
      </c>
      <c r="E659" s="1" t="n">
        <v>46254</v>
      </c>
      <c r="F659" t="inlineStr">
        <is>
          <t>VÄSTERNORRLANDS LÄN</t>
        </is>
      </c>
      <c r="G659" t="inlineStr">
        <is>
          <t>HÄRNÖSAND</t>
        </is>
      </c>
      <c r="H659" t="inlineStr">
        <is>
          <t>SCA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>
      <c r="A660" t="inlineStr">
        <is>
          <t>S 1428-2026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46156</v>
      </c>
      <c r="E660" s="1" t="n">
        <v>46254</v>
      </c>
      <c r="F660" t="inlineStr">
        <is>
          <t>VÄSTERNORRLANDS LÄN</t>
        </is>
      </c>
      <c r="G660" t="inlineStr">
        <is>
          <t>HÄRNÖSAND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2026-08-20T01:46:39Z</dcterms:created>
  <dcterms:modified xmlns:dcterms="http://purl.org/dc/terms/" xmlns:xsi="http://www.w3.org/2001/XMLSchema-instance" xsi:type="dcterms:W3CDTF">2026-08-20T01:46:40Z</dcterms:modified>
</cp:coreProperties>
</file>