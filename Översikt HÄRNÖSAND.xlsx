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46257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46257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46257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46257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46257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46257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46257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46257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46257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46257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46257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46257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46257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46257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46257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46257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46257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46257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46257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46257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46257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46257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46257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46257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46257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28512-2024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45477</v>
      </c>
      <c r="E37" s="1" t="n">
        <v>46257</v>
      </c>
      <c r="F37" t="inlineStr">
        <is>
          <t>VÄSTERNORRLANDS LÄN</t>
        </is>
      </c>
      <c r="G37" t="inlineStr">
        <is>
          <t>HÄRNÖSAND</t>
        </is>
      </c>
      <c r="I37" t="n">
        <v>5.8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Scharlakansvårskål agg.
Skinnlav
Svart trolldruva
Blåsippa</t>
        </is>
      </c>
      <c r="W37">
        <f>HYPERLINK("https://klasma.github.io/Logging_2280/artfynd/A 28512-2024 artfynd.xlsx", "A 28512-2024")</f>
        <v/>
      </c>
      <c r="X37">
        <f>HYPERLINK("https://klasma.github.io/Logging_2280/kartor/A 28512-2024 karta.png", "A 28512-2024")</f>
        <v/>
      </c>
      <c r="Y37">
        <f>HYPERLINK("https://klasma.github.io/Logging_2280/kartor_geotiff/A 28512-2024 georefererad karta.tif", "A 28512-2024")</f>
        <v/>
      </c>
      <c r="AA37">
        <f>HYPERLINK("https://klasma.github.io/Logging_2280/klagomål/A 28512-2024 FSC-klagomål.docx", "A 28512-2024")</f>
        <v/>
      </c>
      <c r="AB37">
        <f>HYPERLINK("https://klasma.github.io/Logging_2280/klagomålsmail/A 28512-2024 FSC-klagomål mail.docx", "A 28512-2024")</f>
        <v/>
      </c>
      <c r="AC37">
        <f>HYPERLINK("https://klasma.github.io/Logging_2280/tillsyn/A 28512-2024 tillsynsbegäran.docx", "A 28512-2024")</f>
        <v/>
      </c>
      <c r="AD37">
        <f>HYPERLINK("https://klasma.github.io/Logging_2280/tillsynsmail/A 28512-2024 tillsynsbegäran mail.docx", "A 28512-2024")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46257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46257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46257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46257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46257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46257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46257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Slåtterfibbla
Strutbräken
Svart trolldruva</t>
        </is>
      </c>
      <c r="W46">
        <f>HYPERLINK("https://klasma.github.io/Logging_2280/artfynd/A 3953-2024 artfynd.xlsx", "A 3953-2024")</f>
        <v/>
      </c>
      <c r="X46">
        <f>HYPERLINK("https://klasma.github.io/Logging_2280/kartor/A 3953-2024 karta.png", "A 3953-2024")</f>
        <v/>
      </c>
      <c r="Y46">
        <f>HYPERLINK("https://klasma.github.io/Logging_2280/kartor_geotiff/A 3953-2024 georefererad karta.tif", "A 3953-2024")</f>
        <v/>
      </c>
      <c r="AA46">
        <f>HYPERLINK("https://klasma.github.io/Logging_2280/klagomål/A 3953-2024 FSC-klagomål.docx", "A 3953-2024")</f>
        <v/>
      </c>
      <c r="AB46">
        <f>HYPERLINK("https://klasma.github.io/Logging_2280/klagomålsmail/A 3953-2024 FSC-klagomål mail.docx", "A 3953-2024")</f>
        <v/>
      </c>
      <c r="AC46">
        <f>HYPERLINK("https://klasma.github.io/Logging_2280/tillsyn/A 3953-2024 tillsynsbegäran.docx", "A 3953-2024")</f>
        <v/>
      </c>
      <c r="AD46">
        <f>HYPERLINK("https://klasma.github.io/Logging_2280/tillsynsmail/A 3953-2024 tillsynsbegäran mail.docx", "A 3953-2024")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29814-2022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46257</v>
      </c>
      <c r="F48" t="inlineStr">
        <is>
          <t>VÄSTERNORRLANDS LÄN</t>
        </is>
      </c>
      <c r="G48" t="inlineStr">
        <is>
          <t>HÄRNÖSAND</t>
        </is>
      </c>
      <c r="I48" t="n">
        <v>2.7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Sotvaxskivling
Sotriska
Svavelriska</t>
        </is>
      </c>
      <c r="W48">
        <f>HYPERLINK("https://klasma.github.io/Logging_2280/artfynd/A 29814-2022 artfynd.xlsx", "A 29814-2022")</f>
        <v/>
      </c>
      <c r="X48">
        <f>HYPERLINK("https://klasma.github.io/Logging_2280/kartor/A 29814-2022 karta.png", "A 29814-2022")</f>
        <v/>
      </c>
      <c r="Y48">
        <f>HYPERLINK("https://klasma.github.io/Logging_2280/kartor_geotiff/A 29814-2022 georefererad karta.tif", "A 29814-2022")</f>
        <v/>
      </c>
      <c r="AA48">
        <f>HYPERLINK("https://klasma.github.io/Logging_2280/klagomål/A 29814-2022 FSC-klagomål.docx", "A 29814-2022")</f>
        <v/>
      </c>
      <c r="AB48">
        <f>HYPERLINK("https://klasma.github.io/Logging_2280/klagomålsmail/A 29814-2022 FSC-klagomål mail.docx", "A 29814-2022")</f>
        <v/>
      </c>
      <c r="AC48">
        <f>HYPERLINK("https://klasma.github.io/Logging_2280/tillsyn/A 29814-2022 tillsynsbegäran.docx", "A 29814-2022")</f>
        <v/>
      </c>
      <c r="AD48">
        <f>HYPERLINK("https://klasma.github.io/Logging_2280/tillsynsmail/A 29814-2022 tillsynsbegäran mail.docx", "A 29814-2022")</f>
        <v/>
      </c>
    </row>
    <row r="49" ht="15" customHeight="1">
      <c r="A49" t="inlineStr">
        <is>
          <t>A 54552-2024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46257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0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Gammelgransskål
Rosenticka</t>
        </is>
      </c>
      <c r="W49">
        <f>HYPERLINK("https://klasma.github.io/Logging_2280/artfynd/A 54552-2024 artfynd.xlsx", "A 54552-2024")</f>
        <v/>
      </c>
      <c r="X49">
        <f>HYPERLINK("https://klasma.github.io/Logging_2280/kartor/A 54552-2024 karta.png", "A 54552-2024")</f>
        <v/>
      </c>
      <c r="Y49">
        <f>HYPERLINK("https://klasma.github.io/Logging_2280/kartor_geotiff/A 54552-2024 georefererad karta.tif", "A 54552-2024")</f>
        <v/>
      </c>
      <c r="AA49">
        <f>HYPERLINK("https://klasma.github.io/Logging_2280/klagomål/A 54552-2024 FSC-klagomål.docx", "A 54552-2024")</f>
        <v/>
      </c>
      <c r="AB49">
        <f>HYPERLINK("https://klasma.github.io/Logging_2280/klagomålsmail/A 54552-2024 FSC-klagomål mail.docx", "A 54552-2024")</f>
        <v/>
      </c>
      <c r="AC49">
        <f>HYPERLINK("https://klasma.github.io/Logging_2280/tillsyn/A 54552-2024 tillsynsbegäran.docx", "A 54552-2024")</f>
        <v/>
      </c>
      <c r="AD49">
        <f>HYPERLINK("https://klasma.github.io/Logging_2280/tillsynsmail/A 54552-2024 tillsynsbegäran mail.docx", "A 54552-2024")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46257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46257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46257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46257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46257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46257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46257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11973-2024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46257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Violettgrå tagellav</t>
        </is>
      </c>
      <c r="W57">
        <f>HYPERLINK("https://klasma.github.io/Logging_2280/artfynd/A 11973-2024 artfynd.xlsx", "A 11973-2024")</f>
        <v/>
      </c>
      <c r="X57">
        <f>HYPERLINK("https://klasma.github.io/Logging_2280/kartor/A 11973-2024 karta.png", "A 11973-2024")</f>
        <v/>
      </c>
      <c r="Y57">
        <f>HYPERLINK("https://klasma.github.io/Logging_2280/kartor_geotiff/A 11973-2024 georefererad karta.tif", "A 11973-2024")</f>
        <v/>
      </c>
      <c r="AA57">
        <f>HYPERLINK("https://klasma.github.io/Logging_2280/klagomål/A 11973-2024 FSC-klagomål.docx", "A 11973-2024")</f>
        <v/>
      </c>
      <c r="AB57">
        <f>HYPERLINK("https://klasma.github.io/Logging_2280/klagomålsmail/A 11973-2024 FSC-klagomål mail.docx", "A 11973-2024")</f>
        <v/>
      </c>
      <c r="AC57">
        <f>HYPERLINK("https://klasma.github.io/Logging_2280/tillsyn/A 11973-2024 tillsynsbegäran.docx", "A 11973-2024")</f>
        <v/>
      </c>
      <c r="AD57">
        <f>HYPERLINK("https://klasma.github.io/Logging_2280/tillsynsmail/A 11973-2024 tillsynsbegäran mail.docx", "A 11973-2024")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46257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46257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46257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46257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46257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46257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46257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A 44901-2024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46257</v>
      </c>
      <c r="F65" t="inlineStr">
        <is>
          <t>VÄSTERNORRLANDS LÄN</t>
        </is>
      </c>
      <c r="G65" t="inlineStr">
        <is>
          <t>HÄRNÖSAND</t>
        </is>
      </c>
      <c r="I65" t="n">
        <v>3.3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Garnlav
Vedticka</t>
        </is>
      </c>
      <c r="W65">
        <f>HYPERLINK("https://klasma.github.io/Logging_2280/artfynd/A 44901-2024 artfynd.xlsx", "A 44901-2024")</f>
        <v/>
      </c>
      <c r="X65">
        <f>HYPERLINK("https://klasma.github.io/Logging_2280/kartor/A 44901-2024 karta.png", "A 44901-2024")</f>
        <v/>
      </c>
      <c r="Y65">
        <f>HYPERLINK("https://klasma.github.io/Logging_2280/kartor_geotiff/A 44901-2024 georefererad karta.tif", "A 44901-2024")</f>
        <v/>
      </c>
      <c r="AA65">
        <f>HYPERLINK("https://klasma.github.io/Logging_2280/klagomål/A 44901-2024 FSC-klagomål.docx", "A 44901-2024")</f>
        <v/>
      </c>
      <c r="AB65">
        <f>HYPERLINK("https://klasma.github.io/Logging_2280/klagomålsmail/A 44901-2024 FSC-klagomål mail.docx", "A 44901-2024")</f>
        <v/>
      </c>
      <c r="AC65">
        <f>HYPERLINK("https://klasma.github.io/Logging_2280/tillsyn/A 44901-2024 tillsynsbegäran.docx", "A 44901-2024")</f>
        <v/>
      </c>
      <c r="AD65">
        <f>HYPERLINK("https://klasma.github.io/Logging_2280/tillsynsmail/A 44901-2024 tillsynsbegäran mail.docx", "A 44901-2024")</f>
        <v/>
      </c>
    </row>
    <row r="66" ht="15" customHeight="1">
      <c r="A66" t="inlineStr">
        <is>
          <t>A 20771-2026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46257</v>
      </c>
      <c r="F66" t="inlineStr">
        <is>
          <t>VÄSTERNORRLANDS LÄN</t>
        </is>
      </c>
      <c r="G66" t="inlineStr">
        <is>
          <t>HÄRNÖSAND</t>
        </is>
      </c>
      <c r="I66" t="n">
        <v>1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Nordfladdermus
Tajgafladdermus</t>
        </is>
      </c>
      <c r="W66">
        <f>HYPERLINK("https://klasma.github.io/Logging_2280/artfynd/A 20771-2026 artfynd.xlsx", "A 20771-2026")</f>
        <v/>
      </c>
      <c r="X66">
        <f>HYPERLINK("https://klasma.github.io/Logging_2280/kartor/A 20771-2026 karta.png", "A 20771-2026")</f>
        <v/>
      </c>
      <c r="Y66">
        <f>HYPERLINK("https://klasma.github.io/Logging_2280/kartor_geotiff/A 20771-2026 georefererad karta.tif", "A 20771-2026")</f>
        <v/>
      </c>
      <c r="AA66">
        <f>HYPERLINK("https://klasma.github.io/Logging_2280/klagomål/A 20771-2026 FSC-klagomål.docx", "A 20771-2026")</f>
        <v/>
      </c>
      <c r="AB66">
        <f>HYPERLINK("https://klasma.github.io/Logging_2280/klagomålsmail/A 20771-2026 FSC-klagomål mail.docx", "A 20771-2026")</f>
        <v/>
      </c>
      <c r="AC66">
        <f>HYPERLINK("https://klasma.github.io/Logging_2280/tillsyn/A 20771-2026 tillsynsbegäran.docx", "A 20771-2026")</f>
        <v/>
      </c>
      <c r="AD66">
        <f>HYPERLINK("https://klasma.github.io/Logging_2280/tillsynsmail/A 20771-2026 tillsynsbegäran mail.docx", "A 20771-2026")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46257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46257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46257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26086-2025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46257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HYPERLINK("https://klasma.github.io/Logging_2280/artfynd/A 26086-2025 artfynd.xlsx", "A 26086-2025")</f>
        <v/>
      </c>
      <c r="X70">
        <f>HYPERLINK("https://klasma.github.io/Logging_2280/kartor/A 26086-2025 karta.png", "A 26086-2025")</f>
        <v/>
      </c>
      <c r="Y70">
        <f>HYPERLINK("https://klasma.github.io/Logging_2280/kartor_geotiff/A 26086-2025 georefererad karta.tif", "A 26086-2025")</f>
        <v/>
      </c>
      <c r="AA70">
        <f>HYPERLINK("https://klasma.github.io/Logging_2280/klagomål/A 26086-2025 FSC-klagomål.docx", "A 26086-2025")</f>
        <v/>
      </c>
      <c r="AB70">
        <f>HYPERLINK("https://klasma.github.io/Logging_2280/klagomålsmail/A 26086-2025 FSC-klagomål mail.docx", "A 26086-2025")</f>
        <v/>
      </c>
      <c r="AC70">
        <f>HYPERLINK("https://klasma.github.io/Logging_2280/tillsyn/A 26086-2025 tillsynsbegäran.docx", "A 26086-2025")</f>
        <v/>
      </c>
      <c r="AD70">
        <f>HYPERLINK("https://klasma.github.io/Logging_2280/tillsynsmail/A 26086-2025 tillsynsbegäran mail.docx", "A 26086-2025")</f>
        <v/>
      </c>
      <c r="AE70">
        <f>HYPERLINK("https://klasma.github.io/Logging_2280/fåglar/A 26086-2025 prioriterade fågelarter.docx", "A 26086-2025")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46257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26922-2025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46257</v>
      </c>
      <c r="F72" t="inlineStr">
        <is>
          <t>VÄSTERNORRLANDS LÄN</t>
        </is>
      </c>
      <c r="G72" t="inlineStr">
        <is>
          <t>HÄRNÖSAND</t>
        </is>
      </c>
      <c r="I72" t="n">
        <v>2.4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Barkticka</t>
        </is>
      </c>
      <c r="W72">
        <f>HYPERLINK("https://klasma.github.io/Logging_2280/artfynd/A 26922-2025 artfynd.xlsx", "A 26922-2025")</f>
        <v/>
      </c>
      <c r="X72">
        <f>HYPERLINK("https://klasma.github.io/Logging_2280/kartor/A 26922-2025 karta.png", "A 26922-2025")</f>
        <v/>
      </c>
      <c r="Y72">
        <f>HYPERLINK("https://klasma.github.io/Logging_2280/kartor_geotiff/A 26922-2025 georefererad karta.tif", "A 26922-2025")</f>
        <v/>
      </c>
      <c r="AA72">
        <f>HYPERLINK("https://klasma.github.io/Logging_2280/klagomål/A 26922-2025 FSC-klagomål.docx", "A 26922-2025")</f>
        <v/>
      </c>
      <c r="AB72">
        <f>HYPERLINK("https://klasma.github.io/Logging_2280/klagomålsmail/A 26922-2025 FSC-klagomål mail.docx", "A 26922-2025")</f>
        <v/>
      </c>
      <c r="AC72">
        <f>HYPERLINK("https://klasma.github.io/Logging_2280/tillsyn/A 26922-2025 tillsynsbegäran.docx", "A 26922-2025")</f>
        <v/>
      </c>
      <c r="AD72">
        <f>HYPERLINK("https://klasma.github.io/Logging_2280/tillsynsmail/A 26922-2025 tillsynsbegäran mail.docx", "A 26922-2025")</f>
        <v/>
      </c>
    </row>
    <row r="73" ht="15" customHeight="1">
      <c r="A73" t="inlineStr">
        <is>
          <t>A 14597-2022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44655</v>
      </c>
      <c r="E73" s="1" t="n">
        <v>46257</v>
      </c>
      <c r="F73" t="inlineStr">
        <is>
          <t>VÄSTERNORRLANDS LÄN</t>
        </is>
      </c>
      <c r="G73" t="inlineStr">
        <is>
          <t>HÄRNÖSAND</t>
        </is>
      </c>
      <c r="I73" t="n">
        <v>1.6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Utter</t>
        </is>
      </c>
      <c r="W73">
        <f>HYPERLINK("https://klasma.github.io/Logging_2280/artfynd/A 14597-2022 artfynd.xlsx", "A 14597-2022")</f>
        <v/>
      </c>
      <c r="X73">
        <f>HYPERLINK("https://klasma.github.io/Logging_2280/kartor/A 14597-2022 karta.png", "A 14597-2022")</f>
        <v/>
      </c>
      <c r="Y73">
        <f>HYPERLINK("https://klasma.github.io/Logging_2280/kartor_geotiff/A 14597-2022 georefererad karta.tif", "A 14597-2022")</f>
        <v/>
      </c>
      <c r="AA73">
        <f>HYPERLINK("https://klasma.github.io/Logging_2280/klagomål/A 14597-2022 FSC-klagomål.docx", "A 14597-2022")</f>
        <v/>
      </c>
      <c r="AB73">
        <f>HYPERLINK("https://klasma.github.io/Logging_2280/klagomålsmail/A 14597-2022 FSC-klagomål mail.docx", "A 14597-2022")</f>
        <v/>
      </c>
      <c r="AC73">
        <f>HYPERLINK("https://klasma.github.io/Logging_2280/tillsyn/A 14597-2022 tillsynsbegäran.docx", "A 14597-2022")</f>
        <v/>
      </c>
      <c r="AD73">
        <f>HYPERLINK("https://klasma.github.io/Logging_2280/tillsynsmail/A 14597-2022 tillsynsbegäran mail.docx", "A 14597-2022")</f>
        <v/>
      </c>
    </row>
    <row r="74" ht="15" customHeight="1">
      <c r="A74" t="inlineStr">
        <is>
          <t>A 40265-2024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46257</v>
      </c>
      <c r="F74" t="inlineStr">
        <is>
          <t>VÄSTERNORRLANDS LÄN</t>
        </is>
      </c>
      <c r="G74" t="inlineStr">
        <is>
          <t>HÄRNÖSAND</t>
        </is>
      </c>
      <c r="I74" t="n">
        <v>4.9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Stor aspticka</t>
        </is>
      </c>
      <c r="W74">
        <f>HYPERLINK("https://klasma.github.io/Logging_2280/artfynd/A 40265-2024 artfynd.xlsx", "A 40265-2024")</f>
        <v/>
      </c>
      <c r="X74">
        <f>HYPERLINK("https://klasma.github.io/Logging_2280/kartor/A 40265-2024 karta.png", "A 40265-2024")</f>
        <v/>
      </c>
      <c r="Y74">
        <f>HYPERLINK("https://klasma.github.io/Logging_2280/kartor_geotiff/A 40265-2024 georefererad karta.tif", "A 40265-2024")</f>
        <v/>
      </c>
      <c r="AA74">
        <f>HYPERLINK("https://klasma.github.io/Logging_2280/klagomål/A 40265-2024 FSC-klagomål.docx", "A 40265-2024")</f>
        <v/>
      </c>
      <c r="AB74">
        <f>HYPERLINK("https://klasma.github.io/Logging_2280/klagomålsmail/A 40265-2024 FSC-klagomål mail.docx", "A 40265-2024")</f>
        <v/>
      </c>
      <c r="AC74">
        <f>HYPERLINK("https://klasma.github.io/Logging_2280/tillsyn/A 40265-2024 tillsynsbegäran.docx", "A 40265-2024")</f>
        <v/>
      </c>
      <c r="AD74">
        <f>HYPERLINK("https://klasma.github.io/Logging_2280/tillsynsmail/A 40265-2024 tillsynsbegäran mail.docx", "A 40265-2024")</f>
        <v/>
      </c>
    </row>
    <row r="75" ht="15" customHeight="1">
      <c r="A75" t="inlineStr">
        <is>
          <t>A 24202-2024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45456</v>
      </c>
      <c r="E75" s="1" t="n">
        <v>46257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Garnlav</t>
        </is>
      </c>
      <c r="W75">
        <f>HYPERLINK("https://klasma.github.io/Logging_2280/artfynd/A 24202-2024 artfynd.xlsx", "A 24202-2024")</f>
        <v/>
      </c>
      <c r="X75">
        <f>HYPERLINK("https://klasma.github.io/Logging_2280/kartor/A 24202-2024 karta.png", "A 24202-2024")</f>
        <v/>
      </c>
      <c r="Y75">
        <f>HYPERLINK("https://klasma.github.io/Logging_2280/kartor_geotiff/A 24202-2024 georefererad karta.tif", "A 24202-2024")</f>
        <v/>
      </c>
      <c r="AA75">
        <f>HYPERLINK("https://klasma.github.io/Logging_2280/klagomål/A 24202-2024 FSC-klagomål.docx", "A 24202-2024")</f>
        <v/>
      </c>
      <c r="AB75">
        <f>HYPERLINK("https://klasma.github.io/Logging_2280/klagomålsmail/A 24202-2024 FSC-klagomål mail.docx", "A 24202-2024")</f>
        <v/>
      </c>
      <c r="AC75">
        <f>HYPERLINK("https://klasma.github.io/Logging_2280/tillsyn/A 24202-2024 tillsynsbegäran.docx", "A 24202-2024")</f>
        <v/>
      </c>
      <c r="AD75">
        <f>HYPERLINK("https://klasma.github.io/Logging_2280/tillsynsmail/A 24202-2024 tillsynsbegäran mail.docx", "A 24202-2024")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46257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46257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8407-2024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46257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Lunglav</t>
        </is>
      </c>
      <c r="W78">
        <f>HYPERLINK("https://klasma.github.io/Logging_2280/artfynd/A 8407-2024 artfynd.xlsx", "A 8407-2024")</f>
        <v/>
      </c>
      <c r="X78">
        <f>HYPERLINK("https://klasma.github.io/Logging_2280/kartor/A 8407-2024 karta.png", "A 8407-2024")</f>
        <v/>
      </c>
      <c r="Y78">
        <f>HYPERLINK("https://klasma.github.io/Logging_2280/kartor_geotiff/A 8407-2024 georefererad karta.tif", "A 8407-2024")</f>
        <v/>
      </c>
      <c r="AA78">
        <f>HYPERLINK("https://klasma.github.io/Logging_2280/klagomål/A 8407-2024 FSC-klagomål.docx", "A 8407-2024")</f>
        <v/>
      </c>
      <c r="AB78">
        <f>HYPERLINK("https://klasma.github.io/Logging_2280/klagomålsmail/A 8407-2024 FSC-klagomål mail.docx", "A 8407-2024")</f>
        <v/>
      </c>
      <c r="AC78">
        <f>HYPERLINK("https://klasma.github.io/Logging_2280/tillsyn/A 8407-2024 tillsynsbegäran.docx", "A 8407-2024")</f>
        <v/>
      </c>
      <c r="AD78">
        <f>HYPERLINK("https://klasma.github.io/Logging_2280/tillsynsmail/A 8407-2024 tillsynsbegäran mail.docx", "A 8407-2024")</f>
        <v/>
      </c>
    </row>
    <row r="79" ht="15" customHeight="1">
      <c r="A79" t="inlineStr">
        <is>
          <t>A 46707-2024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46257</v>
      </c>
      <c r="F79" t="inlineStr">
        <is>
          <t>VÄSTERNORRLANDS LÄN</t>
        </is>
      </c>
      <c r="G79" t="inlineStr">
        <is>
          <t>HÄRNÖSAND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Tretåig hackspett</t>
        </is>
      </c>
      <c r="W79">
        <f>HYPERLINK("https://klasma.github.io/Logging_2280/artfynd/A 46707-2024 artfynd.xlsx", "A 46707-2024")</f>
        <v/>
      </c>
      <c r="X79">
        <f>HYPERLINK("https://klasma.github.io/Logging_2280/kartor/A 46707-2024 karta.png", "A 46707-2024")</f>
        <v/>
      </c>
      <c r="Y79">
        <f>HYPERLINK("https://klasma.github.io/Logging_2280/kartor_geotiff/A 46707-2024 georefererad karta.tif", "A 46707-2024")</f>
        <v/>
      </c>
      <c r="AA79">
        <f>HYPERLINK("https://klasma.github.io/Logging_2280/klagomål/A 46707-2024 FSC-klagomål.docx", "A 46707-2024")</f>
        <v/>
      </c>
      <c r="AB79">
        <f>HYPERLINK("https://klasma.github.io/Logging_2280/klagomålsmail/A 46707-2024 FSC-klagomål mail.docx", "A 46707-2024")</f>
        <v/>
      </c>
      <c r="AC79">
        <f>HYPERLINK("https://klasma.github.io/Logging_2280/tillsyn/A 46707-2024 tillsynsbegäran.docx", "A 46707-2024")</f>
        <v/>
      </c>
      <c r="AD79">
        <f>HYPERLINK("https://klasma.github.io/Logging_2280/tillsynsmail/A 46707-2024 tillsynsbegäran mail.docx", "A 46707-2024")</f>
        <v/>
      </c>
      <c r="AE79">
        <f>HYPERLINK("https://klasma.github.io/Logging_2280/fåglar/A 46707-2024 prioriterade fågelarter.docx", "A 46707-2024")</f>
        <v/>
      </c>
    </row>
    <row r="80" ht="15" customHeight="1">
      <c r="A80" t="inlineStr">
        <is>
          <t>A 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46257</v>
      </c>
      <c r="F80" t="inlineStr">
        <is>
          <t>VÄSTERNORRLANDS LÄN</t>
        </is>
      </c>
      <c r="G80" t="inlineStr">
        <is>
          <t>HÄRNÖSAND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Apelsinticka</t>
        </is>
      </c>
      <c r="W80">
        <f>HYPERLINK("https://klasma.github.io/Logging_2280/artfynd/A 8921-2024 artfynd.xlsx", "A 8921-2024")</f>
        <v/>
      </c>
      <c r="X80">
        <f>HYPERLINK("https://klasma.github.io/Logging_2280/kartor/A 8921-2024 karta.png", "A 8921-2024")</f>
        <v/>
      </c>
      <c r="Y80">
        <f>HYPERLINK("https://klasma.github.io/Logging_2280/kartor_geotiff/A 8921-2024 georefererad karta.tif", "A 8921-2024")</f>
        <v/>
      </c>
      <c r="AA80">
        <f>HYPERLINK("https://klasma.github.io/Logging_2280/klagomål/A 8921-2024 FSC-klagomål.docx", "A 8921-2024")</f>
        <v/>
      </c>
      <c r="AB80">
        <f>HYPERLINK("https://klasma.github.io/Logging_2280/klagomålsmail/A 8921-2024 FSC-klagomål mail.docx", "A 8921-2024")</f>
        <v/>
      </c>
      <c r="AC80">
        <f>HYPERLINK("https://klasma.github.io/Logging_2280/tillsyn/A 8921-2024 tillsynsbegäran.docx", "A 8921-2024")</f>
        <v/>
      </c>
      <c r="AD80">
        <f>HYPERLINK("https://klasma.github.io/Logging_2280/tillsynsmail/A 8921-2024 tillsynsbegäran mail.docx", "A 8921-2024")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46257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61828-2024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45649</v>
      </c>
      <c r="E82" s="1" t="n">
        <v>46257</v>
      </c>
      <c r="F82" t="inlineStr">
        <is>
          <t>VÄSTERNORRLANDS LÄN</t>
        </is>
      </c>
      <c r="G82" t="inlineStr">
        <is>
          <t>HÄRNÖSAND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Luddfingersvamp</t>
        </is>
      </c>
      <c r="W82">
        <f>HYPERLINK("https://klasma.github.io/Logging_2280/artfynd/A 61828-2024 artfynd.xlsx", "A 61828-2024")</f>
        <v/>
      </c>
      <c r="X82">
        <f>HYPERLINK("https://klasma.github.io/Logging_2280/kartor/A 61828-2024 karta.png", "A 61828-2024")</f>
        <v/>
      </c>
      <c r="Y82">
        <f>HYPERLINK("https://klasma.github.io/Logging_2280/kartor_geotiff/A 61828-2024 georefererad karta.tif", "A 61828-2024")</f>
        <v/>
      </c>
      <c r="AA82">
        <f>HYPERLINK("https://klasma.github.io/Logging_2280/klagomål/A 61828-2024 FSC-klagomål.docx", "A 61828-2024")</f>
        <v/>
      </c>
      <c r="AB82">
        <f>HYPERLINK("https://klasma.github.io/Logging_2280/klagomålsmail/A 61828-2024 FSC-klagomål mail.docx", "A 61828-2024")</f>
        <v/>
      </c>
      <c r="AC82">
        <f>HYPERLINK("https://klasma.github.io/Logging_2280/tillsyn/A 61828-2024 tillsynsbegäran.docx", "A 61828-2024")</f>
        <v/>
      </c>
      <c r="AD82">
        <f>HYPERLINK("https://klasma.github.io/Logging_2280/tillsynsmail/A 61828-2024 tillsynsbegäran mail.docx", "A 61828-2024")</f>
        <v/>
      </c>
    </row>
    <row r="83" ht="15" customHeight="1">
      <c r="A83" t="inlineStr">
        <is>
          <t>A 1190-2026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46257</v>
      </c>
      <c r="F83" t="inlineStr">
        <is>
          <t>VÄSTERNORRLANDS LÄN</t>
        </is>
      </c>
      <c r="G83" t="inlineStr">
        <is>
          <t>HÄRNÖSAND</t>
        </is>
      </c>
      <c r="I83" t="n">
        <v>3.5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Tretåig hackspett</t>
        </is>
      </c>
      <c r="W83">
        <f>HYPERLINK("https://klasma.github.io/Logging_2280/artfynd/A 1190-2026 artfynd.xlsx", "A 1190-2026")</f>
        <v/>
      </c>
      <c r="X83">
        <f>HYPERLINK("https://klasma.github.io/Logging_2280/kartor/A 1190-2026 karta.png", "A 1190-2026")</f>
        <v/>
      </c>
      <c r="Y83">
        <f>HYPERLINK("https://klasma.github.io/Logging_2280/kartor_geotiff/A 1190-2026 georefererad karta.tif", "A 1190-2026")</f>
        <v/>
      </c>
      <c r="AA83">
        <f>HYPERLINK("https://klasma.github.io/Logging_2280/klagomål/A 1190-2026 FSC-klagomål.docx", "A 1190-2026")</f>
        <v/>
      </c>
      <c r="AB83">
        <f>HYPERLINK("https://klasma.github.io/Logging_2280/klagomålsmail/A 1190-2026 FSC-klagomål mail.docx", "A 1190-2026")</f>
        <v/>
      </c>
      <c r="AC83">
        <f>HYPERLINK("https://klasma.github.io/Logging_2280/tillsyn/A 1190-2026 tillsynsbegäran.docx", "A 1190-2026")</f>
        <v/>
      </c>
      <c r="AD83">
        <f>HYPERLINK("https://klasma.github.io/Logging_2280/tillsynsmail/A 1190-2026 tillsynsbegäran mail.docx", "A 1190-2026")</f>
        <v/>
      </c>
      <c r="AE83">
        <f>HYPERLINK("https://klasma.github.io/Logging_2280/fåglar/A 1190-2026 prioriterade fågelarter.docx", "A 1190-2026")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46257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46257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46257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46257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27923-2026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46257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9.300000000000001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Veckticka</t>
        </is>
      </c>
      <c r="W88">
        <f>HYPERLINK("https://klasma.github.io/Logging_2280/artfynd/A 27923-2026 artfynd.xlsx", "A 27923-2026")</f>
        <v/>
      </c>
      <c r="X88">
        <f>HYPERLINK("https://klasma.github.io/Logging_2280/kartor/A 27923-2026 karta.png", "A 27923-2026")</f>
        <v/>
      </c>
      <c r="Y88">
        <f>HYPERLINK("https://klasma.github.io/Logging_2280/kartor_geotiff/A 27923-2026 georefererad karta.tif", "A 27923-2026")</f>
        <v/>
      </c>
      <c r="AA88">
        <f>HYPERLINK("https://klasma.github.io/Logging_2280/klagomål/A 27923-2026 FSC-klagomål.docx", "A 27923-2026")</f>
        <v/>
      </c>
      <c r="AB88">
        <f>HYPERLINK("https://klasma.github.io/Logging_2280/klagomålsmail/A 27923-2026 FSC-klagomål mail.docx", "A 27923-2026")</f>
        <v/>
      </c>
      <c r="AC88">
        <f>HYPERLINK("https://klasma.github.io/Logging_2280/tillsyn/A 27923-2026 tillsynsbegäran.docx", "A 27923-2026")</f>
        <v/>
      </c>
      <c r="AD88">
        <f>HYPERLINK("https://klasma.github.io/Logging_2280/tillsynsmail/A 27923-2026 tillsynsbegäran mail.docx", "A 27923-2026")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46257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18583-2026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46257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Violettgrå tagellav</t>
        </is>
      </c>
      <c r="W90">
        <f>HYPERLINK("https://klasma.github.io/Logging_2280/artfynd/A 18583-2026 artfynd.xlsx", "A 18583-2026")</f>
        <v/>
      </c>
      <c r="X90">
        <f>HYPERLINK("https://klasma.github.io/Logging_2280/kartor/A 18583-2026 karta.png", "A 18583-2026")</f>
        <v/>
      </c>
      <c r="Y90">
        <f>HYPERLINK("https://klasma.github.io/Logging_2280/kartor_geotiff/A 18583-2026 georefererad karta.tif", "A 18583-2026")</f>
        <v/>
      </c>
      <c r="AA90">
        <f>HYPERLINK("https://klasma.github.io/Logging_2280/klagomål/A 18583-2026 FSC-klagomål.docx", "A 18583-2026")</f>
        <v/>
      </c>
      <c r="AB90">
        <f>HYPERLINK("https://klasma.github.io/Logging_2280/klagomålsmail/A 18583-2026 FSC-klagomål mail.docx", "A 18583-2026")</f>
        <v/>
      </c>
      <c r="AC90">
        <f>HYPERLINK("https://klasma.github.io/Logging_2280/tillsyn/A 18583-2026 tillsynsbegäran.docx", "A 18583-2026")</f>
        <v/>
      </c>
      <c r="AD90">
        <f>HYPERLINK("https://klasma.github.io/Logging_2280/tillsynsmail/A 18583-2026 tillsynsbegäran mail.docx", "A 18583-2026")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46257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46257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46257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46257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46257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46257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46257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46257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46257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46257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46257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46257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46257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46257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46257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46257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46257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46257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46257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46257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46257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46257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46257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46257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44771-2021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44438</v>
      </c>
      <c r="E115" s="1" t="n">
        <v>46257</v>
      </c>
      <c r="F115" t="inlineStr">
        <is>
          <t>VÄSTERNORRLANDS LÄN</t>
        </is>
      </c>
      <c r="G115" t="inlineStr">
        <is>
          <t>HÄRNÖSAND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46257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46257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46257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46257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46257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46257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46257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46257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46257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46257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46257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46257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46257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46257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46257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46257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46257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46257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46257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46257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45769</v>
      </c>
      <c r="E136" s="1" t="n">
        <v>46257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46257</v>
      </c>
      <c r="F137" t="inlineStr">
        <is>
          <t>VÄSTERNORRLANDS LÄN</t>
        </is>
      </c>
      <c r="G137" t="inlineStr">
        <is>
          <t>HÄRNÖSAND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46257</v>
      </c>
      <c r="F138" t="inlineStr">
        <is>
          <t>VÄSTERNORRLANDS LÄN</t>
        </is>
      </c>
      <c r="G138" t="inlineStr">
        <is>
          <t>HÄRNÖSAND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46257</v>
      </c>
      <c r="F139" t="inlineStr">
        <is>
          <t>VÄSTERNORRLANDS LÄN</t>
        </is>
      </c>
      <c r="G139" t="inlineStr">
        <is>
          <t>HÄRNÖSAND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46257</v>
      </c>
      <c r="F140" t="inlineStr">
        <is>
          <t>VÄSTERNORRLANDS LÄN</t>
        </is>
      </c>
      <c r="G140" t="inlineStr">
        <is>
          <t>HÄRNÖSAND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46257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45681-2021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44441</v>
      </c>
      <c r="E142" s="1" t="n">
        <v>46257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46257</v>
      </c>
      <c r="F143" t="inlineStr">
        <is>
          <t>VÄSTERNORRLANDS LÄN</t>
        </is>
      </c>
      <c r="G143" t="inlineStr">
        <is>
          <t>HÄRNÖSAND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46257</v>
      </c>
      <c r="F144" t="inlineStr">
        <is>
          <t>VÄSTERNORRLANDS LÄN</t>
        </is>
      </c>
      <c r="G144" t="inlineStr">
        <is>
          <t>HÄRNÖSAND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46257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46257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70603-2021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44536</v>
      </c>
      <c r="E147" s="1" t="n">
        <v>46257</v>
      </c>
      <c r="F147" t="inlineStr">
        <is>
          <t>VÄSTERNORRLANDS LÄN</t>
        </is>
      </c>
      <c r="G147" t="inlineStr">
        <is>
          <t>HÄRNÖSAND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59408-2024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45638</v>
      </c>
      <c r="E148" s="1" t="n">
        <v>46257</v>
      </c>
      <c r="F148" t="inlineStr">
        <is>
          <t>VÄSTERNORRLANDS LÄN</t>
        </is>
      </c>
      <c r="G148" t="inlineStr">
        <is>
          <t>HÄRNÖSAND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67078-2021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44522</v>
      </c>
      <c r="E149" s="1" t="n">
        <v>46257</v>
      </c>
      <c r="F149" t="inlineStr">
        <is>
          <t>VÄSTERNORRLANDS LÄN</t>
        </is>
      </c>
      <c r="G149" t="inlineStr">
        <is>
          <t>HÄRNÖSAND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45205</v>
      </c>
      <c r="E150" s="1" t="n">
        <v>46257</v>
      </c>
      <c r="F150" t="inlineStr">
        <is>
          <t>VÄSTERNORRLANDS LÄN</t>
        </is>
      </c>
      <c r="G150" t="inlineStr">
        <is>
          <t>HÄRNÖSAND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45293</v>
      </c>
      <c r="E151" s="1" t="n">
        <v>46257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46257</v>
      </c>
      <c r="F152" t="inlineStr">
        <is>
          <t>VÄSTERNORRLANDS LÄN</t>
        </is>
      </c>
      <c r="G152" t="inlineStr">
        <is>
          <t>HÄRNÖSAND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46257</v>
      </c>
      <c r="F153" t="inlineStr">
        <is>
          <t>VÄSTERNORRLANDS LÄN</t>
        </is>
      </c>
      <c r="G153" t="inlineStr">
        <is>
          <t>HÄRNÖSAND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46257</v>
      </c>
      <c r="F154" t="inlineStr">
        <is>
          <t>VÄSTERNORRLANDS LÄN</t>
        </is>
      </c>
      <c r="G154" t="inlineStr">
        <is>
          <t>HÄRNÖSAND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46257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46257</v>
      </c>
      <c r="F156" t="inlineStr">
        <is>
          <t>VÄSTERNORRLANDS LÄN</t>
        </is>
      </c>
      <c r="G156" t="inlineStr">
        <is>
          <t>HÄRNÖSAND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44585</v>
      </c>
      <c r="E157" s="1" t="n">
        <v>46257</v>
      </c>
      <c r="F157" t="inlineStr">
        <is>
          <t>VÄSTERNORRLANDS LÄN</t>
        </is>
      </c>
      <c r="G157" t="inlineStr">
        <is>
          <t>HÄRNÖSAND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45320</v>
      </c>
      <c r="E158" s="1" t="n">
        <v>46257</v>
      </c>
      <c r="F158" t="inlineStr">
        <is>
          <t>VÄSTERNORRLANDS LÄN</t>
        </is>
      </c>
      <c r="G158" t="inlineStr">
        <is>
          <t>HÄRNÖSAND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46257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46257</v>
      </c>
      <c r="F160" t="inlineStr">
        <is>
          <t>VÄSTERNORRLANDS LÄN</t>
        </is>
      </c>
      <c r="G160" t="inlineStr">
        <is>
          <t>HÄRNÖSAND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46257</v>
      </c>
      <c r="F161" t="inlineStr">
        <is>
          <t>VÄSTERNORRLANDS LÄN</t>
        </is>
      </c>
      <c r="G161" t="inlineStr">
        <is>
          <t>HÄRNÖSAND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46257</v>
      </c>
      <c r="F162" t="inlineStr">
        <is>
          <t>VÄSTERNORRLANDS LÄN</t>
        </is>
      </c>
      <c r="G162" t="inlineStr">
        <is>
          <t>HÄRNÖSAND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46257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46257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34513-2022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44792</v>
      </c>
      <c r="E165" s="1" t="n">
        <v>46257</v>
      </c>
      <c r="F165" t="inlineStr">
        <is>
          <t>VÄSTERNORRLANDS LÄN</t>
        </is>
      </c>
      <c r="G165" t="inlineStr">
        <is>
          <t>HÄRNÖSAND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46257</v>
      </c>
      <c r="F166" t="inlineStr">
        <is>
          <t>VÄSTERNORRLANDS LÄN</t>
        </is>
      </c>
      <c r="G166" t="inlineStr">
        <is>
          <t>HÄRNÖSAND</t>
        </is>
      </c>
      <c r="I166" t="n">
        <v>9.300000000000001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46257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44747</v>
      </c>
      <c r="E168" s="1" t="n">
        <v>46257</v>
      </c>
      <c r="F168" t="inlineStr">
        <is>
          <t>VÄSTERNORRLANDS LÄN</t>
        </is>
      </c>
      <c r="G168" t="inlineStr">
        <is>
          <t>HÄRNÖSAND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46257</v>
      </c>
      <c r="F169" t="inlineStr">
        <is>
          <t>VÄSTERNORRLANDS LÄN</t>
        </is>
      </c>
      <c r="G169" t="inlineStr">
        <is>
          <t>HÄRNÖSAND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46257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46257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46257</v>
      </c>
      <c r="F172" t="inlineStr">
        <is>
          <t>VÄSTERNORRLANDS LÄN</t>
        </is>
      </c>
      <c r="G172" t="inlineStr">
        <is>
          <t>HÄRNÖSAND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45293</v>
      </c>
      <c r="E173" s="1" t="n">
        <v>46257</v>
      </c>
      <c r="F173" t="inlineStr">
        <is>
          <t>VÄSTERNORRLANDS LÄN</t>
        </is>
      </c>
      <c r="G173" t="inlineStr">
        <is>
          <t>HÄRNÖSAND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44641</v>
      </c>
      <c r="E174" s="1" t="n">
        <v>46257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45348</v>
      </c>
      <c r="E175" s="1" t="n">
        <v>46257</v>
      </c>
      <c r="F175" t="inlineStr">
        <is>
          <t>VÄSTERNORRLANDS LÄN</t>
        </is>
      </c>
      <c r="G175" t="inlineStr">
        <is>
          <t>HÄRNÖSAND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46257</v>
      </c>
      <c r="F176" t="inlineStr">
        <is>
          <t>VÄSTERNORRLANDS LÄN</t>
        </is>
      </c>
      <c r="G176" t="inlineStr">
        <is>
          <t>HÄRNÖSAND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46257</v>
      </c>
      <c r="F177" t="inlineStr">
        <is>
          <t>VÄSTERNORRLANDS LÄN</t>
        </is>
      </c>
      <c r="G177" t="inlineStr">
        <is>
          <t>HÄRNÖSAND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46257</v>
      </c>
      <c r="F178" t="inlineStr">
        <is>
          <t>VÄSTERNORRLANDS LÄN</t>
        </is>
      </c>
      <c r="G178" t="inlineStr">
        <is>
          <t>HÄRNÖSAND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46257</v>
      </c>
      <c r="F179" t="inlineStr">
        <is>
          <t>VÄSTERNORRLANDS LÄN</t>
        </is>
      </c>
      <c r="G179" t="inlineStr">
        <is>
          <t>HÄRNÖSAND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46257</v>
      </c>
      <c r="F180" t="inlineStr">
        <is>
          <t>VÄSTERNORRLANDS LÄN</t>
        </is>
      </c>
      <c r="G180" t="inlineStr">
        <is>
          <t>HÄRNÖSAND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54251-2022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44881</v>
      </c>
      <c r="E181" s="1" t="n">
        <v>46257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41562-2025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45901</v>
      </c>
      <c r="E182" s="1" t="n">
        <v>46257</v>
      </c>
      <c r="F182" t="inlineStr">
        <is>
          <t>VÄSTERNORRLANDS LÄN</t>
        </is>
      </c>
      <c r="G182" t="inlineStr">
        <is>
          <t>HÄRNÖSAND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45511</v>
      </c>
      <c r="E183" s="1" t="n">
        <v>46257</v>
      </c>
      <c r="F183" t="inlineStr">
        <is>
          <t>VÄSTERNORRLANDS LÄN</t>
        </is>
      </c>
      <c r="G183" t="inlineStr">
        <is>
          <t>HÄRNÖSAND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46257</v>
      </c>
      <c r="F184" t="inlineStr">
        <is>
          <t>VÄSTERNORRLANDS LÄN</t>
        </is>
      </c>
      <c r="G184" t="inlineStr">
        <is>
          <t>HÄRNÖSAND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49039-2023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45209</v>
      </c>
      <c r="E185" s="1" t="n">
        <v>46257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46257</v>
      </c>
      <c r="F186" t="inlineStr">
        <is>
          <t>VÄSTERNORRLANDS LÄN</t>
        </is>
      </c>
      <c r="G186" t="inlineStr">
        <is>
          <t>HÄRNÖSAND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46257</v>
      </c>
      <c r="F187" t="inlineStr">
        <is>
          <t>VÄSTERNORRLANDS LÄN</t>
        </is>
      </c>
      <c r="G187" t="inlineStr">
        <is>
          <t>HÄRNÖSAND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46257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45489</v>
      </c>
      <c r="E189" s="1" t="n">
        <v>46257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46257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46257</v>
      </c>
      <c r="F191" t="inlineStr">
        <is>
          <t>VÄSTERNORRLANDS LÄN</t>
        </is>
      </c>
      <c r="G191" t="inlineStr">
        <is>
          <t>HÄRNÖSAND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46257</v>
      </c>
      <c r="F192" t="inlineStr">
        <is>
          <t>VÄSTERNORRLANDS LÄN</t>
        </is>
      </c>
      <c r="G192" t="inlineStr">
        <is>
          <t>HÄRNÖSAND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46257</v>
      </c>
      <c r="F193" t="inlineStr">
        <is>
          <t>VÄSTERNORRLANDS LÄN</t>
        </is>
      </c>
      <c r="G193" t="inlineStr">
        <is>
          <t>HÄRNÖSAND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46257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46257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Kyrkan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46257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46257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46257</v>
      </c>
      <c r="F198" t="inlineStr">
        <is>
          <t>VÄSTERNORRLANDS LÄN</t>
        </is>
      </c>
      <c r="G198" t="inlineStr">
        <is>
          <t>HÄRNÖSAND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46257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46257</v>
      </c>
      <c r="F200" t="inlineStr">
        <is>
          <t>VÄSTERNORRLANDS LÄN</t>
        </is>
      </c>
      <c r="G200" t="inlineStr">
        <is>
          <t>HÄRNÖSAND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46257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46257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13.5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46257</v>
      </c>
      <c r="F203" t="inlineStr">
        <is>
          <t>VÄSTERNORRLANDS LÄN</t>
        </is>
      </c>
      <c r="G203" t="inlineStr">
        <is>
          <t>HÄRNÖSAND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46257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46257</v>
      </c>
      <c r="F205" t="inlineStr">
        <is>
          <t>VÄSTERNORRLANDS LÄN</t>
        </is>
      </c>
      <c r="G205" t="inlineStr">
        <is>
          <t>HÄRNÖSAND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46257</v>
      </c>
      <c r="F206" t="inlineStr">
        <is>
          <t>VÄSTERNORRLANDS LÄN</t>
        </is>
      </c>
      <c r="G206" t="inlineStr">
        <is>
          <t>HÄRNÖSAND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46257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46257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46257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46257</v>
      </c>
      <c r="F210" t="inlineStr">
        <is>
          <t>VÄSTERNORRLANDS LÄN</t>
        </is>
      </c>
      <c r="G210" t="inlineStr">
        <is>
          <t>HÄRNÖSAND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46257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46257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46257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46257</v>
      </c>
      <c r="F214" t="inlineStr">
        <is>
          <t>VÄSTERNORRLANDS LÄN</t>
        </is>
      </c>
      <c r="G214" t="inlineStr">
        <is>
          <t>HÄRNÖSAND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46257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46257</v>
      </c>
      <c r="F216" t="inlineStr">
        <is>
          <t>VÄSTERNORRLANDS LÄN</t>
        </is>
      </c>
      <c r="G216" t="inlineStr">
        <is>
          <t>HÄRNÖSAND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44869</v>
      </c>
      <c r="E217" s="1" t="n">
        <v>46257</v>
      </c>
      <c r="F217" t="inlineStr">
        <is>
          <t>VÄSTERNORRLANDS LÄN</t>
        </is>
      </c>
      <c r="G217" t="inlineStr">
        <is>
          <t>HÄRNÖSAND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46257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46257</v>
      </c>
      <c r="F219" t="inlineStr">
        <is>
          <t>VÄSTERNORRLANDS LÄN</t>
        </is>
      </c>
      <c r="G219" t="inlineStr">
        <is>
          <t>HÄRNÖSAND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46257</v>
      </c>
      <c r="F220" t="inlineStr">
        <is>
          <t>VÄSTERNORRLANDS LÄN</t>
        </is>
      </c>
      <c r="G220" t="inlineStr">
        <is>
          <t>HÄRNÖSAND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13611-2023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46257</v>
      </c>
      <c r="F221" t="inlineStr">
        <is>
          <t>VÄSTERNORRLANDS LÄN</t>
        </is>
      </c>
      <c r="G221" t="inlineStr">
        <is>
          <t>HÄRNÖSAND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46257</v>
      </c>
      <c r="F222" t="inlineStr">
        <is>
          <t>VÄSTERNORRLANDS LÄN</t>
        </is>
      </c>
      <c r="G222" t="inlineStr">
        <is>
          <t>HÄRNÖSAND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46257</v>
      </c>
      <c r="F223" t="inlineStr">
        <is>
          <t>VÄSTERNORRLANDS LÄN</t>
        </is>
      </c>
      <c r="G223" t="inlineStr">
        <is>
          <t>HÄRNÖSAND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46257</v>
      </c>
      <c r="F224" t="inlineStr">
        <is>
          <t>VÄSTERNORRLANDS LÄN</t>
        </is>
      </c>
      <c r="G224" t="inlineStr">
        <is>
          <t>HÄRNÖSAND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46257</v>
      </c>
      <c r="F225" t="inlineStr">
        <is>
          <t>VÄSTERNORRLANDS LÄN</t>
        </is>
      </c>
      <c r="G225" t="inlineStr">
        <is>
          <t>HÄRNÖSAND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46257</v>
      </c>
      <c r="F226" t="inlineStr">
        <is>
          <t>VÄSTERNORRLANDS LÄN</t>
        </is>
      </c>
      <c r="G226" t="inlineStr">
        <is>
          <t>HÄRNÖSAND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46257</v>
      </c>
      <c r="F227" t="inlineStr">
        <is>
          <t>VÄSTERNORRLANDS LÄN</t>
        </is>
      </c>
      <c r="G227" t="inlineStr">
        <is>
          <t>HÄRNÖSAND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46257</v>
      </c>
      <c r="F228" t="inlineStr">
        <is>
          <t>VÄSTERNORRLANDS LÄN</t>
        </is>
      </c>
      <c r="G228" t="inlineStr">
        <is>
          <t>HÄRNÖSAND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45562</v>
      </c>
      <c r="E229" s="1" t="n">
        <v>46257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46257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46257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46257</v>
      </c>
      <c r="F232" t="inlineStr">
        <is>
          <t>VÄSTERNORRLANDS LÄN</t>
        </is>
      </c>
      <c r="G232" t="inlineStr">
        <is>
          <t>HÄRNÖSAND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46257</v>
      </c>
      <c r="F233" t="inlineStr">
        <is>
          <t>VÄSTERNORRLANDS LÄN</t>
        </is>
      </c>
      <c r="G233" t="inlineStr">
        <is>
          <t>HÄRNÖSAND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45409</v>
      </c>
      <c r="E234" s="1" t="n">
        <v>46257</v>
      </c>
      <c r="F234" t="inlineStr">
        <is>
          <t>VÄSTERNORRLANDS LÄN</t>
        </is>
      </c>
      <c r="G234" t="inlineStr">
        <is>
          <t>HÄRNÖSAND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45645</v>
      </c>
      <c r="E235" s="1" t="n">
        <v>46257</v>
      </c>
      <c r="F235" t="inlineStr">
        <is>
          <t>VÄSTERNORRLANDS LÄN</t>
        </is>
      </c>
      <c r="G235" t="inlineStr">
        <is>
          <t>HÄRNÖSAND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45496</v>
      </c>
      <c r="E236" s="1" t="n">
        <v>46257</v>
      </c>
      <c r="F236" t="inlineStr">
        <is>
          <t>VÄSTERNORRLANDS LÄN</t>
        </is>
      </c>
      <c r="G236" t="inlineStr">
        <is>
          <t>HÄRNÖSAND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45409</v>
      </c>
      <c r="E237" s="1" t="n">
        <v>46257</v>
      </c>
      <c r="F237" t="inlineStr">
        <is>
          <t>VÄSTERNORRLANDS LÄN</t>
        </is>
      </c>
      <c r="G237" t="inlineStr">
        <is>
          <t>HÄRNÖSAND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46257</v>
      </c>
      <c r="F238" t="inlineStr">
        <is>
          <t>VÄSTERNORRLANDS LÄN</t>
        </is>
      </c>
      <c r="G238" t="inlineStr">
        <is>
          <t>HÄRNÖSAND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46257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46257</v>
      </c>
      <c r="F240" t="inlineStr">
        <is>
          <t>VÄSTERNORRLANDS LÄN</t>
        </is>
      </c>
      <c r="G240" t="inlineStr">
        <is>
          <t>HÄRNÖSAND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46257</v>
      </c>
      <c r="F241" t="inlineStr">
        <is>
          <t>VÄSTERNORRLANDS LÄN</t>
        </is>
      </c>
      <c r="G241" t="inlineStr">
        <is>
          <t>HÄRNÖSAND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46257</v>
      </c>
      <c r="F242" t="inlineStr">
        <is>
          <t>VÄSTERNORRLANDS LÄN</t>
        </is>
      </c>
      <c r="G242" t="inlineStr">
        <is>
          <t>HÄRNÖSAND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45837</v>
      </c>
      <c r="E243" s="1" t="n">
        <v>46257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46257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46257</v>
      </c>
      <c r="F245" t="inlineStr">
        <is>
          <t>VÄSTERNORRLANDS LÄN</t>
        </is>
      </c>
      <c r="G245" t="inlineStr">
        <is>
          <t>HÄRNÖSAND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46257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44853</v>
      </c>
      <c r="E247" s="1" t="n">
        <v>46257</v>
      </c>
      <c r="F247" t="inlineStr">
        <is>
          <t>VÄSTERNORRLANDS LÄN</t>
        </is>
      </c>
      <c r="G247" t="inlineStr">
        <is>
          <t>HÄRNÖSAND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46257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46257</v>
      </c>
      <c r="F249" t="inlineStr">
        <is>
          <t>VÄSTERNORRLANDS LÄN</t>
        </is>
      </c>
      <c r="G249" t="inlineStr">
        <is>
          <t>HÄRNÖSAND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25116-2024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46257</v>
      </c>
      <c r="F250" t="inlineStr">
        <is>
          <t>VÄSTERNORRLANDS LÄN</t>
        </is>
      </c>
      <c r="G250" t="inlineStr">
        <is>
          <t>HÄRNÖSAND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44809</v>
      </c>
      <c r="E251" s="1" t="n">
        <v>46257</v>
      </c>
      <c r="F251" t="inlineStr">
        <is>
          <t>VÄSTERNORRLANDS LÄN</t>
        </is>
      </c>
      <c r="G251" t="inlineStr">
        <is>
          <t>HÄRNÖSAND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46257</v>
      </c>
      <c r="F252" t="inlineStr">
        <is>
          <t>VÄSTERNORRLANDS LÄN</t>
        </is>
      </c>
      <c r="G252" t="inlineStr">
        <is>
          <t>HÄRNÖSAND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46257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46257</v>
      </c>
      <c r="F254" t="inlineStr">
        <is>
          <t>VÄSTERNORRLANDS LÄN</t>
        </is>
      </c>
      <c r="G254" t="inlineStr">
        <is>
          <t>HÄRNÖSAND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45418</v>
      </c>
      <c r="E255" s="1" t="n">
        <v>46257</v>
      </c>
      <c r="F255" t="inlineStr">
        <is>
          <t>VÄSTERNORRLANDS LÄN</t>
        </is>
      </c>
      <c r="G255" t="inlineStr">
        <is>
          <t>HÄRNÖSAND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46257</v>
      </c>
      <c r="F256" t="inlineStr">
        <is>
          <t>VÄSTERNORRLANDS LÄN</t>
        </is>
      </c>
      <c r="G256" t="inlineStr">
        <is>
          <t>HÄRNÖSAND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45837</v>
      </c>
      <c r="E257" s="1" t="n">
        <v>46257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46257</v>
      </c>
      <c r="F258" t="inlineStr">
        <is>
          <t>VÄSTERNORRLANDS LÄN</t>
        </is>
      </c>
      <c r="G258" t="inlineStr">
        <is>
          <t>HÄRNÖSAND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44937</v>
      </c>
      <c r="E259" s="1" t="n">
        <v>46257</v>
      </c>
      <c r="F259" t="inlineStr">
        <is>
          <t>VÄSTERNORRLANDS LÄN</t>
        </is>
      </c>
      <c r="G259" t="inlineStr">
        <is>
          <t>HÄRNÖSAND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45228</v>
      </c>
      <c r="E260" s="1" t="n">
        <v>46257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46257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45628</v>
      </c>
      <c r="E262" s="1" t="n">
        <v>46257</v>
      </c>
      <c r="F262" t="inlineStr">
        <is>
          <t>VÄSTERNORRLANDS LÄN</t>
        </is>
      </c>
      <c r="G262" t="inlineStr">
        <is>
          <t>HÄRNÖSAND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46257</v>
      </c>
      <c r="F263" t="inlineStr">
        <is>
          <t>VÄSTERNORRLANDS LÄN</t>
        </is>
      </c>
      <c r="G263" t="inlineStr">
        <is>
          <t>HÄRNÖSAND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46257</v>
      </c>
      <c r="F264" t="inlineStr">
        <is>
          <t>VÄSTERNORRLANDS LÄN</t>
        </is>
      </c>
      <c r="G264" t="inlineStr">
        <is>
          <t>HÄRNÖSAND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45723</v>
      </c>
      <c r="E265" s="1" t="n">
        <v>46257</v>
      </c>
      <c r="F265" t="inlineStr">
        <is>
          <t>VÄSTERNORRLANDS LÄN</t>
        </is>
      </c>
      <c r="G265" t="inlineStr">
        <is>
          <t>HÄRNÖSAND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45733</v>
      </c>
      <c r="E266" s="1" t="n">
        <v>46257</v>
      </c>
      <c r="F266" t="inlineStr">
        <is>
          <t>VÄSTERNORRLANDS LÄN</t>
        </is>
      </c>
      <c r="G266" t="inlineStr">
        <is>
          <t>HÄRNÖSAND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46257</v>
      </c>
      <c r="F267" t="inlineStr">
        <is>
          <t>VÄSTERNORRLANDS LÄN</t>
        </is>
      </c>
      <c r="G267" t="inlineStr">
        <is>
          <t>HÄRNÖSAND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46257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46257</v>
      </c>
      <c r="F269" t="inlineStr">
        <is>
          <t>VÄSTERNORRLANDS LÄN</t>
        </is>
      </c>
      <c r="G269" t="inlineStr">
        <is>
          <t>HÄRNÖSAND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46257</v>
      </c>
      <c r="F270" t="inlineStr">
        <is>
          <t>VÄSTERNORRLANDS LÄN</t>
        </is>
      </c>
      <c r="G270" t="inlineStr">
        <is>
          <t>HÄRNÖSAND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46257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18885-2023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45044</v>
      </c>
      <c r="E272" s="1" t="n">
        <v>46257</v>
      </c>
      <c r="F272" t="inlineStr">
        <is>
          <t>VÄSTERNORRLANDS LÄN</t>
        </is>
      </c>
      <c r="G272" t="inlineStr">
        <is>
          <t>HÄRNÖSAND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46257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46257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44897</v>
      </c>
      <c r="E275" s="1" t="n">
        <v>46257</v>
      </c>
      <c r="F275" t="inlineStr">
        <is>
          <t>VÄSTERNORRLANDS LÄN</t>
        </is>
      </c>
      <c r="G275" t="inlineStr">
        <is>
          <t>HÄRNÖSAND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46257</v>
      </c>
      <c r="F276" t="inlineStr">
        <is>
          <t>VÄSTERNORRLANDS LÄN</t>
        </is>
      </c>
      <c r="G276" t="inlineStr">
        <is>
          <t>HÄRNÖSAND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45044</v>
      </c>
      <c r="E277" s="1" t="n">
        <v>46257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46257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44732</v>
      </c>
      <c r="E279" s="1" t="n">
        <v>46257</v>
      </c>
      <c r="F279" t="inlineStr">
        <is>
          <t>VÄSTERNORRLANDS LÄN</t>
        </is>
      </c>
      <c r="G279" t="inlineStr">
        <is>
          <t>HÄRNÖSAND</t>
        </is>
      </c>
      <c r="I279" t="n">
        <v>18.7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44596</v>
      </c>
      <c r="E280" s="1" t="n">
        <v>46257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Övriga statliga verk och myndigheter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46257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44706</v>
      </c>
      <c r="E282" s="1" t="n">
        <v>46257</v>
      </c>
      <c r="F282" t="inlineStr">
        <is>
          <t>VÄSTERNORRLANDS LÄN</t>
        </is>
      </c>
      <c r="G282" t="inlineStr">
        <is>
          <t>HÄRNÖSAND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46257</v>
      </c>
      <c r="F283" t="inlineStr">
        <is>
          <t>VÄSTERNORRLANDS LÄN</t>
        </is>
      </c>
      <c r="G283" t="inlineStr">
        <is>
          <t>HÄRNÖSAND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46257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47550-2022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46257</v>
      </c>
      <c r="F285" t="inlineStr">
        <is>
          <t>VÄSTERNORRLANDS LÄN</t>
        </is>
      </c>
      <c r="G285" t="inlineStr">
        <is>
          <t>HÄRNÖSAND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45289</v>
      </c>
      <c r="E286" s="1" t="n">
        <v>46257</v>
      </c>
      <c r="F286" t="inlineStr">
        <is>
          <t>VÄSTERNORRLANDS LÄN</t>
        </is>
      </c>
      <c r="G286" t="inlineStr">
        <is>
          <t>HÄRNÖSAND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46257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46257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46257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46257</v>
      </c>
      <c r="F290" t="inlineStr">
        <is>
          <t>VÄSTERNORRLANDS LÄN</t>
        </is>
      </c>
      <c r="G290" t="inlineStr">
        <is>
          <t>HÄRNÖSAND</t>
        </is>
      </c>
      <c r="I290" t="n">
        <v>10.3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46257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46257</v>
      </c>
      <c r="F292" t="inlineStr">
        <is>
          <t>VÄSTERNORRLANDS LÄN</t>
        </is>
      </c>
      <c r="G292" t="inlineStr">
        <is>
          <t>HÄRNÖSAND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46257</v>
      </c>
      <c r="F293" t="inlineStr">
        <is>
          <t>VÄSTERNORRLANDS LÄN</t>
        </is>
      </c>
      <c r="G293" t="inlineStr">
        <is>
          <t>HÄRNÖSAND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45848</v>
      </c>
      <c r="E294" s="1" t="n">
        <v>46257</v>
      </c>
      <c r="F294" t="inlineStr">
        <is>
          <t>VÄSTERNORRLANDS LÄN</t>
        </is>
      </c>
      <c r="G294" t="inlineStr">
        <is>
          <t>HÄRNÖSAND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45281</v>
      </c>
      <c r="E295" s="1" t="n">
        <v>46257</v>
      </c>
      <c r="F295" t="inlineStr">
        <is>
          <t>VÄSTERNORRLANDS LÄN</t>
        </is>
      </c>
      <c r="G295" t="inlineStr">
        <is>
          <t>HÄRNÖSAND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46257</v>
      </c>
      <c r="F296" t="inlineStr">
        <is>
          <t>VÄSTERNORRLANDS LÄN</t>
        </is>
      </c>
      <c r="G296" t="inlineStr">
        <is>
          <t>HÄRNÖSAND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45289</v>
      </c>
      <c r="E297" s="1" t="n">
        <v>46257</v>
      </c>
      <c r="F297" t="inlineStr">
        <is>
          <t>VÄSTERNORRLANDS LÄN</t>
        </is>
      </c>
      <c r="G297" t="inlineStr">
        <is>
          <t>HÄRNÖSAND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46257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46257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46257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34751-2025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45848</v>
      </c>
      <c r="E301" s="1" t="n">
        <v>46257</v>
      </c>
      <c r="F301" t="inlineStr">
        <is>
          <t>VÄSTERNORRLANDS LÄN</t>
        </is>
      </c>
      <c r="G301" t="inlineStr">
        <is>
          <t>HÄRNÖSAND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46257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64023-2023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45278</v>
      </c>
      <c r="E303" s="1" t="n">
        <v>46257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46257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46257</v>
      </c>
      <c r="F305" t="inlineStr">
        <is>
          <t>VÄSTERNORRLANDS LÄN</t>
        </is>
      </c>
      <c r="G305" t="inlineStr">
        <is>
          <t>HÄRNÖSAND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4852-2024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45329</v>
      </c>
      <c r="E306" s="1" t="n">
        <v>46257</v>
      </c>
      <c r="F306" t="inlineStr">
        <is>
          <t>VÄSTERNORRLANDS LÄN</t>
        </is>
      </c>
      <c r="G306" t="inlineStr">
        <is>
          <t>HÄRNÖSAND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46257</v>
      </c>
      <c r="F307" t="inlineStr">
        <is>
          <t>VÄSTERNORRLANDS LÄN</t>
        </is>
      </c>
      <c r="G307" t="inlineStr">
        <is>
          <t>HÄRNÖSAND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46257</v>
      </c>
      <c r="F308" t="inlineStr">
        <is>
          <t>VÄSTERNORRLANDS LÄN</t>
        </is>
      </c>
      <c r="G308" t="inlineStr">
        <is>
          <t>HÄRNÖSAND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54091-2024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45616</v>
      </c>
      <c r="E309" s="1" t="n">
        <v>46257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45853</v>
      </c>
      <c r="E310" s="1" t="n">
        <v>46257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46257</v>
      </c>
      <c r="F311" t="inlineStr">
        <is>
          <t>VÄSTERNORRLANDS LÄN</t>
        </is>
      </c>
      <c r="G311" t="inlineStr">
        <is>
          <t>HÄRNÖSAND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45578</v>
      </c>
      <c r="E312" s="1" t="n">
        <v>46257</v>
      </c>
      <c r="F312" t="inlineStr">
        <is>
          <t>VÄSTERNORRLANDS LÄN</t>
        </is>
      </c>
      <c r="G312" t="inlineStr">
        <is>
          <t>HÄRNÖSAND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45578</v>
      </c>
      <c r="E313" s="1" t="n">
        <v>46257</v>
      </c>
      <c r="F313" t="inlineStr">
        <is>
          <t>VÄSTERNORRLANDS LÄN</t>
        </is>
      </c>
      <c r="G313" t="inlineStr">
        <is>
          <t>HÄRNÖSAND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46257</v>
      </c>
      <c r="F314" t="inlineStr">
        <is>
          <t>VÄSTERNORRLANDS LÄN</t>
        </is>
      </c>
      <c r="G314" t="inlineStr">
        <is>
          <t>HÄRNÖSAND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46257</v>
      </c>
      <c r="F315" t="inlineStr">
        <is>
          <t>VÄSTERNORRLANDS LÄN</t>
        </is>
      </c>
      <c r="G315" t="inlineStr">
        <is>
          <t>HÄRNÖSAND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45163</v>
      </c>
      <c r="E316" s="1" t="n">
        <v>46257</v>
      </c>
      <c r="F316" t="inlineStr">
        <is>
          <t>VÄSTERNORRLANDS LÄN</t>
        </is>
      </c>
      <c r="G316" t="inlineStr">
        <is>
          <t>HÄRNÖSAND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46257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44973</v>
      </c>
      <c r="E318" s="1" t="n">
        <v>46257</v>
      </c>
      <c r="F318" t="inlineStr">
        <is>
          <t>VÄSTERNORRLANDS LÄN</t>
        </is>
      </c>
      <c r="G318" t="inlineStr">
        <is>
          <t>HÄRNÖSAND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44728</v>
      </c>
      <c r="E319" s="1" t="n">
        <v>46257</v>
      </c>
      <c r="F319" t="inlineStr">
        <is>
          <t>VÄSTERNORRLANDS LÄN</t>
        </is>
      </c>
      <c r="G319" t="inlineStr">
        <is>
          <t>HÄRNÖSAND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44853</v>
      </c>
      <c r="E320" s="1" t="n">
        <v>46257</v>
      </c>
      <c r="F320" t="inlineStr">
        <is>
          <t>VÄSTERNORRLANDS LÄN</t>
        </is>
      </c>
      <c r="G320" t="inlineStr">
        <is>
          <t>HÄRNÖSAND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46257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46257</v>
      </c>
      <c r="F322" t="inlineStr">
        <is>
          <t>VÄSTERNORRLANDS LÄN</t>
        </is>
      </c>
      <c r="G322" t="inlineStr">
        <is>
          <t>HÄRNÖSAND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46257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46257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45138</v>
      </c>
      <c r="E325" s="1" t="n">
        <v>46257</v>
      </c>
      <c r="F325" t="inlineStr">
        <is>
          <t>VÄSTERNORRLANDS LÄN</t>
        </is>
      </c>
      <c r="G325" t="inlineStr">
        <is>
          <t>HÄRNÖSAND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46257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46257</v>
      </c>
      <c r="F327" t="inlineStr">
        <is>
          <t>VÄSTERNORRLANDS LÄN</t>
        </is>
      </c>
      <c r="G327" t="inlineStr">
        <is>
          <t>HÄRNÖSAND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46257</v>
      </c>
      <c r="F328" t="inlineStr">
        <is>
          <t>VÄSTERNORRLANDS LÄN</t>
        </is>
      </c>
      <c r="G328" t="inlineStr">
        <is>
          <t>HÄRNÖSAND</t>
        </is>
      </c>
      <c r="I328" t="n">
        <v>12.5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46257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46257</v>
      </c>
      <c r="F330" t="inlineStr">
        <is>
          <t>VÄSTERNORRLANDS LÄN</t>
        </is>
      </c>
      <c r="G330" t="inlineStr">
        <is>
          <t>HÄRNÖSAND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46257</v>
      </c>
      <c r="F331" t="inlineStr">
        <is>
          <t>VÄSTERNORRLANDS LÄN</t>
        </is>
      </c>
      <c r="G331" t="inlineStr">
        <is>
          <t>HÄRNÖSAND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45496</v>
      </c>
      <c r="E332" s="1" t="n">
        <v>46257</v>
      </c>
      <c r="F332" t="inlineStr">
        <is>
          <t>VÄSTERNORRLANDS LÄN</t>
        </is>
      </c>
      <c r="G332" t="inlineStr">
        <is>
          <t>HÄRNÖSAND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45390</v>
      </c>
      <c r="E333" s="1" t="n">
        <v>46257</v>
      </c>
      <c r="F333" t="inlineStr">
        <is>
          <t>VÄSTERNORRLANDS LÄN</t>
        </is>
      </c>
      <c r="G333" t="inlineStr">
        <is>
          <t>HÄRNÖSAND</t>
        </is>
      </c>
      <c r="I333" t="n">
        <v>14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46257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45793</v>
      </c>
      <c r="E335" s="1" t="n">
        <v>46257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46257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45729</v>
      </c>
      <c r="E337" s="1" t="n">
        <v>46257</v>
      </c>
      <c r="F337" t="inlineStr">
        <is>
          <t>VÄSTERNORRLANDS LÄN</t>
        </is>
      </c>
      <c r="G337" t="inlineStr">
        <is>
          <t>HÄRNÖSAND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45072</v>
      </c>
      <c r="E338" s="1" t="n">
        <v>46257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Kyrkan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16979-2022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44676</v>
      </c>
      <c r="E339" s="1" t="n">
        <v>46257</v>
      </c>
      <c r="F339" t="inlineStr">
        <is>
          <t>VÄSTERNORRLANDS LÄN</t>
        </is>
      </c>
      <c r="G339" t="inlineStr">
        <is>
          <t>HÄRNÖSAND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46257</v>
      </c>
      <c r="F340" t="inlineStr">
        <is>
          <t>VÄSTERNORRLANDS LÄN</t>
        </is>
      </c>
      <c r="G340" t="inlineStr">
        <is>
          <t>HÄRNÖSAND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29429-2024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45483</v>
      </c>
      <c r="E341" s="1" t="n">
        <v>46257</v>
      </c>
      <c r="F341" t="inlineStr">
        <is>
          <t>VÄSTERNORRLANDS LÄN</t>
        </is>
      </c>
      <c r="G341" t="inlineStr">
        <is>
          <t>HÄRNÖSAND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46257</v>
      </c>
      <c r="F342" t="inlineStr">
        <is>
          <t>VÄSTERNORRLANDS LÄN</t>
        </is>
      </c>
      <c r="G342" t="inlineStr">
        <is>
          <t>HÄRNÖSAND</t>
        </is>
      </c>
      <c r="I342" t="n">
        <v>9.5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45741</v>
      </c>
      <c r="E343" s="1" t="n">
        <v>46257</v>
      </c>
      <c r="F343" t="inlineStr">
        <is>
          <t>VÄSTERNORRLANDS LÄN</t>
        </is>
      </c>
      <c r="G343" t="inlineStr">
        <is>
          <t>HÄRNÖSAND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46257</v>
      </c>
      <c r="F344" t="inlineStr">
        <is>
          <t>VÄSTERNORRLANDS LÄN</t>
        </is>
      </c>
      <c r="G344" t="inlineStr">
        <is>
          <t>HÄRNÖSAND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46257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46257</v>
      </c>
      <c r="F346" t="inlineStr">
        <is>
          <t>VÄSTERNORRLANDS LÄN</t>
        </is>
      </c>
      <c r="G346" t="inlineStr">
        <is>
          <t>HÄRNÖSAND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19167-2025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45769</v>
      </c>
      <c r="E347" s="1" t="n">
        <v>46257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45168</v>
      </c>
      <c r="E348" s="1" t="n">
        <v>46257</v>
      </c>
      <c r="F348" t="inlineStr">
        <is>
          <t>VÄSTERNORRLANDS LÄN</t>
        </is>
      </c>
      <c r="G348" t="inlineStr">
        <is>
          <t>HÄRNÖSAND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46257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46023</v>
      </c>
      <c r="E350" s="1" t="n">
        <v>46257</v>
      </c>
      <c r="F350" t="inlineStr">
        <is>
          <t>VÄSTERNORRLANDS LÄN</t>
        </is>
      </c>
      <c r="G350" t="inlineStr">
        <is>
          <t>HÄRNÖSAND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46257</v>
      </c>
      <c r="F351" t="inlineStr">
        <is>
          <t>VÄSTERNORRLANDS LÄN</t>
        </is>
      </c>
      <c r="G351" t="inlineStr">
        <is>
          <t>HÄRNÖSAND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46257</v>
      </c>
      <c r="F352" t="inlineStr">
        <is>
          <t>VÄSTERNORRLANDS LÄN</t>
        </is>
      </c>
      <c r="G352" t="inlineStr">
        <is>
          <t>HÄRNÖSAND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46257</v>
      </c>
      <c r="F353" t="inlineStr">
        <is>
          <t>VÄSTERNORRLANDS LÄN</t>
        </is>
      </c>
      <c r="G353" t="inlineStr">
        <is>
          <t>HÄRNÖSAND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46257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46257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46026</v>
      </c>
      <c r="E356" s="1" t="n">
        <v>46257</v>
      </c>
      <c r="F356" t="inlineStr">
        <is>
          <t>VÄSTERNORRLANDS LÄN</t>
        </is>
      </c>
      <c r="G356" t="inlineStr">
        <is>
          <t>HÄRNÖSAND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46257</v>
      </c>
      <c r="F357" t="inlineStr">
        <is>
          <t>VÄSTERNORRLANDS LÄN</t>
        </is>
      </c>
      <c r="G357" t="inlineStr">
        <is>
          <t>HÄRNÖSAND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46257</v>
      </c>
      <c r="F358" t="inlineStr">
        <is>
          <t>VÄSTERNORRLANDS LÄN</t>
        </is>
      </c>
      <c r="G358" t="inlineStr">
        <is>
          <t>HÄRNÖSAND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46257</v>
      </c>
      <c r="F359" t="inlineStr">
        <is>
          <t>VÄSTERNORRLANDS LÄN</t>
        </is>
      </c>
      <c r="G359" t="inlineStr">
        <is>
          <t>HÄRNÖSAND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46257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46029</v>
      </c>
      <c r="E361" s="1" t="n">
        <v>46257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46257</v>
      </c>
      <c r="F362" t="inlineStr">
        <is>
          <t>VÄSTERNORRLANDS LÄN</t>
        </is>
      </c>
      <c r="G362" t="inlineStr">
        <is>
          <t>HÄRNÖSAND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46257</v>
      </c>
      <c r="F363" t="inlineStr">
        <is>
          <t>VÄSTERNORRLANDS LÄN</t>
        </is>
      </c>
      <c r="G363" t="inlineStr">
        <is>
          <t>HÄRNÖSAND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46257</v>
      </c>
      <c r="F364" t="inlineStr">
        <is>
          <t>VÄSTERNORRLANDS LÄN</t>
        </is>
      </c>
      <c r="G364" t="inlineStr">
        <is>
          <t>HÄRNÖSAND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46257</v>
      </c>
      <c r="F365" t="inlineStr">
        <is>
          <t>VÄSTERNORRLANDS LÄN</t>
        </is>
      </c>
      <c r="G365" t="inlineStr">
        <is>
          <t>HÄRNÖSAND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44980</v>
      </c>
      <c r="E366" s="1" t="n">
        <v>46257</v>
      </c>
      <c r="F366" t="inlineStr">
        <is>
          <t>VÄSTERNORRLANDS LÄN</t>
        </is>
      </c>
      <c r="G366" t="inlineStr">
        <is>
          <t>HÄRNÖSAND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46257</v>
      </c>
      <c r="F367" t="inlineStr">
        <is>
          <t>VÄSTERNORRLANDS LÄN</t>
        </is>
      </c>
      <c r="G367" t="inlineStr">
        <is>
          <t>HÄRNÖSAND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46257</v>
      </c>
      <c r="F368" t="inlineStr">
        <is>
          <t>VÄSTERNORRLANDS LÄN</t>
        </is>
      </c>
      <c r="G368" t="inlineStr">
        <is>
          <t>HÄRNÖSAND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45313</v>
      </c>
      <c r="E369" s="1" t="n">
        <v>46257</v>
      </c>
      <c r="F369" t="inlineStr">
        <is>
          <t>VÄSTERNORRLANDS LÄN</t>
        </is>
      </c>
      <c r="G369" t="inlineStr">
        <is>
          <t>HÄRNÖSAND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46257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46257</v>
      </c>
      <c r="F371" t="inlineStr">
        <is>
          <t>VÄSTERNORRLANDS LÄN</t>
        </is>
      </c>
      <c r="G371" t="inlineStr">
        <is>
          <t>HÄRNÖSAND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45622</v>
      </c>
      <c r="E372" s="1" t="n">
        <v>46257</v>
      </c>
      <c r="F372" t="inlineStr">
        <is>
          <t>VÄSTERNORRLANDS LÄN</t>
        </is>
      </c>
      <c r="G372" t="inlineStr">
        <is>
          <t>HÄRNÖSAND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46257</v>
      </c>
      <c r="F373" t="inlineStr">
        <is>
          <t>VÄSTERNORRLANDS LÄN</t>
        </is>
      </c>
      <c r="G373" t="inlineStr">
        <is>
          <t>HÄRNÖSAND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45562</v>
      </c>
      <c r="E374" s="1" t="n">
        <v>46257</v>
      </c>
      <c r="F374" t="inlineStr">
        <is>
          <t>VÄSTERNORRLANDS LÄN</t>
        </is>
      </c>
      <c r="G374" t="inlineStr">
        <is>
          <t>HÄRNÖSAND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46257</v>
      </c>
      <c r="F375" t="inlineStr">
        <is>
          <t>VÄSTERNORRLANDS LÄN</t>
        </is>
      </c>
      <c r="G375" t="inlineStr">
        <is>
          <t>HÄRNÖSAND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46257</v>
      </c>
      <c r="F376" t="inlineStr">
        <is>
          <t>VÄSTERNORRLANDS LÄN</t>
        </is>
      </c>
      <c r="G376" t="inlineStr">
        <is>
          <t>HÄRNÖSAND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44971</v>
      </c>
      <c r="E377" s="1" t="n">
        <v>46257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46257</v>
      </c>
      <c r="F378" t="inlineStr">
        <is>
          <t>VÄSTERNORRLANDS LÄN</t>
        </is>
      </c>
      <c r="G378" t="inlineStr">
        <is>
          <t>HÄRNÖSAND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46257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45148</v>
      </c>
      <c r="E380" s="1" t="n">
        <v>46257</v>
      </c>
      <c r="F380" t="inlineStr">
        <is>
          <t>VÄSTERNORRLANDS LÄN</t>
        </is>
      </c>
      <c r="G380" t="inlineStr">
        <is>
          <t>HÄRNÖSAND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46257</v>
      </c>
      <c r="F381" t="inlineStr">
        <is>
          <t>VÄSTERNORRLANDS LÄN</t>
        </is>
      </c>
      <c r="G381" t="inlineStr">
        <is>
          <t>HÄRNÖSAND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44845</v>
      </c>
      <c r="E382" s="1" t="n">
        <v>46257</v>
      </c>
      <c r="F382" t="inlineStr">
        <is>
          <t>VÄSTERNORRLANDS LÄN</t>
        </is>
      </c>
      <c r="G382" t="inlineStr">
        <is>
          <t>HÄRNÖSAND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46257</v>
      </c>
      <c r="F383" t="inlineStr">
        <is>
          <t>VÄSTERNORRLANDS LÄN</t>
        </is>
      </c>
      <c r="G383" t="inlineStr">
        <is>
          <t>HÄRNÖSAND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46257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45409</v>
      </c>
      <c r="E385" s="1" t="n">
        <v>46257</v>
      </c>
      <c r="F385" t="inlineStr">
        <is>
          <t>VÄSTERNORRLANDS LÄN</t>
        </is>
      </c>
      <c r="G385" t="inlineStr">
        <is>
          <t>HÄRNÖSAND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46257</v>
      </c>
      <c r="F386" t="inlineStr">
        <is>
          <t>VÄSTERNORRLANDS LÄN</t>
        </is>
      </c>
      <c r="G386" t="inlineStr">
        <is>
          <t>HÄRNÖSAND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44580</v>
      </c>
      <c r="E387" s="1" t="n">
        <v>46257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46257</v>
      </c>
      <c r="F388" t="inlineStr">
        <is>
          <t>VÄSTERNORRLANDS LÄN</t>
        </is>
      </c>
      <c r="G388" t="inlineStr">
        <is>
          <t>HÄRNÖSAND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46257</v>
      </c>
      <c r="F389" t="inlineStr">
        <is>
          <t>VÄSTERNORRLANDS LÄN</t>
        </is>
      </c>
      <c r="G389" t="inlineStr">
        <is>
          <t>HÄRNÖSAND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46257</v>
      </c>
      <c r="F390" t="inlineStr">
        <is>
          <t>VÄSTERNORRLANDS LÄN</t>
        </is>
      </c>
      <c r="G390" t="inlineStr">
        <is>
          <t>HÄRNÖSAND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46257</v>
      </c>
      <c r="F391" t="inlineStr">
        <is>
          <t>VÄSTERNORRLANDS LÄN</t>
        </is>
      </c>
      <c r="G391" t="inlineStr">
        <is>
          <t>HÄRNÖSAND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45638</v>
      </c>
      <c r="E392" s="1" t="n">
        <v>46257</v>
      </c>
      <c r="F392" t="inlineStr">
        <is>
          <t>VÄSTERNORRLANDS LÄN</t>
        </is>
      </c>
      <c r="G392" t="inlineStr">
        <is>
          <t>HÄRNÖSAND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58588-2022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46257</v>
      </c>
      <c r="F393" t="inlineStr">
        <is>
          <t>VÄSTERNORRLANDS LÄN</t>
        </is>
      </c>
      <c r="G393" t="inlineStr">
        <is>
          <t>HÄRNÖSAND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46257</v>
      </c>
      <c r="F394" t="inlineStr">
        <is>
          <t>VÄSTERNORRLANDS LÄN</t>
        </is>
      </c>
      <c r="G394" t="inlineStr">
        <is>
          <t>HÄRNÖSAND</t>
        </is>
      </c>
      <c r="I394" t="n">
        <v>13.8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46257</v>
      </c>
      <c r="F395" t="inlineStr">
        <is>
          <t>VÄSTERNORRLANDS LÄN</t>
        </is>
      </c>
      <c r="G395" t="inlineStr">
        <is>
          <t>HÄRNÖSAND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36993-2025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45874</v>
      </c>
      <c r="E396" s="1" t="n">
        <v>46257</v>
      </c>
      <c r="F396" t="inlineStr">
        <is>
          <t>VÄSTERNORRLANDS LÄN</t>
        </is>
      </c>
      <c r="G396" t="inlineStr">
        <is>
          <t>HÄRNÖSAND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46257</v>
      </c>
      <c r="F397" t="inlineStr">
        <is>
          <t>VÄSTERNORRLANDS LÄN</t>
        </is>
      </c>
      <c r="G397" t="inlineStr">
        <is>
          <t>HÄRNÖSAND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46054</v>
      </c>
      <c r="E398" s="1" t="n">
        <v>46257</v>
      </c>
      <c r="F398" t="inlineStr">
        <is>
          <t>VÄSTERNORRLANDS LÄN</t>
        </is>
      </c>
      <c r="G398" t="inlineStr">
        <is>
          <t>HÄRNÖSAND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46257</v>
      </c>
      <c r="F399" t="inlineStr">
        <is>
          <t>VÄSTERNORRLANDS LÄN</t>
        </is>
      </c>
      <c r="G399" t="inlineStr">
        <is>
          <t>HÄRNÖSAND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46257</v>
      </c>
      <c r="F400" t="inlineStr">
        <is>
          <t>VÄSTERNORRLANDS LÄN</t>
        </is>
      </c>
      <c r="G400" t="inlineStr">
        <is>
          <t>HÄRNÖSAND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46257</v>
      </c>
      <c r="F401" t="inlineStr">
        <is>
          <t>VÄSTERNORRLANDS LÄN</t>
        </is>
      </c>
      <c r="G401" t="inlineStr">
        <is>
          <t>HÄRNÖSAND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46257</v>
      </c>
      <c r="F402" t="inlineStr">
        <is>
          <t>VÄSTERNORRLANDS LÄN</t>
        </is>
      </c>
      <c r="G402" t="inlineStr">
        <is>
          <t>HÄRNÖSAND</t>
        </is>
      </c>
      <c r="I402" t="n">
        <v>12.3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46257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46257</v>
      </c>
      <c r="F404" t="inlineStr">
        <is>
          <t>VÄSTERNORRLANDS LÄN</t>
        </is>
      </c>
      <c r="G404" t="inlineStr">
        <is>
          <t>HÄRNÖSAND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45251</v>
      </c>
      <c r="E405" s="1" t="n">
        <v>46257</v>
      </c>
      <c r="F405" t="inlineStr">
        <is>
          <t>VÄSTERNORRLANDS LÄN</t>
        </is>
      </c>
      <c r="G405" t="inlineStr">
        <is>
          <t>HÄRNÖSAND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46257</v>
      </c>
      <c r="F406" t="inlineStr">
        <is>
          <t>VÄSTERNORRLANDS LÄN</t>
        </is>
      </c>
      <c r="G406" t="inlineStr">
        <is>
          <t>HÄRNÖSAND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46257</v>
      </c>
      <c r="F407" t="inlineStr">
        <is>
          <t>VÄSTERNORRLANDS LÄN</t>
        </is>
      </c>
      <c r="G407" t="inlineStr">
        <is>
          <t>HÄRNÖSAND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61102-2021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44498</v>
      </c>
      <c r="E408" s="1" t="n">
        <v>46257</v>
      </c>
      <c r="F408" t="inlineStr">
        <is>
          <t>VÄSTERNORRLANDS LÄN</t>
        </is>
      </c>
      <c r="G408" t="inlineStr">
        <is>
          <t>HÄRNÖSAND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46257</v>
      </c>
      <c r="F409" t="inlineStr">
        <is>
          <t>VÄSTERNORRLANDS LÄN</t>
        </is>
      </c>
      <c r="G409" t="inlineStr">
        <is>
          <t>HÄRNÖSAND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46257</v>
      </c>
      <c r="F410" t="inlineStr">
        <is>
          <t>VÄSTERNORRLANDS LÄN</t>
        </is>
      </c>
      <c r="G410" t="inlineStr">
        <is>
          <t>HÄRNÖSAND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46257</v>
      </c>
      <c r="F411" t="inlineStr">
        <is>
          <t>VÄSTERNORRLANDS LÄN</t>
        </is>
      </c>
      <c r="G411" t="inlineStr">
        <is>
          <t>HÄRNÖSAND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46215</v>
      </c>
      <c r="E412" s="1" t="n">
        <v>46257</v>
      </c>
      <c r="F412" t="inlineStr">
        <is>
          <t>VÄSTERNORRLANDS LÄN</t>
        </is>
      </c>
      <c r="G412" t="inlineStr">
        <is>
          <t>HÄRNÖSAND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45910</v>
      </c>
      <c r="E413" s="1" t="n">
        <v>46257</v>
      </c>
      <c r="F413" t="inlineStr">
        <is>
          <t>VÄSTERNORRLANDS LÄN</t>
        </is>
      </c>
      <c r="G413" t="inlineStr">
        <is>
          <t>HÄRNÖSAND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50338-2022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44865</v>
      </c>
      <c r="E414" s="1" t="n">
        <v>46257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46257</v>
      </c>
      <c r="F415" t="inlineStr">
        <is>
          <t>VÄSTERNORRLANDS LÄN</t>
        </is>
      </c>
      <c r="G415" t="inlineStr">
        <is>
          <t>HÄRNÖSAND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46257</v>
      </c>
      <c r="F416" t="inlineStr">
        <is>
          <t>VÄSTERNORRLANDS LÄN</t>
        </is>
      </c>
      <c r="G416" t="inlineStr">
        <is>
          <t>HÄRNÖSAND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45887</v>
      </c>
      <c r="E417" s="1" t="n">
        <v>46257</v>
      </c>
      <c r="F417" t="inlineStr">
        <is>
          <t>VÄSTERNORRLANDS LÄN</t>
        </is>
      </c>
      <c r="G417" t="inlineStr">
        <is>
          <t>HÄRNÖSAND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46215</v>
      </c>
      <c r="E418" s="1" t="n">
        <v>46257</v>
      </c>
      <c r="F418" t="inlineStr">
        <is>
          <t>VÄSTERNORRLANDS LÄN</t>
        </is>
      </c>
      <c r="G418" t="inlineStr">
        <is>
          <t>HÄRNÖSAND</t>
        </is>
      </c>
      <c r="I418" t="n">
        <v>12.7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46257</v>
      </c>
      <c r="F419" t="inlineStr">
        <is>
          <t>VÄSTERNORRLANDS LÄN</t>
        </is>
      </c>
      <c r="G419" t="inlineStr">
        <is>
          <t>HÄRNÖSAND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46165</v>
      </c>
      <c r="E420" s="1" t="n">
        <v>46257</v>
      </c>
      <c r="F420" t="inlineStr">
        <is>
          <t>VÄSTERNORRLANDS LÄN</t>
        </is>
      </c>
      <c r="G420" t="inlineStr">
        <is>
          <t>HÄRNÖSAND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46257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46257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46257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46257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46257</v>
      </c>
      <c r="F425" t="inlineStr">
        <is>
          <t>VÄSTERNORRLANDS LÄN</t>
        </is>
      </c>
      <c r="G425" t="inlineStr">
        <is>
          <t>HÄRNÖSAND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46257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Kyrkan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46257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Kyrkan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46257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46257</v>
      </c>
      <c r="F429" t="inlineStr">
        <is>
          <t>VÄSTERNORRLANDS LÄN</t>
        </is>
      </c>
      <c r="G429" t="inlineStr">
        <is>
          <t>HÄRNÖSAND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44726</v>
      </c>
      <c r="E430" s="1" t="n">
        <v>46257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46257</v>
      </c>
      <c r="F431" t="inlineStr">
        <is>
          <t>VÄSTERNORRLANDS LÄN</t>
        </is>
      </c>
      <c r="G431" t="inlineStr">
        <is>
          <t>HÄRNÖSAND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46257</v>
      </c>
      <c r="F432" t="inlineStr">
        <is>
          <t>VÄSTERNORRLANDS LÄN</t>
        </is>
      </c>
      <c r="G432" t="inlineStr">
        <is>
          <t>HÄRNÖSAND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46257</v>
      </c>
      <c r="F433" t="inlineStr">
        <is>
          <t>VÄSTERNORRLANDS LÄN</t>
        </is>
      </c>
      <c r="G433" t="inlineStr">
        <is>
          <t>HÄRNÖSAND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46257</v>
      </c>
      <c r="F434" t="inlineStr">
        <is>
          <t>VÄSTERNORRLANDS LÄN</t>
        </is>
      </c>
      <c r="G434" t="inlineStr">
        <is>
          <t>HÄRNÖSAND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46257</v>
      </c>
      <c r="F435" t="inlineStr">
        <is>
          <t>VÄSTERNORRLANDS LÄN</t>
        </is>
      </c>
      <c r="G435" t="inlineStr">
        <is>
          <t>HÄRNÖSAND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46257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46257</v>
      </c>
      <c r="F437" t="inlineStr">
        <is>
          <t>VÄSTERNORRLANDS LÄN</t>
        </is>
      </c>
      <c r="G437" t="inlineStr">
        <is>
          <t>HÄRNÖSAND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46257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10.2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46257</v>
      </c>
      <c r="F439" t="inlineStr">
        <is>
          <t>VÄSTERNORRLANDS LÄN</t>
        </is>
      </c>
      <c r="G439" t="inlineStr">
        <is>
          <t>HÄRNÖSAND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46257</v>
      </c>
      <c r="F440" t="inlineStr">
        <is>
          <t>VÄSTERNORRLANDS LÄN</t>
        </is>
      </c>
      <c r="G440" t="inlineStr">
        <is>
          <t>HÄRNÖSAND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46257</v>
      </c>
      <c r="F441" t="inlineStr">
        <is>
          <t>VÄSTERNORRLANDS LÄN</t>
        </is>
      </c>
      <c r="G441" t="inlineStr">
        <is>
          <t>HÄRNÖSAND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46257</v>
      </c>
      <c r="F442" t="inlineStr">
        <is>
          <t>VÄSTERNORRLANDS LÄN</t>
        </is>
      </c>
      <c r="G442" t="inlineStr">
        <is>
          <t>HÄRNÖSAND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46257</v>
      </c>
      <c r="F443" t="inlineStr">
        <is>
          <t>VÄSTERNORRLANDS LÄN</t>
        </is>
      </c>
      <c r="G443" t="inlineStr">
        <is>
          <t>HÄRNÖSAND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46257</v>
      </c>
      <c r="F444" t="inlineStr">
        <is>
          <t>VÄSTERNORRLANDS LÄN</t>
        </is>
      </c>
      <c r="G444" t="inlineStr">
        <is>
          <t>HÄRNÖSAND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46257</v>
      </c>
      <c r="F445" t="inlineStr">
        <is>
          <t>VÄSTERNORRLANDS LÄN</t>
        </is>
      </c>
      <c r="G445" t="inlineStr">
        <is>
          <t>HÄRNÖSAND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46257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46257</v>
      </c>
      <c r="F447" t="inlineStr">
        <is>
          <t>VÄSTERNORRLANDS LÄN</t>
        </is>
      </c>
      <c r="G447" t="inlineStr">
        <is>
          <t>HÄRNÖSAND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46219</v>
      </c>
      <c r="E448" s="1" t="n">
        <v>46257</v>
      </c>
      <c r="F448" t="inlineStr">
        <is>
          <t>VÄSTERNORRLANDS LÄN</t>
        </is>
      </c>
      <c r="G448" t="inlineStr">
        <is>
          <t>HÄRNÖSAND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46219</v>
      </c>
      <c r="E449" s="1" t="n">
        <v>46257</v>
      </c>
      <c r="F449" t="inlineStr">
        <is>
          <t>VÄSTERNORRLANDS LÄN</t>
        </is>
      </c>
      <c r="G449" t="inlineStr">
        <is>
          <t>HÄRNÖSAND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46257</v>
      </c>
      <c r="F450" t="inlineStr">
        <is>
          <t>VÄSTERNORRLANDS LÄN</t>
        </is>
      </c>
      <c r="G450" t="inlineStr">
        <is>
          <t>HÄRNÖSAND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56165-2022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44889</v>
      </c>
      <c r="E451" s="1" t="n">
        <v>46257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46257</v>
      </c>
      <c r="F452" t="inlineStr">
        <is>
          <t>VÄSTERNORRLANDS LÄN</t>
        </is>
      </c>
      <c r="G452" t="inlineStr">
        <is>
          <t>HÄRNÖSAND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46257</v>
      </c>
      <c r="F453" t="inlineStr">
        <is>
          <t>VÄSTERNORRLANDS LÄN</t>
        </is>
      </c>
      <c r="G453" t="inlineStr">
        <is>
          <t>HÄRNÖSAND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44755</v>
      </c>
      <c r="E454" s="1" t="n">
        <v>46257</v>
      </c>
      <c r="F454" t="inlineStr">
        <is>
          <t>VÄSTERNORRLANDS LÄN</t>
        </is>
      </c>
      <c r="G454" t="inlineStr">
        <is>
          <t>HÄRNÖSAND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54252-2022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44881</v>
      </c>
      <c r="E455" s="1" t="n">
        <v>46257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11202-2026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46080</v>
      </c>
      <c r="E456" s="1" t="n">
        <v>46257</v>
      </c>
      <c r="F456" t="inlineStr">
        <is>
          <t>VÄSTERNORRLANDS LÄN</t>
        </is>
      </c>
      <c r="G456" t="inlineStr">
        <is>
          <t>HÄRNÖSAND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45194</v>
      </c>
      <c r="E457" s="1" t="n">
        <v>46257</v>
      </c>
      <c r="F457" t="inlineStr">
        <is>
          <t>VÄSTERNORRLANDS LÄN</t>
        </is>
      </c>
      <c r="G457" t="inlineStr">
        <is>
          <t>HÄRNÖSAND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46257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46257</v>
      </c>
      <c r="F459" t="inlineStr">
        <is>
          <t>VÄSTERNORRLANDS LÄN</t>
        </is>
      </c>
      <c r="G459" t="inlineStr">
        <is>
          <t>HÄRNÖSAND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45505</v>
      </c>
      <c r="E460" s="1" t="n">
        <v>46257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46320-2022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46257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Kyrkan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25981-2026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46257</v>
      </c>
      <c r="F462" t="inlineStr">
        <is>
          <t>VÄSTERNORRLANDS LÄN</t>
        </is>
      </c>
      <c r="G462" t="inlineStr">
        <is>
          <t>HÄRNÖSAND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46257</v>
      </c>
      <c r="F463" t="inlineStr">
        <is>
          <t>VÄSTERNORRLANDS LÄN</t>
        </is>
      </c>
      <c r="G463" t="inlineStr">
        <is>
          <t>HÄRNÖSAND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46257</v>
      </c>
      <c r="F464" t="inlineStr">
        <is>
          <t>VÄSTERNORRLANDS LÄN</t>
        </is>
      </c>
      <c r="G464" t="inlineStr">
        <is>
          <t>HÄRNÖSAND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46319-2022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44847</v>
      </c>
      <c r="E465" s="1" t="n">
        <v>46257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Kyrkan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46257</v>
      </c>
      <c r="F466" t="inlineStr">
        <is>
          <t>VÄSTERNORRLANDS LÄN</t>
        </is>
      </c>
      <c r="G466" t="inlineStr">
        <is>
          <t>HÄRNÖSAND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46087</v>
      </c>
      <c r="E467" s="1" t="n">
        <v>46257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Övriga statliga verk och myndigheter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45723</v>
      </c>
      <c r="E468" s="1" t="n">
        <v>46257</v>
      </c>
      <c r="F468" t="inlineStr">
        <is>
          <t>VÄSTERNORRLANDS LÄN</t>
        </is>
      </c>
      <c r="G468" t="inlineStr">
        <is>
          <t>HÄRNÖSAND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29279-2024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45482</v>
      </c>
      <c r="E469" s="1" t="n">
        <v>46257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46257</v>
      </c>
      <c r="F470" t="inlineStr">
        <is>
          <t>VÄSTERNORRLANDS LÄN</t>
        </is>
      </c>
      <c r="G470" t="inlineStr">
        <is>
          <t>HÄRNÖSAND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46257</v>
      </c>
      <c r="F471" t="inlineStr">
        <is>
          <t>VÄSTERNORRLANDS LÄN</t>
        </is>
      </c>
      <c r="G471" t="inlineStr">
        <is>
          <t>HÄRNÖSAND</t>
        </is>
      </c>
      <c r="I471" t="n">
        <v>9.9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45328</v>
      </c>
      <c r="E472" s="1" t="n">
        <v>46257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46257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46257</v>
      </c>
      <c r="F474" t="inlineStr">
        <is>
          <t>VÄSTERNORRLANDS LÄN</t>
        </is>
      </c>
      <c r="G474" t="inlineStr">
        <is>
          <t>HÄRNÖSAND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12650-2026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46091</v>
      </c>
      <c r="E475" s="1" t="n">
        <v>46257</v>
      </c>
      <c r="F475" t="inlineStr">
        <is>
          <t>VÄSTERNORRLANDS LÄN</t>
        </is>
      </c>
      <c r="G475" t="inlineStr">
        <is>
          <t>HÄRNÖSAND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46091</v>
      </c>
      <c r="E476" s="1" t="n">
        <v>46257</v>
      </c>
      <c r="F476" t="inlineStr">
        <is>
          <t>VÄSTERNORRLANDS LÄN</t>
        </is>
      </c>
      <c r="G476" t="inlineStr">
        <is>
          <t>HÄRNÖSAND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46257</v>
      </c>
      <c r="F477" t="inlineStr">
        <is>
          <t>VÄSTERNORRLANDS LÄN</t>
        </is>
      </c>
      <c r="G477" t="inlineStr">
        <is>
          <t>HÄRNÖSAND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45390</v>
      </c>
      <c r="E478" s="1" t="n">
        <v>46257</v>
      </c>
      <c r="F478" t="inlineStr">
        <is>
          <t>VÄSTERNORRLANDS LÄN</t>
        </is>
      </c>
      <c r="G478" t="inlineStr">
        <is>
          <t>HÄRNÖSAND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45800</v>
      </c>
      <c r="E479" s="1" t="n">
        <v>46257</v>
      </c>
      <c r="F479" t="inlineStr">
        <is>
          <t>VÄSTERNORRLANDS LÄN</t>
        </is>
      </c>
      <c r="G479" t="inlineStr">
        <is>
          <t>HÄRNÖSAND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46257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60970-2021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44496</v>
      </c>
      <c r="E481" s="1" t="n">
        <v>46257</v>
      </c>
      <c r="F481" t="inlineStr">
        <is>
          <t>VÄSTERNORRLANDS LÄN</t>
        </is>
      </c>
      <c r="G481" t="inlineStr">
        <is>
          <t>HÄRNÖSAND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52987-2022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44875</v>
      </c>
      <c r="E482" s="1" t="n">
        <v>46257</v>
      </c>
      <c r="F482" t="inlineStr">
        <is>
          <t>VÄSTERNORRLANDS LÄN</t>
        </is>
      </c>
      <c r="G482" t="inlineStr">
        <is>
          <t>HÄRNÖSAND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47702-2021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44448</v>
      </c>
      <c r="E483" s="1" t="n">
        <v>46257</v>
      </c>
      <c r="F483" t="inlineStr">
        <is>
          <t>VÄSTERNORRLANDS LÄN</t>
        </is>
      </c>
      <c r="G483" t="inlineStr">
        <is>
          <t>HÄRNÖSAND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46257</v>
      </c>
      <c r="F484" t="inlineStr">
        <is>
          <t>VÄSTERNORRLANDS LÄN</t>
        </is>
      </c>
      <c r="G484" t="inlineStr">
        <is>
          <t>HÄRNÖSAND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69269-2021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44531</v>
      </c>
      <c r="E485" s="1" t="n">
        <v>46257</v>
      </c>
      <c r="F485" t="inlineStr">
        <is>
          <t>VÄSTERNORRLANDS LÄN</t>
        </is>
      </c>
      <c r="G485" t="inlineStr">
        <is>
          <t>HÄRNÖSAND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45729</v>
      </c>
      <c r="E486" s="1" t="n">
        <v>46257</v>
      </c>
      <c r="F486" t="inlineStr">
        <is>
          <t>VÄSTERNORRLANDS LÄN</t>
        </is>
      </c>
      <c r="G486" t="inlineStr">
        <is>
          <t>HÄRNÖSAND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45545</v>
      </c>
      <c r="E487" s="1" t="n">
        <v>46257</v>
      </c>
      <c r="F487" t="inlineStr">
        <is>
          <t>VÄSTERNORRLANDS LÄN</t>
        </is>
      </c>
      <c r="G487" t="inlineStr">
        <is>
          <t>HÄRNÖSAND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46257</v>
      </c>
      <c r="F488" t="inlineStr">
        <is>
          <t>VÄSTERNORRLANDS LÄN</t>
        </is>
      </c>
      <c r="G488" t="inlineStr">
        <is>
          <t>HÄRNÖSAND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46257</v>
      </c>
      <c r="F489" t="inlineStr">
        <is>
          <t>VÄSTERNORRLANDS LÄN</t>
        </is>
      </c>
      <c r="G489" t="inlineStr">
        <is>
          <t>HÄRNÖSAND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46257</v>
      </c>
      <c r="F490" t="inlineStr">
        <is>
          <t>VÄSTERNORRLANDS LÄN</t>
        </is>
      </c>
      <c r="G490" t="inlineStr">
        <is>
          <t>HÄRNÖSAND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49346-2024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45595</v>
      </c>
      <c r="E491" s="1" t="n">
        <v>46257</v>
      </c>
      <c r="F491" t="inlineStr">
        <is>
          <t>VÄSTERNORRLANDS LÄN</t>
        </is>
      </c>
      <c r="G491" t="inlineStr">
        <is>
          <t>HÄRNÖSAND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49364-2024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46257</v>
      </c>
      <c r="F492" t="inlineStr">
        <is>
          <t>VÄSTERNORRLANDS LÄN</t>
        </is>
      </c>
      <c r="G492" t="inlineStr">
        <is>
          <t>HÄRNÖSAND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46257</v>
      </c>
      <c r="F493" t="inlineStr">
        <is>
          <t>VÄSTERNORRLANDS LÄN</t>
        </is>
      </c>
      <c r="G493" t="inlineStr">
        <is>
          <t>HÄRNÖSAND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46257</v>
      </c>
      <c r="F494" t="inlineStr">
        <is>
          <t>VÄSTERNORRLANDS LÄN</t>
        </is>
      </c>
      <c r="G494" t="inlineStr">
        <is>
          <t>HÄRNÖSAND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46257</v>
      </c>
      <c r="F495" t="inlineStr">
        <is>
          <t>VÄSTERNORRLANDS LÄN</t>
        </is>
      </c>
      <c r="G495" t="inlineStr">
        <is>
          <t>HÄRNÖSAND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64377-2023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46257</v>
      </c>
      <c r="F496" t="inlineStr">
        <is>
          <t>VÄSTERNORRLANDS LÄN</t>
        </is>
      </c>
      <c r="G496" t="inlineStr">
        <is>
          <t>HÄRNÖSAND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46257</v>
      </c>
      <c r="F497" t="inlineStr">
        <is>
          <t>VÄSTERNORRLANDS LÄN</t>
        </is>
      </c>
      <c r="G497" t="inlineStr">
        <is>
          <t>HÄRNÖSAND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46257</v>
      </c>
      <c r="F498" t="inlineStr">
        <is>
          <t>VÄSTERNORRLANDS LÄN</t>
        </is>
      </c>
      <c r="G498" t="inlineStr">
        <is>
          <t>HÄRNÖSAND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46257</v>
      </c>
      <c r="F499" t="inlineStr">
        <is>
          <t>VÄSTERNORRLANDS LÄN</t>
        </is>
      </c>
      <c r="G499" t="inlineStr">
        <is>
          <t>HÄRNÖSAND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44694</v>
      </c>
      <c r="E500" s="1" t="n">
        <v>46257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46191</v>
      </c>
      <c r="E501" s="1" t="n">
        <v>46257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46257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46105</v>
      </c>
      <c r="E503" s="1" t="n">
        <v>46257</v>
      </c>
      <c r="F503" t="inlineStr">
        <is>
          <t>VÄSTERNORRLANDS LÄN</t>
        </is>
      </c>
      <c r="G503" t="inlineStr">
        <is>
          <t>HÄRNÖSAND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32293-2026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46237</v>
      </c>
      <c r="E504" s="1" t="n">
        <v>46257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27912-2022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44743</v>
      </c>
      <c r="E505" s="1" t="n">
        <v>46257</v>
      </c>
      <c r="F505" t="inlineStr">
        <is>
          <t>VÄSTERNORRLANDS LÄN</t>
        </is>
      </c>
      <c r="G505" t="inlineStr">
        <is>
          <t>HÄRNÖSAND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46257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37172-2022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44806</v>
      </c>
      <c r="E507" s="1" t="n">
        <v>46257</v>
      </c>
      <c r="F507" t="inlineStr">
        <is>
          <t>VÄSTERNORRLANDS LÄN</t>
        </is>
      </c>
      <c r="G507" t="inlineStr">
        <is>
          <t>HÄRNÖSAND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37172-2022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44806</v>
      </c>
      <c r="E508" s="1" t="n">
        <v>46257</v>
      </c>
      <c r="F508" t="inlineStr">
        <is>
          <t>VÄSTERNORRLANDS LÄN</t>
        </is>
      </c>
      <c r="G508" t="inlineStr">
        <is>
          <t>HÄRNÖSAND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46257</v>
      </c>
      <c r="F509" t="inlineStr">
        <is>
          <t>VÄSTERNORRLANDS LÄN</t>
        </is>
      </c>
      <c r="G509" t="inlineStr">
        <is>
          <t>HÄRNÖSAND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46257</v>
      </c>
      <c r="F510" t="inlineStr">
        <is>
          <t>VÄSTERNORRLANDS LÄN</t>
        </is>
      </c>
      <c r="G510" t="inlineStr">
        <is>
          <t>HÄRNÖSAND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46257</v>
      </c>
      <c r="F511" t="inlineStr">
        <is>
          <t>VÄSTERNORRLANDS LÄN</t>
        </is>
      </c>
      <c r="G511" t="inlineStr">
        <is>
          <t>HÄRNÖSAND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46257</v>
      </c>
      <c r="F512" t="inlineStr">
        <is>
          <t>VÄSTERNORRLANDS LÄN</t>
        </is>
      </c>
      <c r="G512" t="inlineStr">
        <is>
          <t>HÄRNÖSAND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46257</v>
      </c>
      <c r="F513" t="inlineStr">
        <is>
          <t>VÄSTERNORRLANDS LÄN</t>
        </is>
      </c>
      <c r="G513" t="inlineStr">
        <is>
          <t>HÄRNÖSAND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46239</v>
      </c>
      <c r="E514" s="1" t="n">
        <v>46257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46257</v>
      </c>
      <c r="F515" t="inlineStr">
        <is>
          <t>VÄSTERNORRLANDS LÄN</t>
        </is>
      </c>
      <c r="G515" t="inlineStr">
        <is>
          <t>HÄRNÖSAND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46257</v>
      </c>
      <c r="F516" t="inlineStr">
        <is>
          <t>VÄSTERNORRLANDS LÄN</t>
        </is>
      </c>
      <c r="G516" t="inlineStr">
        <is>
          <t>HÄRNÖSAND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46257</v>
      </c>
      <c r="F517" t="inlineStr">
        <is>
          <t>VÄSTERNORRLANDS LÄN</t>
        </is>
      </c>
      <c r="G517" t="inlineStr">
        <is>
          <t>HÄRNÖSAND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55058-2023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45229</v>
      </c>
      <c r="E518" s="1" t="n">
        <v>46257</v>
      </c>
      <c r="F518" t="inlineStr">
        <is>
          <t>VÄSTERNORRLANDS LÄN</t>
        </is>
      </c>
      <c r="G518" t="inlineStr">
        <is>
          <t>HÄRNÖSAND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15930-2026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46107</v>
      </c>
      <c r="E519" s="1" t="n">
        <v>46257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46257</v>
      </c>
      <c r="F520" t="inlineStr">
        <is>
          <t>VÄSTERNORRLANDS LÄN</t>
        </is>
      </c>
      <c r="G520" t="inlineStr">
        <is>
          <t>HÄRNÖSAND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46257</v>
      </c>
      <c r="F521" t="inlineStr">
        <is>
          <t>VÄSTERNORRLANDS LÄN</t>
        </is>
      </c>
      <c r="G521" t="inlineStr">
        <is>
          <t>HÄRNÖSAND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46257</v>
      </c>
      <c r="F522" t="inlineStr">
        <is>
          <t>VÄSTERNORRLANDS LÄN</t>
        </is>
      </c>
      <c r="G522" t="inlineStr">
        <is>
          <t>HÄRNÖSAND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46257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46257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16835-2026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46113</v>
      </c>
      <c r="E525" s="1" t="n">
        <v>46257</v>
      </c>
      <c r="F525" t="inlineStr">
        <is>
          <t>VÄSTERNORRLANDS LÄN</t>
        </is>
      </c>
      <c r="G525" t="inlineStr">
        <is>
          <t>HÄRNÖSAND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46257</v>
      </c>
      <c r="F526" t="inlineStr">
        <is>
          <t>VÄSTERNORRLANDS LÄN</t>
        </is>
      </c>
      <c r="G526" t="inlineStr">
        <is>
          <t>HÄRNÖSAND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44991</v>
      </c>
      <c r="E527" s="1" t="n">
        <v>46257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46257</v>
      </c>
      <c r="F528" t="inlineStr">
        <is>
          <t>VÄSTERNORRLANDS LÄN</t>
        </is>
      </c>
      <c r="G528" t="inlineStr">
        <is>
          <t>HÄRNÖSAND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58869-2023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45250</v>
      </c>
      <c r="E529" s="1" t="n">
        <v>46257</v>
      </c>
      <c r="F529" t="inlineStr">
        <is>
          <t>VÄSTERNORRLANDS LÄN</t>
        </is>
      </c>
      <c r="G529" t="inlineStr">
        <is>
          <t>HÄRNÖSAND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46257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31.9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46257</v>
      </c>
      <c r="F531" t="inlineStr">
        <is>
          <t>VÄSTERNORRLANDS LÄN</t>
        </is>
      </c>
      <c r="G531" t="inlineStr">
        <is>
          <t>HÄRNÖSAND</t>
        </is>
      </c>
      <c r="I531" t="n">
        <v>14.2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46257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64749-2023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45281</v>
      </c>
      <c r="E533" s="1" t="n">
        <v>46257</v>
      </c>
      <c r="F533" t="inlineStr">
        <is>
          <t>VÄSTERNORRLANDS LÄN</t>
        </is>
      </c>
      <c r="G533" t="inlineStr">
        <is>
          <t>HÄRNÖSAND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21927-2026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46257</v>
      </c>
      <c r="F534" t="inlineStr">
        <is>
          <t>VÄSTERNORRLANDS LÄN</t>
        </is>
      </c>
      <c r="G534" t="inlineStr">
        <is>
          <t>HÄRNÖSAND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46257</v>
      </c>
      <c r="F535" t="inlineStr">
        <is>
          <t>VÄSTERNORRLANDS LÄN</t>
        </is>
      </c>
      <c r="G535" t="inlineStr">
        <is>
          <t>HÄRNÖSAND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46133</v>
      </c>
      <c r="E536" s="1" t="n">
        <v>46257</v>
      </c>
      <c r="F536" t="inlineStr">
        <is>
          <t>VÄSTERNORRLANDS LÄN</t>
        </is>
      </c>
      <c r="G536" t="inlineStr">
        <is>
          <t>HÄRNÖSAND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44957</v>
      </c>
      <c r="E537" s="1" t="n">
        <v>46257</v>
      </c>
      <c r="F537" t="inlineStr">
        <is>
          <t>VÄSTERNORRLANDS LÄN</t>
        </is>
      </c>
      <c r="G537" t="inlineStr">
        <is>
          <t>HÄRNÖSAND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46257</v>
      </c>
      <c r="F538" t="inlineStr">
        <is>
          <t>VÄSTERNORRLANDS LÄN</t>
        </is>
      </c>
      <c r="G538" t="inlineStr">
        <is>
          <t>HÄRNÖSAND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46257</v>
      </c>
      <c r="F539" t="inlineStr">
        <is>
          <t>VÄSTERNORRLANDS LÄN</t>
        </is>
      </c>
      <c r="G539" t="inlineStr">
        <is>
          <t>HÄRNÖSAND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45265</v>
      </c>
      <c r="E540" s="1" t="n">
        <v>46257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46257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Kyrkan</t>
        </is>
      </c>
      <c r="I541" t="n">
        <v>24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27977-2024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45476</v>
      </c>
      <c r="E542" s="1" t="n">
        <v>46257</v>
      </c>
      <c r="F542" t="inlineStr">
        <is>
          <t>VÄSTERNORRLANDS LÄN</t>
        </is>
      </c>
      <c r="G542" t="inlineStr">
        <is>
          <t>HÄRNÖSAND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46257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46257</v>
      </c>
      <c r="F544" t="inlineStr">
        <is>
          <t>VÄSTERNORRLANDS LÄN</t>
        </is>
      </c>
      <c r="G544" t="inlineStr">
        <is>
          <t>HÄRNÖSAND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19317-2026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46257</v>
      </c>
      <c r="F545" t="inlineStr">
        <is>
          <t>VÄSTERNORRLANDS LÄN</t>
        </is>
      </c>
      <c r="G545" t="inlineStr">
        <is>
          <t>HÄRNÖSAND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46257</v>
      </c>
      <c r="F546" t="inlineStr">
        <is>
          <t>VÄSTERNORRLANDS LÄN</t>
        </is>
      </c>
      <c r="G546" t="inlineStr">
        <is>
          <t>HÄRNÖSAND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46257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46257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48047-2022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44855</v>
      </c>
      <c r="E549" s="1" t="n">
        <v>46257</v>
      </c>
      <c r="F549" t="inlineStr">
        <is>
          <t>VÄSTERNORRLANDS LÄN</t>
        </is>
      </c>
      <c r="G549" t="inlineStr">
        <is>
          <t>HÄRNÖSAND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56395-2022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46257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Kyrkan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46257</v>
      </c>
      <c r="F551" t="inlineStr">
        <is>
          <t>VÄSTERNORRLANDS LÄN</t>
        </is>
      </c>
      <c r="G551" t="inlineStr">
        <is>
          <t>HÄRNÖSAND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46257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46257</v>
      </c>
      <c r="F553" t="inlineStr">
        <is>
          <t>VÄSTERNORRLANDS LÄN</t>
        </is>
      </c>
      <c r="G553" t="inlineStr">
        <is>
          <t>HÄRNÖSAND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46257</v>
      </c>
      <c r="F554" t="inlineStr">
        <is>
          <t>VÄSTERNORRLANDS LÄN</t>
        </is>
      </c>
      <c r="G554" t="inlineStr">
        <is>
          <t>HÄRNÖSAND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46257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46257</v>
      </c>
      <c r="F556" t="inlineStr">
        <is>
          <t>VÄSTERNORRLANDS LÄN</t>
        </is>
      </c>
      <c r="G556" t="inlineStr">
        <is>
          <t>HÄRNÖSAND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46257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46257</v>
      </c>
      <c r="F558" t="inlineStr">
        <is>
          <t>VÄSTERNORRLANDS LÄN</t>
        </is>
      </c>
      <c r="G558" t="inlineStr">
        <is>
          <t>HÄRNÖSAND</t>
        </is>
      </c>
      <c r="I558" t="n">
        <v>14.6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46257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44945</v>
      </c>
      <c r="E560" s="1" t="n">
        <v>46257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46257</v>
      </c>
      <c r="F561" t="inlineStr">
        <is>
          <t>VÄSTERNORRLANDS LÄN</t>
        </is>
      </c>
      <c r="G561" t="inlineStr">
        <is>
          <t>HÄRNÖSAND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46257</v>
      </c>
      <c r="F562" t="inlineStr">
        <is>
          <t>VÄSTERNORRLANDS LÄN</t>
        </is>
      </c>
      <c r="G562" t="inlineStr">
        <is>
          <t>HÄRNÖSAND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30017-2026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46257</v>
      </c>
      <c r="F563" t="inlineStr">
        <is>
          <t>VÄSTERNORRLANDS LÄN</t>
        </is>
      </c>
      <c r="G563" t="inlineStr">
        <is>
          <t>HÄRNÖSAND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45800</v>
      </c>
      <c r="E564" s="1" t="n">
        <v>46257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46257</v>
      </c>
      <c r="F565" t="inlineStr">
        <is>
          <t>VÄSTERNORRLANDS LÄN</t>
        </is>
      </c>
      <c r="G565" t="inlineStr">
        <is>
          <t>HÄRNÖSAND</t>
        </is>
      </c>
      <c r="I565" t="n">
        <v>7.9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46257</v>
      </c>
      <c r="F566" t="inlineStr">
        <is>
          <t>VÄSTERNORRLANDS LÄN</t>
        </is>
      </c>
      <c r="G566" t="inlineStr">
        <is>
          <t>HÄRNÖSAND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46248</v>
      </c>
      <c r="E567" s="1" t="n">
        <v>46257</v>
      </c>
      <c r="F567" t="inlineStr">
        <is>
          <t>VÄSTERNORRLANDS LÄN</t>
        </is>
      </c>
      <c r="G567" t="inlineStr">
        <is>
          <t>HÄRNÖSAND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59034-2022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44903</v>
      </c>
      <c r="E568" s="1" t="n">
        <v>46257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46257</v>
      </c>
      <c r="F569" t="inlineStr">
        <is>
          <t>VÄSTERNORRLANDS LÄN</t>
        </is>
      </c>
      <c r="G569" t="inlineStr">
        <is>
          <t>HÄRNÖSAND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45251</v>
      </c>
      <c r="E570" s="1" t="n">
        <v>46257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46257</v>
      </c>
      <c r="F571" t="inlineStr">
        <is>
          <t>VÄSTERNORRLANDS LÄN</t>
        </is>
      </c>
      <c r="G571" t="inlineStr">
        <is>
          <t>HÄRNÖSAND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45512</v>
      </c>
      <c r="E572" s="1" t="n">
        <v>46257</v>
      </c>
      <c r="F572" t="inlineStr">
        <is>
          <t>VÄSTERNORRLANDS LÄN</t>
        </is>
      </c>
      <c r="G572" t="inlineStr">
        <is>
          <t>HÄRNÖSAND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46257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44497</v>
      </c>
      <c r="E574" s="1" t="n">
        <v>46257</v>
      </c>
      <c r="F574" t="inlineStr">
        <is>
          <t>VÄSTERNORRLANDS LÄN</t>
        </is>
      </c>
      <c r="G574" t="inlineStr">
        <is>
          <t>HÄRNÖSAND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62333-2021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44502</v>
      </c>
      <c r="E575" s="1" t="n">
        <v>46257</v>
      </c>
      <c r="F575" t="inlineStr">
        <is>
          <t>VÄSTERNORRLANDS LÄN</t>
        </is>
      </c>
      <c r="G575" t="inlineStr">
        <is>
          <t>HÄRNÖSAND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8417-2026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46065</v>
      </c>
      <c r="E576" s="1" t="n">
        <v>46257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Kyrkan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4092-2024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46257</v>
      </c>
      <c r="F577" t="inlineStr">
        <is>
          <t>VÄSTERNORRLANDS LÄN</t>
        </is>
      </c>
      <c r="G577" t="inlineStr">
        <is>
          <t>HÄRNÖSAND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19900-2025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45771</v>
      </c>
      <c r="E578" s="1" t="n">
        <v>46257</v>
      </c>
      <c r="F578" t="inlineStr">
        <is>
          <t>VÄSTERNORRLANDS LÄN</t>
        </is>
      </c>
      <c r="G578" t="inlineStr">
        <is>
          <t>HÄRNÖSAND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46257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46213</v>
      </c>
      <c r="E580" s="1" t="n">
        <v>46257</v>
      </c>
      <c r="F580" t="inlineStr">
        <is>
          <t>VÄSTERNORRLANDS LÄN</t>
        </is>
      </c>
      <c r="G580" t="inlineStr">
        <is>
          <t>HÄRNÖSAND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45639</v>
      </c>
      <c r="E581" s="1" t="n">
        <v>46257</v>
      </c>
      <c r="F581" t="inlineStr">
        <is>
          <t>VÄSTERNORRLANDS LÄN</t>
        </is>
      </c>
      <c r="G581" t="inlineStr">
        <is>
          <t>HÄRNÖSAND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8220-2022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44609</v>
      </c>
      <c r="E582" s="1" t="n">
        <v>46257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Övriga statliga verk och myndigheter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45904</v>
      </c>
      <c r="E583" s="1" t="n">
        <v>46257</v>
      </c>
      <c r="F583" t="inlineStr">
        <is>
          <t>VÄSTERNORRLANDS LÄN</t>
        </is>
      </c>
      <c r="G583" t="inlineStr">
        <is>
          <t>HÄRNÖSAND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46257</v>
      </c>
      <c r="F584" t="inlineStr">
        <is>
          <t>VÄSTERNORRLANDS LÄN</t>
        </is>
      </c>
      <c r="G584" t="inlineStr">
        <is>
          <t>HÄRNÖSAND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46213</v>
      </c>
      <c r="E585" s="1" t="n">
        <v>46257</v>
      </c>
      <c r="F585" t="inlineStr">
        <is>
          <t>VÄSTERNORRLANDS LÄN</t>
        </is>
      </c>
      <c r="G585" t="inlineStr">
        <is>
          <t>HÄRNÖSAND</t>
        </is>
      </c>
      <c r="I585" t="n">
        <v>13.6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46024</v>
      </c>
      <c r="E586" s="1" t="n">
        <v>46257</v>
      </c>
      <c r="F586" t="inlineStr">
        <is>
          <t>VÄSTERNORRLANDS LÄN</t>
        </is>
      </c>
      <c r="G586" t="inlineStr">
        <is>
          <t>HÄRNÖSAND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46257</v>
      </c>
      <c r="F587" t="inlineStr">
        <is>
          <t>VÄSTERNORRLANDS LÄN</t>
        </is>
      </c>
      <c r="G587" t="inlineStr">
        <is>
          <t>HÄRNÖSAND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44952</v>
      </c>
      <c r="E588" s="1" t="n">
        <v>46257</v>
      </c>
      <c r="F588" t="inlineStr">
        <is>
          <t>VÄSTERNORRLANDS LÄN</t>
        </is>
      </c>
      <c r="G588" t="inlineStr">
        <is>
          <t>HÄRNÖSAND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46257</v>
      </c>
      <c r="F589" t="inlineStr">
        <is>
          <t>VÄSTERNORRLANDS LÄN</t>
        </is>
      </c>
      <c r="G589" t="inlineStr">
        <is>
          <t>HÄRNÖSAND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45825</v>
      </c>
      <c r="E590" s="1" t="n">
        <v>46257</v>
      </c>
      <c r="F590" t="inlineStr">
        <is>
          <t>VÄSTERNORRLANDS LÄN</t>
        </is>
      </c>
      <c r="G590" t="inlineStr">
        <is>
          <t>HÄRNÖSAND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28319-2022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44747</v>
      </c>
      <c r="E591" s="1" t="n">
        <v>46257</v>
      </c>
      <c r="F591" t="inlineStr">
        <is>
          <t>VÄSTERNORRLANDS LÄN</t>
        </is>
      </c>
      <c r="G591" t="inlineStr">
        <is>
          <t>HÄRNÖSAND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45526</v>
      </c>
      <c r="E592" s="1" t="n">
        <v>46257</v>
      </c>
      <c r="F592" t="inlineStr">
        <is>
          <t>VÄSTERNORRLANDS LÄN</t>
        </is>
      </c>
      <c r="G592" t="inlineStr">
        <is>
          <t>HÄRNÖSAND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36496-2023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45152</v>
      </c>
      <c r="E593" s="1" t="n">
        <v>46257</v>
      </c>
      <c r="F593" t="inlineStr">
        <is>
          <t>VÄSTERNORRLANDS LÄN</t>
        </is>
      </c>
      <c r="G593" t="inlineStr">
        <is>
          <t>HÄRNÖSAND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45099</v>
      </c>
      <c r="E594" s="1" t="n">
        <v>46257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34011-2024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45523</v>
      </c>
      <c r="E595" s="1" t="n">
        <v>46257</v>
      </c>
      <c r="F595" t="inlineStr">
        <is>
          <t>VÄSTERNORRLANDS LÄN</t>
        </is>
      </c>
      <c r="G595" t="inlineStr">
        <is>
          <t>HÄRNÖSAND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38920-2025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45887</v>
      </c>
      <c r="E596" s="1" t="n">
        <v>46257</v>
      </c>
      <c r="F596" t="inlineStr">
        <is>
          <t>VÄSTERNORRLANDS LÄN</t>
        </is>
      </c>
      <c r="G596" t="inlineStr">
        <is>
          <t>HÄRNÖSAND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33156-2025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45840</v>
      </c>
      <c r="E597" s="1" t="n">
        <v>46257</v>
      </c>
      <c r="F597" t="inlineStr">
        <is>
          <t>VÄSTERNORRLANDS LÄN</t>
        </is>
      </c>
      <c r="G597" t="inlineStr">
        <is>
          <t>HÄRNÖSAND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46257</v>
      </c>
      <c r="F598" t="inlineStr">
        <is>
          <t>VÄSTERNORRLANDS LÄN</t>
        </is>
      </c>
      <c r="G598" t="inlineStr">
        <is>
          <t>HÄRNÖSAND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46257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57154-2024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45629</v>
      </c>
      <c r="E600" s="1" t="n">
        <v>46257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12533-2023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45000</v>
      </c>
      <c r="E601" s="1" t="n">
        <v>46257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12543-2023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45000</v>
      </c>
      <c r="E602" s="1" t="n">
        <v>46257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46142</v>
      </c>
      <c r="E603" s="1" t="n">
        <v>46257</v>
      </c>
      <c r="F603" t="inlineStr">
        <is>
          <t>VÄSTERNORRLANDS LÄN</t>
        </is>
      </c>
      <c r="G603" t="inlineStr">
        <is>
          <t>HÄRNÖSAND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39954-2022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44819</v>
      </c>
      <c r="E604" s="1" t="n">
        <v>46257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18348-2025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46257</v>
      </c>
      <c r="F605" t="inlineStr">
        <is>
          <t>VÄSTERNORRLANDS LÄN</t>
        </is>
      </c>
      <c r="G605" t="inlineStr">
        <is>
          <t>HÄRNÖSAND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46273-2021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44442</v>
      </c>
      <c r="E606" s="1" t="n">
        <v>46257</v>
      </c>
      <c r="F606" t="inlineStr">
        <is>
          <t>VÄSTERNORRLANDS LÄN</t>
        </is>
      </c>
      <c r="G606" t="inlineStr">
        <is>
          <t>HÄRNÖSAND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45163</v>
      </c>
      <c r="E607" s="1" t="n">
        <v>46257</v>
      </c>
      <c r="F607" t="inlineStr">
        <is>
          <t>VÄSTERNORRLANDS LÄN</t>
        </is>
      </c>
      <c r="G607" t="inlineStr">
        <is>
          <t>HÄRNÖSAND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46257</v>
      </c>
      <c r="F608" t="inlineStr">
        <is>
          <t>VÄSTERNORRLANDS LÄN</t>
        </is>
      </c>
      <c r="G608" t="inlineStr">
        <is>
          <t>HÄRNÖSAND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46257</v>
      </c>
      <c r="F609" t="inlineStr">
        <is>
          <t>VÄSTERNORRLANDS LÄN</t>
        </is>
      </c>
      <c r="G609" t="inlineStr">
        <is>
          <t>HÄRNÖSAND</t>
        </is>
      </c>
      <c r="I609" t="n">
        <v>16.7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22200-2026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46257</v>
      </c>
      <c r="F610" t="inlineStr">
        <is>
          <t>VÄSTERNORRLANDS LÄN</t>
        </is>
      </c>
      <c r="G610" t="inlineStr">
        <is>
          <t>HÄRNÖSAND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46257</v>
      </c>
      <c r="F611" t="inlineStr">
        <is>
          <t>VÄSTERNORRLANDS LÄN</t>
        </is>
      </c>
      <c r="G611" t="inlineStr">
        <is>
          <t>HÄRNÖSAND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46257</v>
      </c>
      <c r="F612" t="inlineStr">
        <is>
          <t>VÄSTERNORRLANDS LÄN</t>
        </is>
      </c>
      <c r="G612" t="inlineStr">
        <is>
          <t>HÄRNÖSAND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46257</v>
      </c>
      <c r="F613" t="inlineStr">
        <is>
          <t>VÄSTERNORRLANDS LÄN</t>
        </is>
      </c>
      <c r="G613" t="inlineStr">
        <is>
          <t>HÄRNÖSAND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45930</v>
      </c>
      <c r="E614" s="1" t="n">
        <v>46257</v>
      </c>
      <c r="F614" t="inlineStr">
        <is>
          <t>VÄSTERNORRLANDS LÄN</t>
        </is>
      </c>
      <c r="G614" t="inlineStr">
        <is>
          <t>HÄRNÖSAND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46257</v>
      </c>
      <c r="F615" t="inlineStr">
        <is>
          <t>VÄSTERNORRLANDS LÄN</t>
        </is>
      </c>
      <c r="G615" t="inlineStr">
        <is>
          <t>HÄRNÖSAND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45776</v>
      </c>
      <c r="E616" s="1" t="n">
        <v>46257</v>
      </c>
      <c r="F616" t="inlineStr">
        <is>
          <t>VÄSTERNORRLANDS LÄN</t>
        </is>
      </c>
      <c r="G616" t="inlineStr">
        <is>
          <t>HÄRNÖSAND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20821-2025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45776</v>
      </c>
      <c r="E617" s="1" t="n">
        <v>46257</v>
      </c>
      <c r="F617" t="inlineStr">
        <is>
          <t>VÄSTERNORRLANDS LÄN</t>
        </is>
      </c>
      <c r="G617" t="inlineStr">
        <is>
          <t>HÄRNÖSAND</t>
        </is>
      </c>
      <c r="I617" t="n">
        <v>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21484-2025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45782</v>
      </c>
      <c r="E618" s="1" t="n">
        <v>46257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32.1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46257</v>
      </c>
      <c r="F619" t="inlineStr">
        <is>
          <t>VÄSTERNORRLANDS LÄN</t>
        </is>
      </c>
      <c r="G619" t="inlineStr">
        <is>
          <t>HÄRNÖSAND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46257</v>
      </c>
      <c r="F620" t="inlineStr">
        <is>
          <t>VÄSTERNORRLANDS LÄN</t>
        </is>
      </c>
      <c r="G620" t="inlineStr">
        <is>
          <t>HÄRNÖSAND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23185-2026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46161</v>
      </c>
      <c r="E621" s="1" t="n">
        <v>46257</v>
      </c>
      <c r="F621" t="inlineStr">
        <is>
          <t>VÄSTERNORRLANDS LÄN</t>
        </is>
      </c>
      <c r="G621" t="inlineStr">
        <is>
          <t>HÄRNÖSAND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45786</v>
      </c>
      <c r="E622" s="1" t="n">
        <v>46257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31.8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45790</v>
      </c>
      <c r="E623" s="1" t="n">
        <v>46257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46161</v>
      </c>
      <c r="E624" s="1" t="n">
        <v>46257</v>
      </c>
      <c r="F624" t="inlineStr">
        <is>
          <t>VÄSTERNORRLANDS LÄN</t>
        </is>
      </c>
      <c r="G624" t="inlineStr">
        <is>
          <t>HÄRNÖSAND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45782</v>
      </c>
      <c r="E625" s="1" t="n">
        <v>46257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12.3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46257</v>
      </c>
      <c r="F626" t="inlineStr">
        <is>
          <t>VÄSTERNORRLANDS LÄN</t>
        </is>
      </c>
      <c r="G626" t="inlineStr">
        <is>
          <t>HÄRNÖSAND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45813</v>
      </c>
      <c r="E627" s="1" t="n">
        <v>46257</v>
      </c>
      <c r="F627" t="inlineStr">
        <is>
          <t>VÄSTERNORRLANDS LÄN</t>
        </is>
      </c>
      <c r="G627" t="inlineStr">
        <is>
          <t>HÄRNÖSAND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46257</v>
      </c>
      <c r="F628" t="inlineStr">
        <is>
          <t>VÄSTERNORRLANDS LÄN</t>
        </is>
      </c>
      <c r="G628" t="inlineStr">
        <is>
          <t>HÄRNÖSAND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46257</v>
      </c>
      <c r="F629" t="inlineStr">
        <is>
          <t>VÄSTERNORRLANDS LÄN</t>
        </is>
      </c>
      <c r="G629" t="inlineStr">
        <is>
          <t>HÄRNÖSAND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46257</v>
      </c>
      <c r="F630" t="inlineStr">
        <is>
          <t>VÄSTERNORRLANDS LÄN</t>
        </is>
      </c>
      <c r="G630" t="inlineStr">
        <is>
          <t>HÄRNÖSAND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46257</v>
      </c>
      <c r="F631" t="inlineStr">
        <is>
          <t>VÄSTERNORRLANDS LÄN</t>
        </is>
      </c>
      <c r="G631" t="inlineStr">
        <is>
          <t>HÄRNÖSAND</t>
        </is>
      </c>
      <c r="I631" t="n">
        <v>15.6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46257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46257</v>
      </c>
      <c r="F633" t="inlineStr">
        <is>
          <t>VÄSTERNORRLANDS LÄN</t>
        </is>
      </c>
      <c r="G633" t="inlineStr">
        <is>
          <t>HÄRNÖSAND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23186-2026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46257</v>
      </c>
      <c r="F634" t="inlineStr">
        <is>
          <t>VÄSTERNORRLANDS LÄN</t>
        </is>
      </c>
      <c r="G634" t="inlineStr">
        <is>
          <t>HÄRNÖSAND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23233-2026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46162</v>
      </c>
      <c r="E635" s="1" t="n">
        <v>46257</v>
      </c>
      <c r="F635" t="inlineStr">
        <is>
          <t>VÄSTERNORRLANDS LÄN</t>
        </is>
      </c>
      <c r="G635" t="inlineStr">
        <is>
          <t>HÄRNÖSAND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45502-2024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45578</v>
      </c>
      <c r="E636" s="1" t="n">
        <v>46257</v>
      </c>
      <c r="F636" t="inlineStr">
        <is>
          <t>VÄSTERNORRLANDS LÄN</t>
        </is>
      </c>
      <c r="G636" t="inlineStr">
        <is>
          <t>HÄRNÖSAND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46162</v>
      </c>
      <c r="E637" s="1" t="n">
        <v>46257</v>
      </c>
      <c r="F637" t="inlineStr">
        <is>
          <t>VÄSTERNORRLANDS LÄN</t>
        </is>
      </c>
      <c r="G637" t="inlineStr">
        <is>
          <t>HÄRNÖSAND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31165-2025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45832</v>
      </c>
      <c r="E638" s="1" t="n">
        <v>46257</v>
      </c>
      <c r="F638" t="inlineStr">
        <is>
          <t>VÄSTERNORRLANDS LÄN</t>
        </is>
      </c>
      <c r="G638" t="inlineStr">
        <is>
          <t>HÄRNÖSAND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44590-2024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45574</v>
      </c>
      <c r="E639" s="1" t="n">
        <v>46257</v>
      </c>
      <c r="F639" t="inlineStr">
        <is>
          <t>VÄSTERNORRLANDS LÄN</t>
        </is>
      </c>
      <c r="G639" t="inlineStr">
        <is>
          <t>HÄRNÖSAND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45791</v>
      </c>
      <c r="E640" s="1" t="n">
        <v>46257</v>
      </c>
      <c r="F640" t="inlineStr">
        <is>
          <t>VÄSTERNORRLANDS LÄN</t>
        </is>
      </c>
      <c r="G640" t="inlineStr">
        <is>
          <t>HÄRNÖSAND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45342</v>
      </c>
      <c r="E641" s="1" t="n">
        <v>46257</v>
      </c>
      <c r="F641" t="inlineStr">
        <is>
          <t>VÄSTERNORRLANDS LÄN</t>
        </is>
      </c>
      <c r="G641" t="inlineStr">
        <is>
          <t>HÄRNÖSAND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45433</v>
      </c>
      <c r="E642" s="1" t="n">
        <v>46257</v>
      </c>
      <c r="F642" t="inlineStr">
        <is>
          <t>VÄSTERNORRLANDS LÄN</t>
        </is>
      </c>
      <c r="G642" t="inlineStr">
        <is>
          <t>HÄRNÖSAND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46257</v>
      </c>
      <c r="F643" t="inlineStr">
        <is>
          <t>VÄSTERNORRLANDS LÄN</t>
        </is>
      </c>
      <c r="G643" t="inlineStr">
        <is>
          <t>HÄRNÖSAND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45793</v>
      </c>
      <c r="E644" s="1" t="n">
        <v>46257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46257</v>
      </c>
      <c r="F645" t="inlineStr">
        <is>
          <t>VÄSTERNORRLANDS LÄN</t>
        </is>
      </c>
      <c r="G645" t="inlineStr">
        <is>
          <t>HÄRNÖSAND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44571</v>
      </c>
      <c r="E646" s="1" t="n">
        <v>46257</v>
      </c>
      <c r="F646" t="inlineStr">
        <is>
          <t>VÄSTERNORRLANDS LÄN</t>
        </is>
      </c>
      <c r="G646" t="inlineStr">
        <is>
          <t>HÄRNÖSAND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45266</v>
      </c>
      <c r="E647" s="1" t="n">
        <v>46257</v>
      </c>
      <c r="F647" t="inlineStr">
        <is>
          <t>VÄSTERNORRLANDS LÄN</t>
        </is>
      </c>
      <c r="G647" t="inlineStr">
        <is>
          <t>HÄRNÖSAND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45516</v>
      </c>
      <c r="E648" s="1" t="n">
        <v>46257</v>
      </c>
      <c r="F648" t="inlineStr">
        <is>
          <t>VÄSTERNORRLANDS LÄN</t>
        </is>
      </c>
      <c r="G648" t="inlineStr">
        <is>
          <t>HÄRNÖSAND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46257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34745-2023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45139</v>
      </c>
      <c r="E650" s="1" t="n">
        <v>46257</v>
      </c>
      <c r="F650" t="inlineStr">
        <is>
          <t>VÄSTERNORRLANDS LÄN</t>
        </is>
      </c>
      <c r="G650" t="inlineStr">
        <is>
          <t>HÄRNÖSAND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46257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46257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46257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46257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46257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46257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46257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46257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46257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2026-08-23T01:51:34Z</dcterms:created>
  <dcterms:modified xmlns:dcterms="http://purl.org/dc/terms/" xmlns:xsi="http://www.w3.org/2001/XMLSchema-instance" xsi:type="dcterms:W3CDTF">2026-08-23T01:51:35Z</dcterms:modified>
</cp:coreProperties>
</file>