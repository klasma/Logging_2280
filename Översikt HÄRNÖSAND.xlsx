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46289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46289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46289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46289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46289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46289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46289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46289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46289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46289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46289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46289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46289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46289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46289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46289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46289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46289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46289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46289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46289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46289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46289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46289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46289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46289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46289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46289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46289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46289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46289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46289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46289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46289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46289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46289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46289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46289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46289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46289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46289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46289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46289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46289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46289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46289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46289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46289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46289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46289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46289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46289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46289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46289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46289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46289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46289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46289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32857-2026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46244</v>
      </c>
      <c r="E63" s="1" t="n">
        <v>46289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1.9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Rynkskinn
Ullticka</t>
        </is>
      </c>
      <c r="W63">
        <f>HYPERLINK("https://klasma.github.io/Logging_2280/artfynd/A 32857-2026 artfynd.xlsx", "A 32857-2026")</f>
        <v/>
      </c>
      <c r="X63">
        <f>HYPERLINK("https://klasma.github.io/Logging_2280/kartor/A 32857-2026 karta.png", "A 32857-2026")</f>
        <v/>
      </c>
      <c r="Y63">
        <f>HYPERLINK("https://klasma.github.io/Logging_2280/kartor_geotiff/A 32857-2026 georefererad karta.tif", "A 32857-2026")</f>
        <v/>
      </c>
      <c r="AA63">
        <f>HYPERLINK("https://klasma.github.io/Logging_2280/klagomål/A 32857-2026 FSC-klagomål.docx", "A 32857-2026")</f>
        <v/>
      </c>
      <c r="AB63">
        <f>HYPERLINK("https://klasma.github.io/Logging_2280/klagomålsmail/A 32857-2026 FSC-klagomål mail.docx", "A 32857-2026")</f>
        <v/>
      </c>
      <c r="AC63">
        <f>HYPERLINK("https://klasma.github.io/Logging_2280/tillsyn/A 32857-2026 tillsynsbegäran.docx", "A 32857-2026")</f>
        <v/>
      </c>
      <c r="AD63">
        <f>HYPERLINK("https://klasma.github.io/Logging_2280/tillsynsmail/A 32857-2026 tillsynsbegäran mail.docx", "A 32857-2026")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46289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46289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20771-2026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46289</v>
      </c>
      <c r="F66" t="inlineStr">
        <is>
          <t>VÄSTERNORRLANDS LÄN</t>
        </is>
      </c>
      <c r="G66" t="inlineStr">
        <is>
          <t>HÄRNÖSAND</t>
        </is>
      </c>
      <c r="I66" t="n">
        <v>1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Nordfladdermus
Tajgafladdermus</t>
        </is>
      </c>
      <c r="W66">
        <f>HYPERLINK("https://klasma.github.io/Logging_2280/artfynd/A 20771-2026 artfynd.xlsx", "A 20771-2026")</f>
        <v/>
      </c>
      <c r="X66">
        <f>HYPERLINK("https://klasma.github.io/Logging_2280/kartor/A 20771-2026 karta.png", "A 20771-2026")</f>
        <v/>
      </c>
      <c r="Y66">
        <f>HYPERLINK("https://klasma.github.io/Logging_2280/kartor_geotiff/A 20771-2026 georefererad karta.tif", "A 20771-2026")</f>
        <v/>
      </c>
      <c r="AA66">
        <f>HYPERLINK("https://klasma.github.io/Logging_2280/klagomål/A 20771-2026 FSC-klagomål.docx", "A 20771-2026")</f>
        <v/>
      </c>
      <c r="AB66">
        <f>HYPERLINK("https://klasma.github.io/Logging_2280/klagomålsmail/A 20771-2026 FSC-klagomål mail.docx", "A 20771-2026")</f>
        <v/>
      </c>
      <c r="AC66">
        <f>HYPERLINK("https://klasma.github.io/Logging_2280/tillsyn/A 20771-2026 tillsynsbegäran.docx", "A 20771-2026")</f>
        <v/>
      </c>
      <c r="AD66">
        <f>HYPERLINK("https://klasma.github.io/Logging_2280/tillsynsmail/A 20771-2026 tillsynsbegäran mail.docx", "A 20771-2026")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46289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46289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46289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46289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46289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46289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61828-2024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45649</v>
      </c>
      <c r="E73" s="1" t="n">
        <v>46289</v>
      </c>
      <c r="F73" t="inlineStr">
        <is>
          <t>VÄSTERNORRLANDS LÄN</t>
        </is>
      </c>
      <c r="G73" t="inlineStr">
        <is>
          <t>HÄRNÖSAND</t>
        </is>
      </c>
      <c r="I73" t="n">
        <v>0.7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Luddfingersvamp</t>
        </is>
      </c>
      <c r="W73">
        <f>HYPERLINK("https://klasma.github.io/Logging_2280/artfynd/A 61828-2024 artfynd.xlsx", "A 61828-2024")</f>
        <v/>
      </c>
      <c r="X73">
        <f>HYPERLINK("https://klasma.github.io/Logging_2280/kartor/A 61828-2024 karta.png", "A 61828-2024")</f>
        <v/>
      </c>
      <c r="Y73">
        <f>HYPERLINK("https://klasma.github.io/Logging_2280/kartor_geotiff/A 61828-2024 georefererad karta.tif", "A 61828-2024")</f>
        <v/>
      </c>
      <c r="AA73">
        <f>HYPERLINK("https://klasma.github.io/Logging_2280/klagomål/A 61828-2024 FSC-klagomål.docx", "A 61828-2024")</f>
        <v/>
      </c>
      <c r="AB73">
        <f>HYPERLINK("https://klasma.github.io/Logging_2280/klagomålsmail/A 61828-2024 FSC-klagomål mail.docx", "A 61828-2024")</f>
        <v/>
      </c>
      <c r="AC73">
        <f>HYPERLINK("https://klasma.github.io/Logging_2280/tillsyn/A 61828-2024 tillsynsbegäran.docx", "A 61828-2024")</f>
        <v/>
      </c>
      <c r="AD73">
        <f>HYPERLINK("https://klasma.github.io/Logging_2280/tillsynsmail/A 61828-2024 tillsynsbegäran mail.docx", "A 61828-2024")</f>
        <v/>
      </c>
    </row>
    <row r="74" ht="15" customHeight="1">
      <c r="A74" t="inlineStr">
        <is>
          <t>A 45060-2025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46289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Gammelgransskål</t>
        </is>
      </c>
      <c r="W74">
        <f>HYPERLINK("https://klasma.github.io/Logging_2280/artfynd/A 45060-2025 artfynd.xlsx", "A 45060-2025")</f>
        <v/>
      </c>
      <c r="X74">
        <f>HYPERLINK("https://klasma.github.io/Logging_2280/kartor/A 45060-2025 karta.png", "A 45060-2025")</f>
        <v/>
      </c>
      <c r="Y74">
        <f>HYPERLINK("https://klasma.github.io/Logging_2280/kartor_geotiff/A 45060-2025 georefererad karta.tif", "A 45060-2025")</f>
        <v/>
      </c>
      <c r="AA74">
        <f>HYPERLINK("https://klasma.github.io/Logging_2280/klagomål/A 45060-2025 FSC-klagomål.docx", "A 45060-2025")</f>
        <v/>
      </c>
      <c r="AB74">
        <f>HYPERLINK("https://klasma.github.io/Logging_2280/klagomålsmail/A 45060-2025 FSC-klagomål mail.docx", "A 45060-2025")</f>
        <v/>
      </c>
      <c r="AC74">
        <f>HYPERLINK("https://klasma.github.io/Logging_2280/tillsyn/A 45060-2025 tillsynsbegäran.docx", "A 45060-2025")</f>
        <v/>
      </c>
      <c r="AD74">
        <f>HYPERLINK("https://klasma.github.io/Logging_2280/tillsynsmail/A 45060-2025 tillsynsbegäran mail.docx", "A 45060-2025")</f>
        <v/>
      </c>
    </row>
    <row r="75" ht="15" customHeight="1">
      <c r="A75" t="inlineStr">
        <is>
          <t>A 26174-2025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46289</v>
      </c>
      <c r="F75" t="inlineStr">
        <is>
          <t>VÄSTERNORRLANDS LÄN</t>
        </is>
      </c>
      <c r="G75" t="inlineStr">
        <is>
          <t>HÄRNÖSAND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HYPERLINK("https://klasma.github.io/Logging_2280/artfynd/A 26174-2025 artfynd.xlsx", "A 26174-2025")</f>
        <v/>
      </c>
      <c r="X75">
        <f>HYPERLINK("https://klasma.github.io/Logging_2280/kartor/A 26174-2025 karta.png", "A 26174-2025")</f>
        <v/>
      </c>
      <c r="Y75">
        <f>HYPERLINK("https://klasma.github.io/Logging_2280/kartor_geotiff/A 26174-2025 georefererad karta.tif", "A 26174-2025")</f>
        <v/>
      </c>
      <c r="AA75">
        <f>HYPERLINK("https://klasma.github.io/Logging_2280/klagomål/A 26174-2025 FSC-klagomål.docx", "A 26174-2025")</f>
        <v/>
      </c>
      <c r="AB75">
        <f>HYPERLINK("https://klasma.github.io/Logging_2280/klagomålsmail/A 26174-2025 FSC-klagomål mail.docx", "A 26174-2025")</f>
        <v/>
      </c>
      <c r="AC75">
        <f>HYPERLINK("https://klasma.github.io/Logging_2280/tillsyn/A 26174-2025 tillsynsbegäran.docx", "A 26174-2025")</f>
        <v/>
      </c>
      <c r="AD75">
        <f>HYPERLINK("https://klasma.github.io/Logging_2280/tillsynsmail/A 26174-2025 tillsynsbegäran mail.docx", "A 26174-2025")</f>
        <v/>
      </c>
    </row>
    <row r="76" ht="15" customHeight="1">
      <c r="A76" t="inlineStr">
        <is>
          <t>A 26086-2025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46289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HYPERLINK("https://klasma.github.io/Logging_2280/artfynd/A 26086-2025 artfynd.xlsx", "A 26086-2025")</f>
        <v/>
      </c>
      <c r="X76">
        <f>HYPERLINK("https://klasma.github.io/Logging_2280/kartor/A 26086-2025 karta.png", "A 26086-2025")</f>
        <v/>
      </c>
      <c r="Y76">
        <f>HYPERLINK("https://klasma.github.io/Logging_2280/kartor_geotiff/A 26086-2025 georefererad karta.tif", "A 26086-2025")</f>
        <v/>
      </c>
      <c r="AA76">
        <f>HYPERLINK("https://klasma.github.io/Logging_2280/klagomål/A 26086-2025 FSC-klagomål.docx", "A 26086-2025")</f>
        <v/>
      </c>
      <c r="AB76">
        <f>HYPERLINK("https://klasma.github.io/Logging_2280/klagomålsmail/A 26086-2025 FSC-klagomål mail.docx", "A 26086-2025")</f>
        <v/>
      </c>
      <c r="AC76">
        <f>HYPERLINK("https://klasma.github.io/Logging_2280/tillsyn/A 26086-2025 tillsynsbegäran.docx", "A 26086-2025")</f>
        <v/>
      </c>
      <c r="AD76">
        <f>HYPERLINK("https://klasma.github.io/Logging_2280/tillsynsmail/A 26086-2025 tillsynsbegäran mail.docx", "A 26086-2025")</f>
        <v/>
      </c>
      <c r="AE76">
        <f>HYPERLINK("https://klasma.github.io/Logging_2280/fåglar/A 26086-2025 prioriterade fågelarter.docx", "A 26086-2025")</f>
        <v/>
      </c>
    </row>
    <row r="77" ht="15" customHeight="1">
      <c r="A77" t="inlineStr">
        <is>
          <t>A 74325-2021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46289</v>
      </c>
      <c r="F77" t="inlineStr">
        <is>
          <t>VÄSTERNORRLANDS LÄN</t>
        </is>
      </c>
      <c r="G77" t="inlineStr">
        <is>
          <t>HÄRNÖSAND</t>
        </is>
      </c>
      <c r="I77" t="n">
        <v>4.6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Skogshare</t>
        </is>
      </c>
      <c r="W77">
        <f>HYPERLINK("https://klasma.github.io/Logging_2280/artfynd/A 74325-2021 artfynd.xlsx", "A 74325-2021")</f>
        <v/>
      </c>
      <c r="X77">
        <f>HYPERLINK("https://klasma.github.io/Logging_2280/kartor/A 74325-2021 karta.png", "A 74325-2021")</f>
        <v/>
      </c>
      <c r="Y77">
        <f>HYPERLINK("https://klasma.github.io/Logging_2280/kartor_geotiff/A 74325-2021 georefererad karta.tif", "A 74325-2021")</f>
        <v/>
      </c>
      <c r="AA77">
        <f>HYPERLINK("https://klasma.github.io/Logging_2280/klagomål/A 74325-2021 FSC-klagomål.docx", "A 74325-2021")</f>
        <v/>
      </c>
      <c r="AB77">
        <f>HYPERLINK("https://klasma.github.io/Logging_2280/klagomålsmail/A 74325-2021 FSC-klagomål mail.docx", "A 74325-2021")</f>
        <v/>
      </c>
      <c r="AC77">
        <f>HYPERLINK("https://klasma.github.io/Logging_2280/tillsyn/A 74325-2021 tillsynsbegäran.docx", "A 74325-2021")</f>
        <v/>
      </c>
      <c r="AD77">
        <f>HYPERLINK("https://klasma.github.io/Logging_2280/tillsynsmail/A 74325-2021 tillsynsbegäran mail.docx", "A 74325-2021")</f>
        <v/>
      </c>
    </row>
    <row r="78" ht="15" customHeight="1">
      <c r="A78" t="inlineStr">
        <is>
          <t>A 26922-2025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46289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Barkticka</t>
        </is>
      </c>
      <c r="W78">
        <f>HYPERLINK("https://klasma.github.io/Logging_2280/artfynd/A 26922-2025 artfynd.xlsx", "A 26922-2025")</f>
        <v/>
      </c>
      <c r="X78">
        <f>HYPERLINK("https://klasma.github.io/Logging_2280/kartor/A 26922-2025 karta.png", "A 26922-2025")</f>
        <v/>
      </c>
      <c r="Y78">
        <f>HYPERLINK("https://klasma.github.io/Logging_2280/kartor_geotiff/A 26922-2025 georefererad karta.tif", "A 26922-2025")</f>
        <v/>
      </c>
      <c r="AA78">
        <f>HYPERLINK("https://klasma.github.io/Logging_2280/klagomål/A 26922-2025 FSC-klagomål.docx", "A 26922-2025")</f>
        <v/>
      </c>
      <c r="AB78">
        <f>HYPERLINK("https://klasma.github.io/Logging_2280/klagomålsmail/A 26922-2025 FSC-klagomål mail.docx", "A 26922-2025")</f>
        <v/>
      </c>
      <c r="AC78">
        <f>HYPERLINK("https://klasma.github.io/Logging_2280/tillsyn/A 26922-2025 tillsynsbegäran.docx", "A 26922-2025")</f>
        <v/>
      </c>
      <c r="AD78">
        <f>HYPERLINK("https://klasma.github.io/Logging_2280/tillsynsmail/A 26922-2025 tillsynsbegäran mail.docx", "A 26922-2025")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46289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46289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46289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46289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24202-2024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46289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2.2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Garnlav</t>
        </is>
      </c>
      <c r="W83">
        <f>HYPERLINK("https://klasma.github.io/Logging_2280/artfynd/A 24202-2024 artfynd.xlsx", "A 24202-2024")</f>
        <v/>
      </c>
      <c r="X83">
        <f>HYPERLINK("https://klasma.github.io/Logging_2280/kartor/A 24202-2024 karta.png", "A 24202-2024")</f>
        <v/>
      </c>
      <c r="Y83">
        <f>HYPERLINK("https://klasma.github.io/Logging_2280/kartor_geotiff/A 24202-2024 georefererad karta.tif", "A 24202-2024")</f>
        <v/>
      </c>
      <c r="AA83">
        <f>HYPERLINK("https://klasma.github.io/Logging_2280/klagomål/A 24202-2024 FSC-klagomål.docx", "A 24202-2024")</f>
        <v/>
      </c>
      <c r="AB83">
        <f>HYPERLINK("https://klasma.github.io/Logging_2280/klagomålsmail/A 24202-2024 FSC-klagomål mail.docx", "A 24202-2024")</f>
        <v/>
      </c>
      <c r="AC83">
        <f>HYPERLINK("https://klasma.github.io/Logging_2280/tillsyn/A 24202-2024 tillsynsbegäran.docx", "A 24202-2024")</f>
        <v/>
      </c>
      <c r="AD83">
        <f>HYPERLINK("https://klasma.github.io/Logging_2280/tillsynsmail/A 24202-2024 tillsynsbegäran mail.docx", "A 24202-2024")</f>
        <v/>
      </c>
    </row>
    <row r="84" ht="15" customHeight="1">
      <c r="A84" t="inlineStr">
        <is>
          <t>A 40265-2024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45554</v>
      </c>
      <c r="E84" s="1" t="n">
        <v>46289</v>
      </c>
      <c r="F84" t="inlineStr">
        <is>
          <t>VÄSTERNORRLANDS LÄN</t>
        </is>
      </c>
      <c r="G84" t="inlineStr">
        <is>
          <t>HÄRNÖSAND</t>
        </is>
      </c>
      <c r="I84" t="n">
        <v>4.9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Stor aspticka</t>
        </is>
      </c>
      <c r="W84">
        <f>HYPERLINK("https://klasma.github.io/Logging_2280/artfynd/A 40265-2024 artfynd.xlsx", "A 40265-2024")</f>
        <v/>
      </c>
      <c r="X84">
        <f>HYPERLINK("https://klasma.github.io/Logging_2280/kartor/A 40265-2024 karta.png", "A 40265-2024")</f>
        <v/>
      </c>
      <c r="Y84">
        <f>HYPERLINK("https://klasma.github.io/Logging_2280/kartor_geotiff/A 40265-2024 georefererad karta.tif", "A 40265-2024")</f>
        <v/>
      </c>
      <c r="AA84">
        <f>HYPERLINK("https://klasma.github.io/Logging_2280/klagomål/A 40265-2024 FSC-klagomål.docx", "A 40265-2024")</f>
        <v/>
      </c>
      <c r="AB84">
        <f>HYPERLINK("https://klasma.github.io/Logging_2280/klagomålsmail/A 40265-2024 FSC-klagomål mail.docx", "A 40265-2024")</f>
        <v/>
      </c>
      <c r="AC84">
        <f>HYPERLINK("https://klasma.github.io/Logging_2280/tillsyn/A 40265-2024 tillsynsbegäran.docx", "A 40265-2024")</f>
        <v/>
      </c>
      <c r="AD84">
        <f>HYPERLINK("https://klasma.github.io/Logging_2280/tillsynsmail/A 40265-2024 tillsynsbegäran mail.docx", "A 40265-2024")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46289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19077-2024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45428</v>
      </c>
      <c r="E86" s="1" t="n">
        <v>46289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HYPERLINK("https://klasma.github.io/Logging_2280/artfynd/A 19077-2024 artfynd.xlsx", "A 19077-2024")</f>
        <v/>
      </c>
      <c r="X86">
        <f>HYPERLINK("https://klasma.github.io/Logging_2280/kartor/A 19077-2024 karta.png", "A 19077-2024")</f>
        <v/>
      </c>
      <c r="Y86">
        <f>HYPERLINK("https://klasma.github.io/Logging_2280/kartor_geotiff/A 19077-2024 georefererad karta.tif", "A 19077-2024")</f>
        <v/>
      </c>
      <c r="AA86">
        <f>HYPERLINK("https://klasma.github.io/Logging_2280/klagomål/A 19077-2024 FSC-klagomål.docx", "A 19077-2024")</f>
        <v/>
      </c>
      <c r="AB86">
        <f>HYPERLINK("https://klasma.github.io/Logging_2280/klagomålsmail/A 19077-2024 FSC-klagomål mail.docx", "A 19077-2024")</f>
        <v/>
      </c>
      <c r="AC86">
        <f>HYPERLINK("https://klasma.github.io/Logging_2280/tillsyn/A 19077-2024 tillsynsbegäran.docx", "A 19077-2024")</f>
        <v/>
      </c>
      <c r="AD86">
        <f>HYPERLINK("https://klasma.github.io/Logging_2280/tillsynsmail/A 19077-2024 tillsynsbegäran mail.docx", "A 19077-2024")</f>
        <v/>
      </c>
    </row>
    <row r="87" ht="15" customHeight="1">
      <c r="A87" t="inlineStr">
        <is>
          <t>A 8407-2024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45352</v>
      </c>
      <c r="E87" s="1" t="n">
        <v>46289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Lunglav</t>
        </is>
      </c>
      <c r="W87">
        <f>HYPERLINK("https://klasma.github.io/Logging_2280/artfynd/A 8407-2024 artfynd.xlsx", "A 8407-2024")</f>
        <v/>
      </c>
      <c r="X87">
        <f>HYPERLINK("https://klasma.github.io/Logging_2280/kartor/A 8407-2024 karta.png", "A 8407-2024")</f>
        <v/>
      </c>
      <c r="Y87">
        <f>HYPERLINK("https://klasma.github.io/Logging_2280/kartor_geotiff/A 8407-2024 georefererad karta.tif", "A 8407-2024")</f>
        <v/>
      </c>
      <c r="AA87">
        <f>HYPERLINK("https://klasma.github.io/Logging_2280/klagomål/A 8407-2024 FSC-klagomål.docx", "A 8407-2024")</f>
        <v/>
      </c>
      <c r="AB87">
        <f>HYPERLINK("https://klasma.github.io/Logging_2280/klagomålsmail/A 8407-2024 FSC-klagomål mail.docx", "A 8407-2024")</f>
        <v/>
      </c>
      <c r="AC87">
        <f>HYPERLINK("https://klasma.github.io/Logging_2280/tillsyn/A 8407-2024 tillsynsbegäran.docx", "A 8407-2024")</f>
        <v/>
      </c>
      <c r="AD87">
        <f>HYPERLINK("https://klasma.github.io/Logging_2280/tillsynsmail/A 8407-2024 tillsynsbegäran mail.docx", "A 8407-2024")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46289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25340-2026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46176</v>
      </c>
      <c r="E89" s="1" t="n">
        <v>46289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Garnlav</t>
        </is>
      </c>
      <c r="W89">
        <f>HYPERLINK("https://klasma.github.io/Logging_2280/artfynd/A 25340-2026 artfynd.xlsx", "A 25340-2026")</f>
        <v/>
      </c>
      <c r="X89">
        <f>HYPERLINK("https://klasma.github.io/Logging_2280/kartor/A 25340-2026 karta.png", "A 25340-2026")</f>
        <v/>
      </c>
      <c r="Y89">
        <f>HYPERLINK("https://klasma.github.io/Logging_2280/kartor_geotiff/A 25340-2026 georefererad karta.tif", "A 25340-2026")</f>
        <v/>
      </c>
      <c r="AA89">
        <f>HYPERLINK("https://klasma.github.io/Logging_2280/klagomål/A 25340-2026 FSC-klagomål.docx", "A 25340-2026")</f>
        <v/>
      </c>
      <c r="AB89">
        <f>HYPERLINK("https://klasma.github.io/Logging_2280/klagomålsmail/A 25340-2026 FSC-klagomål mail.docx", "A 25340-2026")</f>
        <v/>
      </c>
      <c r="AC89">
        <f>HYPERLINK("https://klasma.github.io/Logging_2280/tillsyn/A 25340-2026 tillsynsbegäran.docx", "A 25340-2026")</f>
        <v/>
      </c>
      <c r="AD89">
        <f>HYPERLINK("https://klasma.github.io/Logging_2280/tillsynsmail/A 25340-2026 tillsynsbegäran mail.docx", "A 25340-2026")</f>
        <v/>
      </c>
    </row>
    <row r="90" ht="15" customHeight="1">
      <c r="A90" t="inlineStr">
        <is>
          <t>A 27457-2026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46289</v>
      </c>
      <c r="F90" t="inlineStr">
        <is>
          <t>VÄSTERNORRLANDS LÄN</t>
        </is>
      </c>
      <c r="G90" t="inlineStr">
        <is>
          <t>HÄRNÖSAND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HYPERLINK("https://klasma.github.io/Logging_2280/artfynd/A 27457-2026 artfynd.xlsx", "A 27457-2026")</f>
        <v/>
      </c>
      <c r="X90">
        <f>HYPERLINK("https://klasma.github.io/Logging_2280/kartor/A 27457-2026 karta.png", "A 27457-2026")</f>
        <v/>
      </c>
      <c r="Y90">
        <f>HYPERLINK("https://klasma.github.io/Logging_2280/kartor_geotiff/A 27457-2026 georefererad karta.tif", "A 27457-2026")</f>
        <v/>
      </c>
      <c r="AA90">
        <f>HYPERLINK("https://klasma.github.io/Logging_2280/klagomål/A 27457-2026 FSC-klagomål.docx", "A 27457-2026")</f>
        <v/>
      </c>
      <c r="AB90">
        <f>HYPERLINK("https://klasma.github.io/Logging_2280/klagomålsmail/A 27457-2026 FSC-klagomål mail.docx", "A 27457-2026")</f>
        <v/>
      </c>
      <c r="AC90">
        <f>HYPERLINK("https://klasma.github.io/Logging_2280/tillsyn/A 27457-2026 tillsynsbegäran.docx", "A 27457-2026")</f>
        <v/>
      </c>
      <c r="AD90">
        <f>HYPERLINK("https://klasma.github.io/Logging_2280/tillsynsmail/A 27457-2026 tillsynsbegäran mail.docx", "A 27457-2026")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46289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46289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46289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46289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46289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46289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46289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46289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46289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46289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46289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46289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46289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46289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46289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46289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46289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46289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46289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46289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46289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46289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46289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46289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46289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46289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46289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46289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46289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46289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46289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46289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46289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70603-2021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44536</v>
      </c>
      <c r="E125" s="1" t="n">
        <v>46289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67078-2021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46289</v>
      </c>
      <c r="F126" t="inlineStr">
        <is>
          <t>VÄSTERNORRLANDS LÄN</t>
        </is>
      </c>
      <c r="G126" t="inlineStr">
        <is>
          <t>HÄRNÖSAND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45667</v>
      </c>
      <c r="E127" s="1" t="n">
        <v>46289</v>
      </c>
      <c r="F127" t="inlineStr">
        <is>
          <t>VÄSTERNORRLANDS LÄN</t>
        </is>
      </c>
      <c r="G127" t="inlineStr">
        <is>
          <t>HÄRNÖSAND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46289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46289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46289</v>
      </c>
      <c r="F130" t="inlineStr">
        <is>
          <t>VÄSTERNORRLANDS LÄN</t>
        </is>
      </c>
      <c r="G130" t="inlineStr">
        <is>
          <t>HÄRNÖSAND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45578</v>
      </c>
      <c r="E131" s="1" t="n">
        <v>46289</v>
      </c>
      <c r="F131" t="inlineStr">
        <is>
          <t>VÄSTERNORRLANDS LÄN</t>
        </is>
      </c>
      <c r="G131" t="inlineStr">
        <is>
          <t>HÄRNÖSAND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40452-2023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45168</v>
      </c>
      <c r="E132" s="1" t="n">
        <v>46289</v>
      </c>
      <c r="F132" t="inlineStr">
        <is>
          <t>VÄSTERNORRLANDS LÄN</t>
        </is>
      </c>
      <c r="G132" t="inlineStr">
        <is>
          <t>HÄRNÖSAND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46289</v>
      </c>
      <c r="F133" t="inlineStr">
        <is>
          <t>VÄSTERNORRLANDS LÄN</t>
        </is>
      </c>
      <c r="G133" t="inlineStr">
        <is>
          <t>HÄRNÖSAND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46289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45138</v>
      </c>
      <c r="E135" s="1" t="n">
        <v>46289</v>
      </c>
      <c r="F135" t="inlineStr">
        <is>
          <t>VÄSTERNORRLANDS LÄN</t>
        </is>
      </c>
      <c r="G135" t="inlineStr">
        <is>
          <t>HÄRNÖSAND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46289</v>
      </c>
      <c r="F136" t="inlineStr">
        <is>
          <t>VÄSTERNORRLANDS LÄN</t>
        </is>
      </c>
      <c r="G136" t="inlineStr">
        <is>
          <t>HÄRNÖSAND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64682-2021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46289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29429-2024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45483</v>
      </c>
      <c r="E138" s="1" t="n">
        <v>46289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44664</v>
      </c>
      <c r="E139" s="1" t="n">
        <v>46289</v>
      </c>
      <c r="F139" t="inlineStr">
        <is>
          <t>VÄSTERNORRLANDS LÄN</t>
        </is>
      </c>
      <c r="G139" t="inlineStr">
        <is>
          <t>HÄRNÖSAND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46289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45545</v>
      </c>
      <c r="E141" s="1" t="n">
        <v>46289</v>
      </c>
      <c r="F141" t="inlineStr">
        <is>
          <t>VÄSTERNORRLANDS LÄN</t>
        </is>
      </c>
      <c r="G141" t="inlineStr">
        <is>
          <t>HÄRNÖSAND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44980</v>
      </c>
      <c r="E142" s="1" t="n">
        <v>46289</v>
      </c>
      <c r="F142" t="inlineStr">
        <is>
          <t>VÄSTERNORRLANDS LÄN</t>
        </is>
      </c>
      <c r="G142" t="inlineStr">
        <is>
          <t>HÄRNÖSAND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45678</v>
      </c>
      <c r="E143" s="1" t="n">
        <v>46289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45764</v>
      </c>
      <c r="E144" s="1" t="n">
        <v>46289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46289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46289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44971</v>
      </c>
      <c r="E147" s="1" t="n">
        <v>46289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46289</v>
      </c>
      <c r="F148" t="inlineStr">
        <is>
          <t>VÄSTERNORRLANDS LÄN</t>
        </is>
      </c>
      <c r="G148" t="inlineStr">
        <is>
          <t>HÄRNÖSAND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45791</v>
      </c>
      <c r="E149" s="1" t="n">
        <v>46289</v>
      </c>
      <c r="F149" t="inlineStr">
        <is>
          <t>VÄSTERNORRLANDS LÄN</t>
        </is>
      </c>
      <c r="G149" t="inlineStr">
        <is>
          <t>HÄRNÖSAND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46289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46289</v>
      </c>
      <c r="F151" t="inlineStr">
        <is>
          <t>VÄSTERNORRLANDS LÄN</t>
        </is>
      </c>
      <c r="G151" t="inlineStr">
        <is>
          <t>HÄRNÖSAND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46289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46289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45409</v>
      </c>
      <c r="E154" s="1" t="n">
        <v>46289</v>
      </c>
      <c r="F154" t="inlineStr">
        <is>
          <t>VÄSTERNORRLANDS LÄN</t>
        </is>
      </c>
      <c r="G154" t="inlineStr">
        <is>
          <t>HÄRNÖSAND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46289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45574</v>
      </c>
      <c r="E156" s="1" t="n">
        <v>46289</v>
      </c>
      <c r="F156" t="inlineStr">
        <is>
          <t>VÄSTERNORRLANDS LÄN</t>
        </is>
      </c>
      <c r="G156" t="inlineStr">
        <is>
          <t>HÄRNÖSAND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45433</v>
      </c>
      <c r="E157" s="1" t="n">
        <v>46289</v>
      </c>
      <c r="F157" t="inlineStr">
        <is>
          <t>VÄSTERNORRLANDS LÄN</t>
        </is>
      </c>
      <c r="G157" t="inlineStr">
        <is>
          <t>HÄRNÖSAND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46289</v>
      </c>
      <c r="F158" t="inlineStr">
        <is>
          <t>VÄSTERNORRLANDS LÄN</t>
        </is>
      </c>
      <c r="G158" t="inlineStr">
        <is>
          <t>HÄRNÖSAND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44603</v>
      </c>
      <c r="E159" s="1" t="n">
        <v>46289</v>
      </c>
      <c r="F159" t="inlineStr">
        <is>
          <t>VÄSTERNORRLANDS LÄN</t>
        </is>
      </c>
      <c r="G159" t="inlineStr">
        <is>
          <t>HÄRNÖSAND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45351</v>
      </c>
      <c r="E160" s="1" t="n">
        <v>46289</v>
      </c>
      <c r="F160" t="inlineStr">
        <is>
          <t>VÄSTERNORRLANDS LÄN</t>
        </is>
      </c>
      <c r="G160" t="inlineStr">
        <is>
          <t>HÄRNÖSAND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45044</v>
      </c>
      <c r="E161" s="1" t="n">
        <v>46289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46289</v>
      </c>
      <c r="F162" t="inlineStr">
        <is>
          <t>VÄSTERNORRLANDS LÄN</t>
        </is>
      </c>
      <c r="G162" t="inlineStr">
        <is>
          <t>HÄRNÖSAND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45106</v>
      </c>
      <c r="E163" s="1" t="n">
        <v>46289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45714</v>
      </c>
      <c r="E164" s="1" t="n">
        <v>46289</v>
      </c>
      <c r="F164" t="inlineStr">
        <is>
          <t>VÄSTERNORRLANDS LÄN</t>
        </is>
      </c>
      <c r="G164" t="inlineStr">
        <is>
          <t>HÄRNÖSAND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44806</v>
      </c>
      <c r="E165" s="1" t="n">
        <v>46289</v>
      </c>
      <c r="F165" t="inlineStr">
        <is>
          <t>VÄSTERNORRLANDS LÄN</t>
        </is>
      </c>
      <c r="G165" t="inlineStr">
        <is>
          <t>HÄRNÖSAND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44806</v>
      </c>
      <c r="E166" s="1" t="n">
        <v>46289</v>
      </c>
      <c r="F166" t="inlineStr">
        <is>
          <t>VÄSTERNORRLANDS LÄN</t>
        </is>
      </c>
      <c r="G166" t="inlineStr">
        <is>
          <t>HÄRNÖSAND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46289</v>
      </c>
      <c r="F167" t="inlineStr">
        <is>
          <t>VÄSTERNORRLANDS LÄN</t>
        </is>
      </c>
      <c r="G167" t="inlineStr">
        <is>
          <t>HÄRNÖSAND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46289</v>
      </c>
      <c r="F168" t="inlineStr">
        <is>
          <t>VÄSTERNORRLANDS LÄN</t>
        </is>
      </c>
      <c r="G168" t="inlineStr">
        <is>
          <t>HÄRNÖSAND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46289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Övriga statliga verk och myndigheter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46289</v>
      </c>
      <c r="F170" t="inlineStr">
        <is>
          <t>VÄSTERNORRLANDS LÄN</t>
        </is>
      </c>
      <c r="G170" t="inlineStr">
        <is>
          <t>HÄRNÖSAND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45793</v>
      </c>
      <c r="E171" s="1" t="n">
        <v>46289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45266</v>
      </c>
      <c r="E172" s="1" t="n">
        <v>46289</v>
      </c>
      <c r="F172" t="inlineStr">
        <is>
          <t>VÄSTERNORRLANDS LÄN</t>
        </is>
      </c>
      <c r="G172" t="inlineStr">
        <is>
          <t>HÄRNÖSAND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45516</v>
      </c>
      <c r="E173" s="1" t="n">
        <v>46289</v>
      </c>
      <c r="F173" t="inlineStr">
        <is>
          <t>VÄSTERNORRLANDS LÄN</t>
        </is>
      </c>
      <c r="G173" t="inlineStr">
        <is>
          <t>HÄRNÖSAND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46289</v>
      </c>
      <c r="F174" t="inlineStr">
        <is>
          <t>VÄSTERNORRLANDS LÄN</t>
        </is>
      </c>
      <c r="G174" t="inlineStr">
        <is>
          <t>HÄRNÖSAND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46289</v>
      </c>
      <c r="F175" t="inlineStr">
        <is>
          <t>VÄSTERNORRLANDS LÄN</t>
        </is>
      </c>
      <c r="G175" t="inlineStr">
        <is>
          <t>HÄRNÖSAND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46289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45139</v>
      </c>
      <c r="E177" s="1" t="n">
        <v>46289</v>
      </c>
      <c r="F177" t="inlineStr">
        <is>
          <t>VÄSTERNORRLANDS LÄN</t>
        </is>
      </c>
      <c r="G177" t="inlineStr">
        <is>
          <t>HÄRNÖSAND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46289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44475</v>
      </c>
      <c r="E179" s="1" t="n">
        <v>46289</v>
      </c>
      <c r="F179" t="inlineStr">
        <is>
          <t>VÄSTERNORRLANDS LÄN</t>
        </is>
      </c>
      <c r="G179" t="inlineStr">
        <is>
          <t>HÄRNÖSAND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46289</v>
      </c>
      <c r="F180" t="inlineStr">
        <is>
          <t>VÄSTERNORRLANDS LÄN</t>
        </is>
      </c>
      <c r="G180" t="inlineStr">
        <is>
          <t>HÄRNÖSAND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46289</v>
      </c>
      <c r="F181" t="inlineStr">
        <is>
          <t>VÄSTERNORRLANDS LÄN</t>
        </is>
      </c>
      <c r="G181" t="inlineStr">
        <is>
          <t>HÄRNÖSAND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46289</v>
      </c>
      <c r="F182" t="inlineStr">
        <is>
          <t>VÄSTERNORRLANDS LÄN</t>
        </is>
      </c>
      <c r="G182" t="inlineStr">
        <is>
          <t>HÄRNÖSAND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46289</v>
      </c>
      <c r="F183" t="inlineStr">
        <is>
          <t>VÄSTERNORRLANDS LÄN</t>
        </is>
      </c>
      <c r="G183" t="inlineStr">
        <is>
          <t>HÄRNÖSAND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46289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46289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46289</v>
      </c>
      <c r="F186" t="inlineStr">
        <is>
          <t>VÄSTERNORRLANDS LÄN</t>
        </is>
      </c>
      <c r="G186" t="inlineStr">
        <is>
          <t>HÄRNÖSAND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46289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46289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46289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46289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45462</v>
      </c>
      <c r="E191" s="1" t="n">
        <v>46289</v>
      </c>
      <c r="F191" t="inlineStr">
        <is>
          <t>VÄSTERNORRLANDS LÄN</t>
        </is>
      </c>
      <c r="G191" t="inlineStr">
        <is>
          <t>HÄRNÖSAND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46289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46289</v>
      </c>
      <c r="F193" t="inlineStr">
        <is>
          <t>VÄSTERNORRLANDS LÄN</t>
        </is>
      </c>
      <c r="G193" t="inlineStr">
        <is>
          <t>HÄRNÖSAND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61574-2021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44497</v>
      </c>
      <c r="E194" s="1" t="n">
        <v>46289</v>
      </c>
      <c r="F194" t="inlineStr">
        <is>
          <t>VÄSTERNORRLANDS LÄN</t>
        </is>
      </c>
      <c r="G194" t="inlineStr">
        <is>
          <t>HÄRNÖSAND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46289</v>
      </c>
      <c r="F195" t="inlineStr">
        <is>
          <t>VÄSTERNORRLANDS LÄN</t>
        </is>
      </c>
      <c r="G195" t="inlineStr">
        <is>
          <t>HÄRNÖSAND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46289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46289</v>
      </c>
      <c r="F197" t="inlineStr">
        <is>
          <t>VÄSTERNORRLANDS LÄN</t>
        </is>
      </c>
      <c r="G197" t="inlineStr">
        <is>
          <t>HÄRNÖSAND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46289</v>
      </c>
      <c r="F198" t="inlineStr">
        <is>
          <t>VÄSTERNORRLANDS LÄN</t>
        </is>
      </c>
      <c r="G198" t="inlineStr">
        <is>
          <t>HÄRNÖSAND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44847</v>
      </c>
      <c r="E199" s="1" t="n">
        <v>46289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Kyrkan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41562-2025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45901</v>
      </c>
      <c r="E200" s="1" t="n">
        <v>46289</v>
      </c>
      <c r="F200" t="inlineStr">
        <is>
          <t>VÄSTERNORRLANDS LÄN</t>
        </is>
      </c>
      <c r="G200" t="inlineStr">
        <is>
          <t>HÄRNÖSAND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46289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46289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45511</v>
      </c>
      <c r="E203" s="1" t="n">
        <v>46289</v>
      </c>
      <c r="F203" t="inlineStr">
        <is>
          <t>VÄSTERNORRLANDS LÄN</t>
        </is>
      </c>
      <c r="G203" t="inlineStr">
        <is>
          <t>HÄRNÖSAND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46289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44881</v>
      </c>
      <c r="E205" s="1" t="n">
        <v>46289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61776-2023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46289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50338-2022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44865</v>
      </c>
      <c r="E207" s="1" t="n">
        <v>46289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46289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46289</v>
      </c>
      <c r="F209" t="inlineStr">
        <is>
          <t>VÄSTERNORRLANDS LÄN</t>
        </is>
      </c>
      <c r="G209" t="inlineStr">
        <is>
          <t>HÄRNÖSAND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45476</v>
      </c>
      <c r="E210" s="1" t="n">
        <v>46289</v>
      </c>
      <c r="F210" t="inlineStr">
        <is>
          <t>VÄSTERNORRLANDS LÄN</t>
        </is>
      </c>
      <c r="G210" t="inlineStr">
        <is>
          <t>HÄRNÖSAND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46289</v>
      </c>
      <c r="F211" t="inlineStr">
        <is>
          <t>VÄSTERNORRLANDS LÄN</t>
        </is>
      </c>
      <c r="G211" t="inlineStr">
        <is>
          <t>HÄRNÖSAND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46289</v>
      </c>
      <c r="F212" t="inlineStr">
        <is>
          <t>VÄSTERNORRLANDS LÄN</t>
        </is>
      </c>
      <c r="G212" t="inlineStr">
        <is>
          <t>HÄRNÖSAND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45409</v>
      </c>
      <c r="E213" s="1" t="n">
        <v>46289</v>
      </c>
      <c r="F213" t="inlineStr">
        <is>
          <t>VÄSTERNORRLANDS LÄN</t>
        </is>
      </c>
      <c r="G213" t="inlineStr">
        <is>
          <t>HÄRNÖSAND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46289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61102-2021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44498</v>
      </c>
      <c r="E215" s="1" t="n">
        <v>46289</v>
      </c>
      <c r="F215" t="inlineStr">
        <is>
          <t>VÄSTERNORRLANDS LÄN</t>
        </is>
      </c>
      <c r="G215" t="inlineStr">
        <is>
          <t>HÄRNÖSAND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46289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64023-2023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45278</v>
      </c>
      <c r="E217" s="1" t="n">
        <v>46289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46289</v>
      </c>
      <c r="F218" t="inlineStr">
        <is>
          <t>VÄSTERNORRLANDS LÄN</t>
        </is>
      </c>
      <c r="G218" t="inlineStr">
        <is>
          <t>HÄRNÖSAND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46289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45729</v>
      </c>
      <c r="E220" s="1" t="n">
        <v>46289</v>
      </c>
      <c r="F220" t="inlineStr">
        <is>
          <t>VÄSTERNORRLANDS LÄN</t>
        </is>
      </c>
      <c r="G220" t="inlineStr">
        <is>
          <t>HÄRNÖSAND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46289</v>
      </c>
      <c r="F221" t="inlineStr">
        <is>
          <t>VÄSTERNORRLANDS LÄN</t>
        </is>
      </c>
      <c r="G221" t="inlineStr">
        <is>
          <t>HÄRNÖSAND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46289</v>
      </c>
      <c r="F222" t="inlineStr">
        <is>
          <t>VÄSTERNORRLANDS LÄN</t>
        </is>
      </c>
      <c r="G222" t="inlineStr">
        <is>
          <t>HÄRNÖSAND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46289</v>
      </c>
      <c r="F223" t="inlineStr">
        <is>
          <t>VÄSTERNORRLANDS LÄN</t>
        </is>
      </c>
      <c r="G223" t="inlineStr">
        <is>
          <t>HÄRNÖSAND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46289</v>
      </c>
      <c r="F224" t="inlineStr">
        <is>
          <t>VÄSTERNORRLANDS LÄN</t>
        </is>
      </c>
      <c r="G224" t="inlineStr">
        <is>
          <t>HÄRNÖSAND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46289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46289</v>
      </c>
      <c r="F226" t="inlineStr">
        <is>
          <t>VÄSTERNORRLANDS LÄN</t>
        </is>
      </c>
      <c r="G226" t="inlineStr">
        <is>
          <t>HÄRNÖSAND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45562</v>
      </c>
      <c r="E227" s="1" t="n">
        <v>46289</v>
      </c>
      <c r="F227" t="inlineStr">
        <is>
          <t>VÄSTERNORRLANDS LÄN</t>
        </is>
      </c>
      <c r="G227" t="inlineStr">
        <is>
          <t>HÄRNÖSAND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46289</v>
      </c>
      <c r="F228" t="inlineStr">
        <is>
          <t>VÄSTERNORRLANDS LÄN</t>
        </is>
      </c>
      <c r="G228" t="inlineStr">
        <is>
          <t>HÄRNÖSAND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46289</v>
      </c>
      <c r="F229" t="inlineStr">
        <is>
          <t>VÄSTERNORRLANDS LÄN</t>
        </is>
      </c>
      <c r="G229" t="inlineStr">
        <is>
          <t>HÄRNÖSAND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69269-2021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46289</v>
      </c>
      <c r="F230" t="inlineStr">
        <is>
          <t>VÄSTERNORRLANDS LÄN</t>
        </is>
      </c>
      <c r="G230" t="inlineStr">
        <is>
          <t>HÄRNÖSAND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46289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46289</v>
      </c>
      <c r="F232" t="inlineStr">
        <is>
          <t>VÄSTERNORRLANDS LÄN</t>
        </is>
      </c>
      <c r="G232" t="inlineStr">
        <is>
          <t>HÄRNÖSAND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44791</v>
      </c>
      <c r="E233" s="1" t="n">
        <v>46289</v>
      </c>
      <c r="F233" t="inlineStr">
        <is>
          <t>VÄSTERNORRLANDS LÄN</t>
        </is>
      </c>
      <c r="G233" t="inlineStr">
        <is>
          <t>HÄRNÖSAND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46289</v>
      </c>
      <c r="F234" t="inlineStr">
        <is>
          <t>VÄSTERNORRLANDS LÄN</t>
        </is>
      </c>
      <c r="G234" t="inlineStr">
        <is>
          <t>HÄRNÖSAND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45418</v>
      </c>
      <c r="E235" s="1" t="n">
        <v>46289</v>
      </c>
      <c r="F235" t="inlineStr">
        <is>
          <t>VÄSTERNORRLANDS LÄN</t>
        </is>
      </c>
      <c r="G235" t="inlineStr">
        <is>
          <t>HÄRNÖSAND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46289</v>
      </c>
      <c r="F236" t="inlineStr">
        <is>
          <t>VÄSTERNORRLANDS LÄN</t>
        </is>
      </c>
      <c r="G236" t="inlineStr">
        <is>
          <t>HÄRNÖSAND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26176-2025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45805</v>
      </c>
      <c r="E237" s="1" t="n">
        <v>46289</v>
      </c>
      <c r="F237" t="inlineStr">
        <is>
          <t>VÄSTERNORRLANDS LÄN</t>
        </is>
      </c>
      <c r="G237" t="inlineStr">
        <is>
          <t>HÄRNÖSAND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45981-2025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45924</v>
      </c>
      <c r="E238" s="1" t="n">
        <v>46289</v>
      </c>
      <c r="F238" t="inlineStr">
        <is>
          <t>VÄSTERNORRLANDS LÄN</t>
        </is>
      </c>
      <c r="G238" t="inlineStr">
        <is>
          <t>HÄRNÖSAND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46289</v>
      </c>
      <c r="F239" t="inlineStr">
        <is>
          <t>VÄSTERNORRLANDS LÄN</t>
        </is>
      </c>
      <c r="G239" t="inlineStr">
        <is>
          <t>HÄRNÖSAND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45630</v>
      </c>
      <c r="E240" s="1" t="n">
        <v>46289</v>
      </c>
      <c r="F240" t="inlineStr">
        <is>
          <t>VÄSTERNORRLANDS LÄN</t>
        </is>
      </c>
      <c r="G240" t="inlineStr">
        <is>
          <t>HÄRNÖSAND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62333-2021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44502</v>
      </c>
      <c r="E241" s="1" t="n">
        <v>46289</v>
      </c>
      <c r="F241" t="inlineStr">
        <is>
          <t>VÄSTERNORRLANDS LÄN</t>
        </is>
      </c>
      <c r="G241" t="inlineStr">
        <is>
          <t>HÄRNÖSAND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46289</v>
      </c>
      <c r="F242" t="inlineStr">
        <is>
          <t>VÄSTERNORRLANDS LÄN</t>
        </is>
      </c>
      <c r="G242" t="inlineStr">
        <is>
          <t>HÄRNÖSAND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45228</v>
      </c>
      <c r="E243" s="1" t="n">
        <v>46289</v>
      </c>
      <c r="F243" t="inlineStr">
        <is>
          <t>VÄSTERNORRLANDS LÄN</t>
        </is>
      </c>
      <c r="G243" t="inlineStr">
        <is>
          <t>HÄRNÖSAND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46289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49039-2023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45209</v>
      </c>
      <c r="E245" s="1" t="n">
        <v>46289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45390</v>
      </c>
      <c r="E246" s="1" t="n">
        <v>46289</v>
      </c>
      <c r="F246" t="inlineStr">
        <is>
          <t>VÄSTERNORRLANDS LÄN</t>
        </is>
      </c>
      <c r="G246" t="inlineStr">
        <is>
          <t>HÄRNÖSAND</t>
        </is>
      </c>
      <c r="I246" t="n">
        <v>14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46289</v>
      </c>
      <c r="F247" t="inlineStr">
        <is>
          <t>VÄSTERNORRLANDS LÄN</t>
        </is>
      </c>
      <c r="G247" t="inlineStr">
        <is>
          <t>HÄRNÖSAND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46289</v>
      </c>
      <c r="F248" t="inlineStr">
        <is>
          <t>VÄSTERNORRLANDS LÄN</t>
        </is>
      </c>
      <c r="G248" t="inlineStr">
        <is>
          <t>HÄRNÖSAND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46289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49531-2023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45205</v>
      </c>
      <c r="E250" s="1" t="n">
        <v>46289</v>
      </c>
      <c r="F250" t="inlineStr">
        <is>
          <t>VÄSTERNORRLANDS LÄN</t>
        </is>
      </c>
      <c r="G250" t="inlineStr">
        <is>
          <t>HÄRNÖSAND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45558</v>
      </c>
      <c r="E251" s="1" t="n">
        <v>46289</v>
      </c>
      <c r="F251" t="inlineStr">
        <is>
          <t>VÄSTERNORRLANDS LÄN</t>
        </is>
      </c>
      <c r="G251" t="inlineStr">
        <is>
          <t>HÄRNÖSAND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46289</v>
      </c>
      <c r="F252" t="inlineStr">
        <is>
          <t>VÄSTERNORRLANDS LÄN</t>
        </is>
      </c>
      <c r="G252" t="inlineStr">
        <is>
          <t>HÄRNÖSAND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46289</v>
      </c>
      <c r="F253" t="inlineStr">
        <is>
          <t>VÄSTERNORRLANDS LÄN</t>
        </is>
      </c>
      <c r="G253" t="inlineStr">
        <is>
          <t>HÄRNÖSAND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46289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46289</v>
      </c>
      <c r="F255" t="inlineStr">
        <is>
          <t>VÄSTERNORRLANDS LÄN</t>
        </is>
      </c>
      <c r="G255" t="inlineStr">
        <is>
          <t>HÄRNÖSAND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27272-2025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46289</v>
      </c>
      <c r="F256" t="inlineStr">
        <is>
          <t>VÄSTERNORRLANDS LÄN</t>
        </is>
      </c>
      <c r="G256" t="inlineStr">
        <is>
          <t>HÄRNÖSAND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46289</v>
      </c>
      <c r="F257" t="inlineStr">
        <is>
          <t>VÄSTERNORRLANDS LÄN</t>
        </is>
      </c>
      <c r="G257" t="inlineStr">
        <is>
          <t>HÄRNÖSAND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45405</v>
      </c>
      <c r="E258" s="1" t="n">
        <v>46289</v>
      </c>
      <c r="F258" t="inlineStr">
        <is>
          <t>VÄSTERNORRLANDS LÄN</t>
        </is>
      </c>
      <c r="G258" t="inlineStr">
        <is>
          <t>HÄRNÖSAND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46289</v>
      </c>
      <c r="F259" t="inlineStr">
        <is>
          <t>VÄSTERNORRLANDS LÄN</t>
        </is>
      </c>
      <c r="G259" t="inlineStr">
        <is>
          <t>HÄRNÖSAND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46289</v>
      </c>
      <c r="F260" t="inlineStr">
        <is>
          <t>VÄSTERNORRLANDS LÄN</t>
        </is>
      </c>
      <c r="G260" t="inlineStr">
        <is>
          <t>HÄRNÖSAND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46289</v>
      </c>
      <c r="F261" t="inlineStr">
        <is>
          <t>VÄSTERNORRLANDS LÄN</t>
        </is>
      </c>
      <c r="G261" t="inlineStr">
        <is>
          <t>HÄRNÖSAND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54251-2022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44881</v>
      </c>
      <c r="E262" s="1" t="n">
        <v>46289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45409</v>
      </c>
      <c r="E263" s="1" t="n">
        <v>46289</v>
      </c>
      <c r="F263" t="inlineStr">
        <is>
          <t>VÄSTERNORRLANDS LÄN</t>
        </is>
      </c>
      <c r="G263" t="inlineStr">
        <is>
          <t>HÄRNÖSAND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45334</v>
      </c>
      <c r="E264" s="1" t="n">
        <v>46289</v>
      </c>
      <c r="F264" t="inlineStr">
        <is>
          <t>VÄSTERNORRLANDS LÄN</t>
        </is>
      </c>
      <c r="G264" t="inlineStr">
        <is>
          <t>HÄRNÖSAND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46289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46289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44894</v>
      </c>
      <c r="E267" s="1" t="n">
        <v>46289</v>
      </c>
      <c r="F267" t="inlineStr">
        <is>
          <t>VÄSTERNORRLANDS LÄN</t>
        </is>
      </c>
      <c r="G267" t="inlineStr">
        <is>
          <t>HÄRNÖSAND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57236-2024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46289</v>
      </c>
      <c r="F268" t="inlineStr">
        <is>
          <t>VÄSTERNORRLANDS LÄN</t>
        </is>
      </c>
      <c r="G268" t="inlineStr">
        <is>
          <t>HÄRNÖSAND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8220-2022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46289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45576</v>
      </c>
      <c r="E270" s="1" t="n">
        <v>46289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45320</v>
      </c>
      <c r="E271" s="1" t="n">
        <v>46289</v>
      </c>
      <c r="F271" t="inlineStr">
        <is>
          <t>VÄSTERNORRLANDS LÄN</t>
        </is>
      </c>
      <c r="G271" t="inlineStr">
        <is>
          <t>HÄRNÖSAND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12750-2022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44641</v>
      </c>
      <c r="E272" s="1" t="n">
        <v>46289</v>
      </c>
      <c r="F272" t="inlineStr">
        <is>
          <t>VÄSTERNORRLANDS LÄN</t>
        </is>
      </c>
      <c r="G272" t="inlineStr">
        <is>
          <t>HÄRNÖSAND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46289</v>
      </c>
      <c r="F273" t="inlineStr">
        <is>
          <t>VÄSTERNORRLANDS LÄN</t>
        </is>
      </c>
      <c r="G273" t="inlineStr">
        <is>
          <t>HÄRNÖSAND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45512</v>
      </c>
      <c r="E274" s="1" t="n">
        <v>46289</v>
      </c>
      <c r="F274" t="inlineStr">
        <is>
          <t>VÄSTERNORRLANDS LÄN</t>
        </is>
      </c>
      <c r="G274" t="inlineStr">
        <is>
          <t>HÄRNÖSAND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45639</v>
      </c>
      <c r="E275" s="1" t="n">
        <v>46289</v>
      </c>
      <c r="F275" t="inlineStr">
        <is>
          <t>VÄSTERNORRLANDS LÄN</t>
        </is>
      </c>
      <c r="G275" t="inlineStr">
        <is>
          <t>HÄRNÖSAND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46289</v>
      </c>
      <c r="F276" t="inlineStr">
        <is>
          <t>VÄSTERNORRLANDS LÄN</t>
        </is>
      </c>
      <c r="G276" t="inlineStr">
        <is>
          <t>HÄRNÖSAND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45701</v>
      </c>
      <c r="E277" s="1" t="n">
        <v>46289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45595</v>
      </c>
      <c r="E278" s="1" t="n">
        <v>46289</v>
      </c>
      <c r="F278" t="inlineStr">
        <is>
          <t>VÄSTERNORRLANDS LÄN</t>
        </is>
      </c>
      <c r="G278" t="inlineStr">
        <is>
          <t>HÄRNÖSAND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45595</v>
      </c>
      <c r="E279" s="1" t="n">
        <v>46289</v>
      </c>
      <c r="F279" t="inlineStr">
        <is>
          <t>VÄSTERNORRLANDS LÄN</t>
        </is>
      </c>
      <c r="G279" t="inlineStr">
        <is>
          <t>HÄRNÖSAND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54091-2024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45616</v>
      </c>
      <c r="E280" s="1" t="n">
        <v>46289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46289</v>
      </c>
      <c r="F281" t="inlineStr">
        <is>
          <t>VÄSTERNORRLANDS LÄN</t>
        </is>
      </c>
      <c r="G281" t="inlineStr">
        <is>
          <t>HÄRNÖSAND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45390</v>
      </c>
      <c r="E282" s="1" t="n">
        <v>46289</v>
      </c>
      <c r="F282" t="inlineStr">
        <is>
          <t>VÄSTERNORRLANDS LÄN</t>
        </is>
      </c>
      <c r="G282" t="inlineStr">
        <is>
          <t>HÄRNÖSAND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45505</v>
      </c>
      <c r="E283" s="1" t="n">
        <v>46289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44755</v>
      </c>
      <c r="E284" s="1" t="n">
        <v>46289</v>
      </c>
      <c r="F284" t="inlineStr">
        <is>
          <t>VÄSTERNORRLANDS LÄN</t>
        </is>
      </c>
      <c r="G284" t="inlineStr">
        <is>
          <t>HÄRNÖSAND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16979-2022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44676</v>
      </c>
      <c r="E285" s="1" t="n">
        <v>46289</v>
      </c>
      <c r="F285" t="inlineStr">
        <is>
          <t>VÄSTERNORRLANDS LÄN</t>
        </is>
      </c>
      <c r="G285" t="inlineStr">
        <is>
          <t>HÄRNÖSAND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46289</v>
      </c>
      <c r="F286" t="inlineStr">
        <is>
          <t>VÄSTERNORRLANDS LÄN</t>
        </is>
      </c>
      <c r="G286" t="inlineStr">
        <is>
          <t>HÄRNÖSAND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46289</v>
      </c>
      <c r="F287" t="inlineStr">
        <is>
          <t>VÄSTERNORRLANDS LÄN</t>
        </is>
      </c>
      <c r="G287" t="inlineStr">
        <is>
          <t>HÄRNÖSAND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19827-2022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44694</v>
      </c>
      <c r="E288" s="1" t="n">
        <v>46289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44747</v>
      </c>
      <c r="E289" s="1" t="n">
        <v>46289</v>
      </c>
      <c r="F289" t="inlineStr">
        <is>
          <t>VÄSTERNORRLANDS LÄN</t>
        </is>
      </c>
      <c r="G289" t="inlineStr">
        <is>
          <t>HÄRNÖSAND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46289</v>
      </c>
      <c r="F290" t="inlineStr">
        <is>
          <t>VÄSTERNORRLANDS LÄN</t>
        </is>
      </c>
      <c r="G290" t="inlineStr">
        <is>
          <t>HÄRNÖSAND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45762</v>
      </c>
      <c r="E291" s="1" t="n">
        <v>46289</v>
      </c>
      <c r="F291" t="inlineStr">
        <is>
          <t>VÄSTERNORRLANDS LÄN</t>
        </is>
      </c>
      <c r="G291" t="inlineStr">
        <is>
          <t>HÄRNÖSAND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46289</v>
      </c>
      <c r="F292" t="inlineStr">
        <is>
          <t>VÄSTERNORRLANDS LÄN</t>
        </is>
      </c>
      <c r="G292" t="inlineStr">
        <is>
          <t>HÄRNÖSAND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44617</v>
      </c>
      <c r="E293" s="1" t="n">
        <v>46289</v>
      </c>
      <c r="F293" t="inlineStr">
        <is>
          <t>VÄSTERNORRLANDS LÄN</t>
        </is>
      </c>
      <c r="G293" t="inlineStr">
        <is>
          <t>HÄRNÖSAND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45428</v>
      </c>
      <c r="E294" s="1" t="n">
        <v>46289</v>
      </c>
      <c r="F294" t="inlineStr">
        <is>
          <t>VÄSTERNORRLANDS LÄN</t>
        </is>
      </c>
      <c r="G294" t="inlineStr">
        <is>
          <t>HÄRNÖSAND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46289</v>
      </c>
      <c r="F295" t="inlineStr">
        <is>
          <t>VÄSTERNORRLANDS LÄN</t>
        </is>
      </c>
      <c r="G295" t="inlineStr">
        <is>
          <t>HÄRNÖSAND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36496-2023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45152</v>
      </c>
      <c r="E296" s="1" t="n">
        <v>46289</v>
      </c>
      <c r="F296" t="inlineStr">
        <is>
          <t>VÄSTERNORRLANDS LÄN</t>
        </is>
      </c>
      <c r="G296" t="inlineStr">
        <is>
          <t>HÄRNÖSAND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25430-2022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44732</v>
      </c>
      <c r="E297" s="1" t="n">
        <v>46289</v>
      </c>
      <c r="F297" t="inlineStr">
        <is>
          <t>VÄSTERNORRLANDS LÄN</t>
        </is>
      </c>
      <c r="G297" t="inlineStr">
        <is>
          <t>HÄRNÖSAND</t>
        </is>
      </c>
      <c r="I297" t="n">
        <v>18.7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46289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44858</v>
      </c>
      <c r="E299" s="1" t="n">
        <v>46289</v>
      </c>
      <c r="F299" t="inlineStr">
        <is>
          <t>VÄSTERNORRLANDS LÄN</t>
        </is>
      </c>
      <c r="G299" t="inlineStr">
        <is>
          <t>HÄRNÖSAND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46289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46289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45293</v>
      </c>
      <c r="E302" s="1" t="n">
        <v>46289</v>
      </c>
      <c r="F302" t="inlineStr">
        <is>
          <t>VÄSTERNORRLANDS LÄN</t>
        </is>
      </c>
      <c r="G302" t="inlineStr">
        <is>
          <t>HÄRNÖSAND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56395-2022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44890</v>
      </c>
      <c r="E303" s="1" t="n">
        <v>46289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Kyrkan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46289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46289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46289</v>
      </c>
      <c r="F306" t="inlineStr">
        <is>
          <t>VÄSTERNORRLANDS LÄN</t>
        </is>
      </c>
      <c r="G306" t="inlineStr">
        <is>
          <t>HÄRNÖSAND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46289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46289</v>
      </c>
      <c r="F308" t="inlineStr">
        <is>
          <t>VÄSTERNORRLANDS LÄN</t>
        </is>
      </c>
      <c r="G308" t="inlineStr">
        <is>
          <t>HÄRNÖSAND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46289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44706</v>
      </c>
      <c r="E310" s="1" t="n">
        <v>46289</v>
      </c>
      <c r="F310" t="inlineStr">
        <is>
          <t>VÄSTERNORRLANDS LÄN</t>
        </is>
      </c>
      <c r="G310" t="inlineStr">
        <is>
          <t>HÄRNÖSAND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24813-2022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46289</v>
      </c>
      <c r="F311" t="inlineStr">
        <is>
          <t>VÄSTERNORRLANDS LÄN</t>
        </is>
      </c>
      <c r="G311" t="inlineStr">
        <is>
          <t>HÄRNÖSAND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46289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46289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46289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46289</v>
      </c>
      <c r="F315" t="inlineStr">
        <is>
          <t>VÄSTERNORRLANDS LÄN</t>
        </is>
      </c>
      <c r="G315" t="inlineStr">
        <is>
          <t>HÄRNÖSAND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46289</v>
      </c>
      <c r="F316" t="inlineStr">
        <is>
          <t>VÄSTERNORRLANDS LÄN</t>
        </is>
      </c>
      <c r="G316" t="inlineStr">
        <is>
          <t>HÄRNÖSAND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46289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46289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46289</v>
      </c>
      <c r="F319" t="inlineStr">
        <is>
          <t>VÄSTERNORRLANDS LÄN</t>
        </is>
      </c>
      <c r="G319" t="inlineStr">
        <is>
          <t>HÄRNÖSAND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46289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46289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45825</v>
      </c>
      <c r="E322" s="1" t="n">
        <v>46289</v>
      </c>
      <c r="F322" t="inlineStr">
        <is>
          <t>VÄSTERNORRLANDS LÄN</t>
        </is>
      </c>
      <c r="G322" t="inlineStr">
        <is>
          <t>HÄRNÖSAND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46289</v>
      </c>
      <c r="F323" t="inlineStr">
        <is>
          <t>VÄSTERNORRLANDS LÄN</t>
        </is>
      </c>
      <c r="G323" t="inlineStr">
        <is>
          <t>HÄRNÖSAND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29549-2025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46289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29550-2025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46289</v>
      </c>
      <c r="F325" t="inlineStr">
        <is>
          <t>VÄSTERNORRLANDS LÄN</t>
        </is>
      </c>
      <c r="G325" t="inlineStr">
        <is>
          <t>HÄRNÖSAND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42646-2023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45181</v>
      </c>
      <c r="E326" s="1" t="n">
        <v>46289</v>
      </c>
      <c r="F326" t="inlineStr">
        <is>
          <t>VÄSTERNORRLANDS LÄN</t>
        </is>
      </c>
      <c r="G326" t="inlineStr">
        <is>
          <t>HÄRNÖSAND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46289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44728</v>
      </c>
      <c r="E328" s="1" t="n">
        <v>46289</v>
      </c>
      <c r="F328" t="inlineStr">
        <is>
          <t>VÄSTERNORRLANDS LÄN</t>
        </is>
      </c>
      <c r="G328" t="inlineStr">
        <is>
          <t>HÄRNÖSAND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59408-2024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45638</v>
      </c>
      <c r="E329" s="1" t="n">
        <v>46289</v>
      </c>
      <c r="F329" t="inlineStr">
        <is>
          <t>VÄSTERNORRLANDS LÄN</t>
        </is>
      </c>
      <c r="G329" t="inlineStr">
        <is>
          <t>HÄRNÖSAND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46289</v>
      </c>
      <c r="F330" t="inlineStr">
        <is>
          <t>VÄSTERNORRLANDS LÄN</t>
        </is>
      </c>
      <c r="G330" t="inlineStr">
        <is>
          <t>HÄRNÖSAND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58995-2025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45987</v>
      </c>
      <c r="E331" s="1" t="n">
        <v>46289</v>
      </c>
      <c r="F331" t="inlineStr">
        <is>
          <t>VÄSTERNORRLANDS LÄN</t>
        </is>
      </c>
      <c r="G331" t="inlineStr">
        <is>
          <t>HÄRNÖSAND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45699</v>
      </c>
      <c r="E332" s="1" t="n">
        <v>46289</v>
      </c>
      <c r="F332" t="inlineStr">
        <is>
          <t>VÄSTERNORRLANDS LÄN</t>
        </is>
      </c>
      <c r="G332" t="inlineStr">
        <is>
          <t>HÄRNÖSAND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46289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Kyrkan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46289</v>
      </c>
      <c r="F334" t="inlineStr">
        <is>
          <t>VÄSTERNORRLANDS LÄN</t>
        </is>
      </c>
      <c r="G334" t="inlineStr">
        <is>
          <t>HÄRNÖSAND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27912-2022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44743</v>
      </c>
      <c r="E335" s="1" t="n">
        <v>46289</v>
      </c>
      <c r="F335" t="inlineStr">
        <is>
          <t>VÄSTERNORRLANDS LÄN</t>
        </is>
      </c>
      <c r="G335" t="inlineStr">
        <is>
          <t>HÄRNÖSAND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46289</v>
      </c>
      <c r="F336" t="inlineStr">
        <is>
          <t>VÄSTERNORRLANDS LÄN</t>
        </is>
      </c>
      <c r="G336" t="inlineStr">
        <is>
          <t>HÄRNÖSAND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44847</v>
      </c>
      <c r="E337" s="1" t="n">
        <v>46289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Kyrkan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46024</v>
      </c>
      <c r="E338" s="1" t="n">
        <v>46289</v>
      </c>
      <c r="F338" t="inlineStr">
        <is>
          <t>VÄSTERNORRLANDS LÄN</t>
        </is>
      </c>
      <c r="G338" t="inlineStr">
        <is>
          <t>HÄRNÖSAND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46289</v>
      </c>
      <c r="F339" t="inlineStr">
        <is>
          <t>VÄSTERNORRLANDS LÄN</t>
        </is>
      </c>
      <c r="G339" t="inlineStr">
        <is>
          <t>HÄRNÖSAND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46023</v>
      </c>
      <c r="E340" s="1" t="n">
        <v>46289</v>
      </c>
      <c r="F340" t="inlineStr">
        <is>
          <t>VÄSTERNORRLANDS LÄN</t>
        </is>
      </c>
      <c r="G340" t="inlineStr">
        <is>
          <t>HÄRNÖSAND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46289</v>
      </c>
      <c r="F341" t="inlineStr">
        <is>
          <t>VÄSTERNORRLANDS LÄN</t>
        </is>
      </c>
      <c r="G341" t="inlineStr">
        <is>
          <t>HÄRNÖSAND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46023</v>
      </c>
      <c r="E342" s="1" t="n">
        <v>46289</v>
      </c>
      <c r="F342" t="inlineStr">
        <is>
          <t>VÄSTERNORRLANDS LÄN</t>
        </is>
      </c>
      <c r="G342" t="inlineStr">
        <is>
          <t>HÄRNÖSAND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46289</v>
      </c>
      <c r="F343" t="inlineStr">
        <is>
          <t>VÄSTERNORRLANDS LÄN</t>
        </is>
      </c>
      <c r="G343" t="inlineStr">
        <is>
          <t>HÄRNÖSAND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44726</v>
      </c>
      <c r="E344" s="1" t="n">
        <v>46289</v>
      </c>
      <c r="F344" t="inlineStr">
        <is>
          <t>VÄSTERNORRLANDS LÄN</t>
        </is>
      </c>
      <c r="G344" t="inlineStr">
        <is>
          <t>HÄRNÖSAND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45723</v>
      </c>
      <c r="E345" s="1" t="n">
        <v>46289</v>
      </c>
      <c r="F345" t="inlineStr">
        <is>
          <t>VÄSTERNORRLANDS LÄN</t>
        </is>
      </c>
      <c r="G345" t="inlineStr">
        <is>
          <t>HÄRNÖSAND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46289</v>
      </c>
      <c r="F346" t="inlineStr">
        <is>
          <t>VÄSTERNORRLANDS LÄN</t>
        </is>
      </c>
      <c r="G346" t="inlineStr">
        <is>
          <t>HÄRNÖSAND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46029</v>
      </c>
      <c r="E347" s="1" t="n">
        <v>46289</v>
      </c>
      <c r="F347" t="inlineStr">
        <is>
          <t>VÄSTERNORRLANDS LÄN</t>
        </is>
      </c>
      <c r="G347" t="inlineStr">
        <is>
          <t>HÄRNÖSAND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45126</v>
      </c>
      <c r="E348" s="1" t="n">
        <v>46289</v>
      </c>
      <c r="F348" t="inlineStr">
        <is>
          <t>VÄSTERNORRLANDS LÄN</t>
        </is>
      </c>
      <c r="G348" t="inlineStr">
        <is>
          <t>HÄRNÖSAND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46289</v>
      </c>
      <c r="F349" t="inlineStr">
        <is>
          <t>VÄSTERNORRLANDS LÄN</t>
        </is>
      </c>
      <c r="G349" t="inlineStr">
        <is>
          <t>HÄRNÖSAND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46289</v>
      </c>
      <c r="F350" t="inlineStr">
        <is>
          <t>VÄSTERNORRLANDS LÄN</t>
        </is>
      </c>
      <c r="G350" t="inlineStr">
        <is>
          <t>HÄRNÖSAND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46289</v>
      </c>
      <c r="F351" t="inlineStr">
        <is>
          <t>VÄSTERNORRLANDS LÄN</t>
        </is>
      </c>
      <c r="G351" t="inlineStr">
        <is>
          <t>HÄRNÖSAND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46289</v>
      </c>
      <c r="F352" t="inlineStr">
        <is>
          <t>VÄSTERNORRLANDS LÄN</t>
        </is>
      </c>
      <c r="G352" t="inlineStr">
        <is>
          <t>HÄRNÖSAND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46289</v>
      </c>
      <c r="F353" t="inlineStr">
        <is>
          <t>VÄSTERNORRLANDS LÄN</t>
        </is>
      </c>
      <c r="G353" t="inlineStr">
        <is>
          <t>HÄRNÖSAND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46289</v>
      </c>
      <c r="F354" t="inlineStr">
        <is>
          <t>VÄSTERNORRLANDS LÄN</t>
        </is>
      </c>
      <c r="G354" t="inlineStr">
        <is>
          <t>HÄRNÖSAND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46289</v>
      </c>
      <c r="F355" t="inlineStr">
        <is>
          <t>VÄSTERNORRLANDS LÄN</t>
        </is>
      </c>
      <c r="G355" t="inlineStr">
        <is>
          <t>HÄRNÖSAND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46289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46289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46289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46289</v>
      </c>
      <c r="F359" t="inlineStr">
        <is>
          <t>VÄSTERNORRLANDS LÄN</t>
        </is>
      </c>
      <c r="G359" t="inlineStr">
        <is>
          <t>HÄRNÖSAND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61189-2025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46289</v>
      </c>
      <c r="F360" t="inlineStr">
        <is>
          <t>VÄSTERNORRLANDS LÄN</t>
        </is>
      </c>
      <c r="G360" t="inlineStr">
        <is>
          <t>HÄRNÖSAND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46289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46289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46289</v>
      </c>
      <c r="F363" t="inlineStr">
        <is>
          <t>VÄSTERNORRLANDS LÄN</t>
        </is>
      </c>
      <c r="G363" t="inlineStr">
        <is>
          <t>HÄRNÖSAND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46289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46289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31890-2025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46289</v>
      </c>
      <c r="F366" t="inlineStr">
        <is>
          <t>VÄSTERNORRLANDS LÄN</t>
        </is>
      </c>
      <c r="G366" t="inlineStr">
        <is>
          <t>HÄRNÖSAND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46289</v>
      </c>
      <c r="F367" t="inlineStr">
        <is>
          <t>VÄSTERNORRLANDS LÄN</t>
        </is>
      </c>
      <c r="G367" t="inlineStr">
        <is>
          <t>HÄRNÖSAND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45350</v>
      </c>
      <c r="E368" s="1" t="n">
        <v>46289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46289</v>
      </c>
      <c r="F369" t="inlineStr">
        <is>
          <t>VÄSTERNORRLANDS LÄN</t>
        </is>
      </c>
      <c r="G369" t="inlineStr">
        <is>
          <t>HÄRNÖSAND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46289</v>
      </c>
      <c r="F370" t="inlineStr">
        <is>
          <t>VÄSTERNORRLANDS LÄN</t>
        </is>
      </c>
      <c r="G370" t="inlineStr">
        <is>
          <t>HÄRNÖSAND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55276-2023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45231</v>
      </c>
      <c r="E371" s="1" t="n">
        <v>46289</v>
      </c>
      <c r="F371" t="inlineStr">
        <is>
          <t>VÄSTERNORRLANDS LÄN</t>
        </is>
      </c>
      <c r="G371" t="inlineStr">
        <is>
          <t>HÄRNÖSAND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45837</v>
      </c>
      <c r="E372" s="1" t="n">
        <v>46289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46289</v>
      </c>
      <c r="F373" t="inlineStr">
        <is>
          <t>VÄSTERNORRLANDS LÄN</t>
        </is>
      </c>
      <c r="G373" t="inlineStr">
        <is>
          <t>HÄRNÖSAND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46289</v>
      </c>
      <c r="F374" t="inlineStr">
        <is>
          <t>VÄSTERNORRLANDS LÄN</t>
        </is>
      </c>
      <c r="G374" t="inlineStr">
        <is>
          <t>HÄRNÖSAND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46289</v>
      </c>
      <c r="F375" t="inlineStr">
        <is>
          <t>VÄSTERNORRLANDS LÄN</t>
        </is>
      </c>
      <c r="G375" t="inlineStr">
        <is>
          <t>HÄRNÖSAND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46289</v>
      </c>
      <c r="F376" t="inlineStr">
        <is>
          <t>VÄSTERNORRLANDS LÄN</t>
        </is>
      </c>
      <c r="G376" t="inlineStr">
        <is>
          <t>HÄRNÖSAND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45072</v>
      </c>
      <c r="E377" s="1" t="n">
        <v>46289</v>
      </c>
      <c r="F377" t="inlineStr">
        <is>
          <t>VÄSTERNORRLANDS LÄN</t>
        </is>
      </c>
      <c r="G377" t="inlineStr">
        <is>
          <t>HÄRNÖSAND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46289</v>
      </c>
      <c r="F378" t="inlineStr">
        <is>
          <t>VÄSTERNORRLANDS LÄN</t>
        </is>
      </c>
      <c r="G378" t="inlineStr">
        <is>
          <t>HÄRNÖSAND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46289</v>
      </c>
      <c r="F379" t="inlineStr">
        <is>
          <t>VÄSTERNORRLANDS LÄN</t>
        </is>
      </c>
      <c r="G379" t="inlineStr">
        <is>
          <t>HÄRNÖSAND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32365-2025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45837</v>
      </c>
      <c r="E380" s="1" t="n">
        <v>46289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45313</v>
      </c>
      <c r="E381" s="1" t="n">
        <v>46289</v>
      </c>
      <c r="F381" t="inlineStr">
        <is>
          <t>VÄSTERNORRLANDS LÄN</t>
        </is>
      </c>
      <c r="G381" t="inlineStr">
        <is>
          <t>HÄRNÖSAND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10549-2024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45366</v>
      </c>
      <c r="E382" s="1" t="n">
        <v>46289</v>
      </c>
      <c r="F382" t="inlineStr">
        <is>
          <t>VÄSTERNORRLANDS LÄN</t>
        </is>
      </c>
      <c r="G382" t="inlineStr">
        <is>
          <t>HÄRNÖSAND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44853</v>
      </c>
      <c r="E383" s="1" t="n">
        <v>46289</v>
      </c>
      <c r="F383" t="inlineStr">
        <is>
          <t>VÄSTERNORRLANDS LÄN</t>
        </is>
      </c>
      <c r="G383" t="inlineStr">
        <is>
          <t>HÄRNÖSAND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46289</v>
      </c>
      <c r="F384" t="inlineStr">
        <is>
          <t>VÄSTERNORRLANDS LÄN</t>
        </is>
      </c>
      <c r="G384" t="inlineStr">
        <is>
          <t>HÄRNÖSAND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46289</v>
      </c>
      <c r="F385" t="inlineStr">
        <is>
          <t>VÄSTERNORRLANDS LÄN</t>
        </is>
      </c>
      <c r="G385" t="inlineStr">
        <is>
          <t>HÄRNÖSAND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46289</v>
      </c>
      <c r="F386" t="inlineStr">
        <is>
          <t>VÄSTERNORRLANDS LÄN</t>
        </is>
      </c>
      <c r="G386" t="inlineStr">
        <is>
          <t>HÄRNÖSAND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46289</v>
      </c>
      <c r="F387" t="inlineStr">
        <is>
          <t>VÄSTERNORRLANDS LÄN</t>
        </is>
      </c>
      <c r="G387" t="inlineStr">
        <is>
          <t>HÄRNÖSAND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45749</v>
      </c>
      <c r="E388" s="1" t="n">
        <v>46289</v>
      </c>
      <c r="F388" t="inlineStr">
        <is>
          <t>VÄSTERNORRLANDS LÄN</t>
        </is>
      </c>
      <c r="G388" t="inlineStr">
        <is>
          <t>HÄRNÖSAND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17516-2025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45757</v>
      </c>
      <c r="E389" s="1" t="n">
        <v>46289</v>
      </c>
      <c r="F389" t="inlineStr">
        <is>
          <t>VÄSTERNORRLANDS LÄN</t>
        </is>
      </c>
      <c r="G389" t="inlineStr">
        <is>
          <t>HÄRNÖSAND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46289</v>
      </c>
      <c r="F390" t="inlineStr">
        <is>
          <t>VÄSTERNORRLANDS LÄN</t>
        </is>
      </c>
      <c r="G390" t="inlineStr">
        <is>
          <t>HÄRNÖSAND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46289</v>
      </c>
      <c r="F391" t="inlineStr">
        <is>
          <t>VÄSTERNORRLANDS LÄN</t>
        </is>
      </c>
      <c r="G391" t="inlineStr">
        <is>
          <t>HÄRNÖSAND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44792</v>
      </c>
      <c r="E392" s="1" t="n">
        <v>46289</v>
      </c>
      <c r="F392" t="inlineStr">
        <is>
          <t>VÄSTERNORRLANDS LÄN</t>
        </is>
      </c>
      <c r="G392" t="inlineStr">
        <is>
          <t>HÄRNÖSAND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46289</v>
      </c>
      <c r="F393" t="inlineStr">
        <is>
          <t>VÄSTERNORRLANDS LÄN</t>
        </is>
      </c>
      <c r="G393" t="inlineStr">
        <is>
          <t>HÄRNÖSAND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45733</v>
      </c>
      <c r="E394" s="1" t="n">
        <v>46289</v>
      </c>
      <c r="F394" t="inlineStr">
        <is>
          <t>VÄSTERNORRLANDS LÄN</t>
        </is>
      </c>
      <c r="G394" t="inlineStr">
        <is>
          <t>HÄRNÖSAND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30710-2024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45496</v>
      </c>
      <c r="E395" s="1" t="n">
        <v>46289</v>
      </c>
      <c r="F395" t="inlineStr">
        <is>
          <t>VÄSTERNORRLANDS LÄN</t>
        </is>
      </c>
      <c r="G395" t="inlineStr">
        <is>
          <t>HÄRNÖSAND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45352</v>
      </c>
      <c r="E396" s="1" t="n">
        <v>46289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46289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46289</v>
      </c>
      <c r="F398" t="inlineStr">
        <is>
          <t>VÄSTERNORRLANDS LÄN</t>
        </is>
      </c>
      <c r="G398" t="inlineStr">
        <is>
          <t>HÄRNÖSAND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64377-2023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45280</v>
      </c>
      <c r="E399" s="1" t="n">
        <v>46289</v>
      </c>
      <c r="F399" t="inlineStr">
        <is>
          <t>VÄSTERNORRLANDS LÄN</t>
        </is>
      </c>
      <c r="G399" t="inlineStr">
        <is>
          <t>HÄRNÖSAND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46054</v>
      </c>
      <c r="E400" s="1" t="n">
        <v>46289</v>
      </c>
      <c r="F400" t="inlineStr">
        <is>
          <t>VÄSTERNORRLANDS LÄN</t>
        </is>
      </c>
      <c r="G400" t="inlineStr">
        <is>
          <t>HÄRNÖSAND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46289</v>
      </c>
      <c r="F401" t="inlineStr">
        <is>
          <t>VÄSTERNORRLANDS LÄN</t>
        </is>
      </c>
      <c r="G401" t="inlineStr">
        <is>
          <t>HÄRNÖSAND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46289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46289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23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45462</v>
      </c>
      <c r="E404" s="1" t="n">
        <v>46289</v>
      </c>
      <c r="F404" t="inlineStr">
        <is>
          <t>VÄSTERNORRLANDS LÄN</t>
        </is>
      </c>
      <c r="G404" t="inlineStr">
        <is>
          <t>HÄRNÖSAND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52987-2022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44875</v>
      </c>
      <c r="E405" s="1" t="n">
        <v>46289</v>
      </c>
      <c r="F405" t="inlineStr">
        <is>
          <t>VÄSTERNORRLANDS LÄN</t>
        </is>
      </c>
      <c r="G405" t="inlineStr">
        <is>
          <t>HÄRNÖSAND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45482</v>
      </c>
      <c r="E406" s="1" t="n">
        <v>46289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46289</v>
      </c>
      <c r="F407" t="inlineStr">
        <is>
          <t>VÄSTERNORRLANDS LÄN</t>
        </is>
      </c>
      <c r="G407" t="inlineStr">
        <is>
          <t>HÄRNÖSAND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46289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46286</v>
      </c>
      <c r="E409" s="1" t="n">
        <v>46289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46289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Kyrkan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46289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Kyrkan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46289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Kyrkan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46289</v>
      </c>
      <c r="F413" t="inlineStr">
        <is>
          <t>VÄSTERNORRLANDS LÄN</t>
        </is>
      </c>
      <c r="G413" t="inlineStr">
        <is>
          <t>HÄRNÖSAND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46289</v>
      </c>
      <c r="F414" t="inlineStr">
        <is>
          <t>VÄSTERNORRLANDS LÄN</t>
        </is>
      </c>
      <c r="G414" t="inlineStr">
        <is>
          <t>HÄRNÖSAND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45496</v>
      </c>
      <c r="E415" s="1" t="n">
        <v>46289</v>
      </c>
      <c r="F415" t="inlineStr">
        <is>
          <t>VÄSTERNORRLANDS LÄN</t>
        </is>
      </c>
      <c r="G415" t="inlineStr">
        <is>
          <t>HÄRNÖSAND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46070</v>
      </c>
      <c r="E416" s="1" t="n">
        <v>46289</v>
      </c>
      <c r="F416" t="inlineStr">
        <is>
          <t>VÄSTERNORRLANDS LÄN</t>
        </is>
      </c>
      <c r="G416" t="inlineStr">
        <is>
          <t>HÄRNÖSAND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46070</v>
      </c>
      <c r="E417" s="1" t="n">
        <v>46289</v>
      </c>
      <c r="F417" t="inlineStr">
        <is>
          <t>VÄSTERNORRLANDS LÄN</t>
        </is>
      </c>
      <c r="G417" t="inlineStr">
        <is>
          <t>HÄRNÖSAND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44957</v>
      </c>
      <c r="E418" s="1" t="n">
        <v>46289</v>
      </c>
      <c r="F418" t="inlineStr">
        <is>
          <t>VÄSTERNORRLANDS LÄN</t>
        </is>
      </c>
      <c r="G418" t="inlineStr">
        <is>
          <t>HÄRNÖSAND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46289</v>
      </c>
      <c r="F419" t="inlineStr">
        <is>
          <t>VÄSTERNORRLANDS LÄN</t>
        </is>
      </c>
      <c r="G419" t="inlineStr">
        <is>
          <t>HÄRNÖSAND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9053-2026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46289</v>
      </c>
      <c r="F420" t="inlineStr">
        <is>
          <t>VÄSTERNORRLANDS LÄN</t>
        </is>
      </c>
      <c r="G420" t="inlineStr">
        <is>
          <t>HÄRNÖSAND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46289</v>
      </c>
      <c r="F421" t="inlineStr">
        <is>
          <t>VÄSTERNORRLANDS LÄN</t>
        </is>
      </c>
      <c r="G421" t="inlineStr">
        <is>
          <t>HÄRNÖSAND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46289</v>
      </c>
      <c r="F422" t="inlineStr">
        <is>
          <t>VÄSTERNORRLANDS LÄN</t>
        </is>
      </c>
      <c r="G422" t="inlineStr">
        <is>
          <t>HÄRNÖSAND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59034-2022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44903</v>
      </c>
      <c r="E423" s="1" t="n">
        <v>46289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9804-2026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46289</v>
      </c>
      <c r="F424" t="inlineStr">
        <is>
          <t>VÄSTERNORRLANDS LÄN</t>
        </is>
      </c>
      <c r="G424" t="inlineStr">
        <is>
          <t>HÄRNÖSAND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46289</v>
      </c>
      <c r="F425" t="inlineStr">
        <is>
          <t>VÄSTERNORRLANDS LÄN</t>
        </is>
      </c>
      <c r="G425" t="inlineStr">
        <is>
          <t>HÄRNÖSAND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46289</v>
      </c>
      <c r="F426" t="inlineStr">
        <is>
          <t>VÄSTERNORRLANDS LÄN</t>
        </is>
      </c>
      <c r="G426" t="inlineStr">
        <is>
          <t>HÄRNÖSAND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46289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46288</v>
      </c>
      <c r="E428" s="1" t="n">
        <v>46289</v>
      </c>
      <c r="F428" t="inlineStr">
        <is>
          <t>VÄSTERNORRLANDS LÄN</t>
        </is>
      </c>
      <c r="G428" t="inlineStr">
        <is>
          <t>HÄRNÖSAND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46288</v>
      </c>
      <c r="E429" s="1" t="n">
        <v>46289</v>
      </c>
      <c r="F429" t="inlineStr">
        <is>
          <t>VÄSTERNORRLANDS LÄN</t>
        </is>
      </c>
      <c r="G429" t="inlineStr">
        <is>
          <t>HÄRNÖSAND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46289</v>
      </c>
      <c r="F430" t="inlineStr">
        <is>
          <t>VÄSTERNORRLANDS LÄN</t>
        </is>
      </c>
      <c r="G430" t="inlineStr">
        <is>
          <t>HÄRNÖSAND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32847-2026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46289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Kyrkan</t>
        </is>
      </c>
      <c r="I431" t="n">
        <v>24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11881-2024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45376</v>
      </c>
      <c r="E432" s="1" t="n">
        <v>46289</v>
      </c>
      <c r="F432" t="inlineStr">
        <is>
          <t>VÄSTERNORRLANDS LÄN</t>
        </is>
      </c>
      <c r="G432" t="inlineStr">
        <is>
          <t>HÄRNÖSAND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11202-2026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46080</v>
      </c>
      <c r="E433" s="1" t="n">
        <v>46289</v>
      </c>
      <c r="F433" t="inlineStr">
        <is>
          <t>VÄSTERNORRLANDS LÄN</t>
        </is>
      </c>
      <c r="G433" t="inlineStr">
        <is>
          <t>HÄRNÖSAND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38999-2026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46289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46289</v>
      </c>
      <c r="F435" t="inlineStr">
        <is>
          <t>VÄSTERNORRLANDS LÄN</t>
        </is>
      </c>
      <c r="G435" t="inlineStr">
        <is>
          <t>HÄRNÖSAND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39395-2026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46288</v>
      </c>
      <c r="E436" s="1" t="n">
        <v>46289</v>
      </c>
      <c r="F436" t="inlineStr">
        <is>
          <t>VÄSTERNORRLANDS LÄN</t>
        </is>
      </c>
      <c r="G436" t="inlineStr">
        <is>
          <t>HÄRNÖSAND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46289</v>
      </c>
      <c r="F437" t="inlineStr">
        <is>
          <t>VÄSTERNORRLANDS LÄN</t>
        </is>
      </c>
      <c r="G437" t="inlineStr">
        <is>
          <t>HÄRNÖSAND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46289</v>
      </c>
      <c r="F438" t="inlineStr">
        <is>
          <t>VÄSTERNORRLANDS LÄN</t>
        </is>
      </c>
      <c r="G438" t="inlineStr">
        <is>
          <t>HÄRNÖSAND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46289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Övriga statliga verk och myndigheter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12650-2026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46091</v>
      </c>
      <c r="E440" s="1" t="n">
        <v>46289</v>
      </c>
      <c r="F440" t="inlineStr">
        <is>
          <t>VÄSTERNORRLANDS LÄN</t>
        </is>
      </c>
      <c r="G440" t="inlineStr">
        <is>
          <t>HÄRNÖSAND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56165-2022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44889</v>
      </c>
      <c r="E441" s="1" t="n">
        <v>46289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45289</v>
      </c>
      <c r="E442" s="1" t="n">
        <v>46289</v>
      </c>
      <c r="F442" t="inlineStr">
        <is>
          <t>VÄSTERNORRLANDS LÄN</t>
        </is>
      </c>
      <c r="G442" t="inlineStr">
        <is>
          <t>HÄRNÖSAND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45687-2022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44845</v>
      </c>
      <c r="E443" s="1" t="n">
        <v>46289</v>
      </c>
      <c r="F443" t="inlineStr">
        <is>
          <t>VÄSTERNORRLANDS LÄN</t>
        </is>
      </c>
      <c r="G443" t="inlineStr">
        <is>
          <t>HÄRNÖSAND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46289</v>
      </c>
      <c r="F444" t="inlineStr">
        <is>
          <t>VÄSTERNORRLANDS LÄN</t>
        </is>
      </c>
      <c r="G444" t="inlineStr">
        <is>
          <t>HÄRNÖSAND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46289</v>
      </c>
      <c r="F445" t="inlineStr">
        <is>
          <t>VÄSTERNORRLANDS LÄN</t>
        </is>
      </c>
      <c r="G445" t="inlineStr">
        <is>
          <t>HÄRNÖSAND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45072</v>
      </c>
      <c r="E446" s="1" t="n">
        <v>46289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Kyrkan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46289</v>
      </c>
      <c r="F447" t="inlineStr">
        <is>
          <t>VÄSTERNORRLANDS LÄN</t>
        </is>
      </c>
      <c r="G447" t="inlineStr">
        <is>
          <t>HÄRNÖSAND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46289</v>
      </c>
      <c r="F448" t="inlineStr">
        <is>
          <t>VÄSTERNORRLANDS LÄN</t>
        </is>
      </c>
      <c r="G448" t="inlineStr">
        <is>
          <t>HÄRNÖSAND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45848</v>
      </c>
      <c r="E449" s="1" t="n">
        <v>46289</v>
      </c>
      <c r="F449" t="inlineStr">
        <is>
          <t>VÄSTERNORRLANDS LÄN</t>
        </is>
      </c>
      <c r="G449" t="inlineStr">
        <is>
          <t>HÄRNÖSAND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34751-2025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45848</v>
      </c>
      <c r="E450" s="1" t="n">
        <v>46289</v>
      </c>
      <c r="F450" t="inlineStr">
        <is>
          <t>VÄSTERNORRLANDS LÄN</t>
        </is>
      </c>
      <c r="G450" t="inlineStr">
        <is>
          <t>HÄRNÖSAND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45194</v>
      </c>
      <c r="E451" s="1" t="n">
        <v>46289</v>
      </c>
      <c r="F451" t="inlineStr">
        <is>
          <t>VÄSTERNORRLANDS LÄN</t>
        </is>
      </c>
      <c r="G451" t="inlineStr">
        <is>
          <t>HÄRNÖSAND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65222-2023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45289</v>
      </c>
      <c r="E452" s="1" t="n">
        <v>46289</v>
      </c>
      <c r="F452" t="inlineStr">
        <is>
          <t>VÄSTERNORRLANDS LÄN</t>
        </is>
      </c>
      <c r="G452" t="inlineStr">
        <is>
          <t>HÄRNÖSAND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44580</v>
      </c>
      <c r="E453" s="1" t="n">
        <v>46289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46289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46289</v>
      </c>
      <c r="F455" t="inlineStr">
        <is>
          <t>VÄSTERNORRLANDS LÄN</t>
        </is>
      </c>
      <c r="G455" t="inlineStr">
        <is>
          <t>HÄRNÖSAND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27976-2024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45476</v>
      </c>
      <c r="E456" s="1" t="n">
        <v>46289</v>
      </c>
      <c r="F456" t="inlineStr">
        <is>
          <t>VÄSTERNORRLANDS LÄN</t>
        </is>
      </c>
      <c r="G456" t="inlineStr">
        <is>
          <t>HÄRNÖSAND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45749</v>
      </c>
      <c r="E457" s="1" t="n">
        <v>46289</v>
      </c>
      <c r="F457" t="inlineStr">
        <is>
          <t>VÄSTERNORRLANDS LÄN</t>
        </is>
      </c>
      <c r="G457" t="inlineStr">
        <is>
          <t>HÄRNÖSAND</t>
        </is>
      </c>
      <c r="I457" t="n">
        <v>10.3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13611-2023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45006</v>
      </c>
      <c r="E458" s="1" t="n">
        <v>46289</v>
      </c>
      <c r="F458" t="inlineStr">
        <is>
          <t>VÄSTERNORRLANDS LÄN</t>
        </is>
      </c>
      <c r="G458" t="inlineStr">
        <is>
          <t>HÄRNÖSAND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14665-2026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46289</v>
      </c>
      <c r="F459" t="inlineStr">
        <is>
          <t>VÄSTERNORRLANDS LÄN</t>
        </is>
      </c>
      <c r="G459" t="inlineStr">
        <is>
          <t>HÄRNÖSAND</t>
        </is>
      </c>
      <c r="H459" t="inlineStr">
        <is>
          <t>SCA</t>
        </is>
      </c>
      <c r="I459" t="n">
        <v>16.2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35189-2025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45853</v>
      </c>
      <c r="E460" s="1" t="n">
        <v>46289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45300</v>
      </c>
      <c r="E461" s="1" t="n">
        <v>46289</v>
      </c>
      <c r="F461" t="inlineStr">
        <is>
          <t>VÄSTERNORRLANDS LÄN</t>
        </is>
      </c>
      <c r="G461" t="inlineStr">
        <is>
          <t>HÄRNÖSAND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14936-2026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46104</v>
      </c>
      <c r="E462" s="1" t="n">
        <v>46289</v>
      </c>
      <c r="F462" t="inlineStr">
        <is>
          <t>VÄSTERNORRLANDS LÄN</t>
        </is>
      </c>
      <c r="G462" t="inlineStr">
        <is>
          <t>HÄRNÖSAND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45035</v>
      </c>
      <c r="E463" s="1" t="n">
        <v>46289</v>
      </c>
      <c r="F463" t="inlineStr">
        <is>
          <t>VÄSTERNORRLANDS LÄN</t>
        </is>
      </c>
      <c r="G463" t="inlineStr">
        <is>
          <t>HÄRNÖSAND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46289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15160-2026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46105</v>
      </c>
      <c r="E465" s="1" t="n">
        <v>46289</v>
      </c>
      <c r="F465" t="inlineStr">
        <is>
          <t>VÄSTERNORRLANDS LÄN</t>
        </is>
      </c>
      <c r="G465" t="inlineStr">
        <is>
          <t>HÄRNÖSAND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46105</v>
      </c>
      <c r="E466" s="1" t="n">
        <v>46289</v>
      </c>
      <c r="F466" t="inlineStr">
        <is>
          <t>VÄSTERNORRLANDS LÄN</t>
        </is>
      </c>
      <c r="G466" t="inlineStr">
        <is>
          <t>HÄRNÖSAND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46289</v>
      </c>
      <c r="F467" t="inlineStr">
        <is>
          <t>VÄSTERNORRLANDS LÄN</t>
        </is>
      </c>
      <c r="G467" t="inlineStr">
        <is>
          <t>HÄRNÖSAND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46289</v>
      </c>
      <c r="F468" t="inlineStr">
        <is>
          <t>VÄSTERNORRLANDS LÄN</t>
        </is>
      </c>
      <c r="G468" t="inlineStr">
        <is>
          <t>HÄRNÖSAND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46289</v>
      </c>
      <c r="F469" t="inlineStr">
        <is>
          <t>VÄSTERNORRLANDS LÄN</t>
        </is>
      </c>
      <c r="G469" t="inlineStr">
        <is>
          <t>HÄRNÖSAND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46289</v>
      </c>
      <c r="F470" t="inlineStr">
        <is>
          <t>VÄSTERNORRLANDS LÄN</t>
        </is>
      </c>
      <c r="G470" t="inlineStr">
        <is>
          <t>HÄRNÖSAND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52237-2022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44869</v>
      </c>
      <c r="E471" s="1" t="n">
        <v>46289</v>
      </c>
      <c r="F471" t="inlineStr">
        <is>
          <t>VÄSTERNORRLANDS LÄN</t>
        </is>
      </c>
      <c r="G471" t="inlineStr">
        <is>
          <t>HÄRNÖSAND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15921-2026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46107</v>
      </c>
      <c r="E472" s="1" t="n">
        <v>46289</v>
      </c>
      <c r="F472" t="inlineStr">
        <is>
          <t>VÄSTERNORRLANDS LÄN</t>
        </is>
      </c>
      <c r="G472" t="inlineStr">
        <is>
          <t>HÄRNÖSAND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15930-2026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46289</v>
      </c>
      <c r="F473" t="inlineStr">
        <is>
          <t>VÄSTERNORRLANDS LÄN</t>
        </is>
      </c>
      <c r="G473" t="inlineStr">
        <is>
          <t>HÄRNÖSAND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45729</v>
      </c>
      <c r="E474" s="1" t="n">
        <v>46289</v>
      </c>
      <c r="F474" t="inlineStr">
        <is>
          <t>VÄSTERNORRLANDS LÄN</t>
        </is>
      </c>
      <c r="G474" t="inlineStr">
        <is>
          <t>HÄRNÖSAND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14494-2025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45741</v>
      </c>
      <c r="E475" s="1" t="n">
        <v>46289</v>
      </c>
      <c r="F475" t="inlineStr">
        <is>
          <t>VÄSTERNORRLANDS LÄN</t>
        </is>
      </c>
      <c r="G475" t="inlineStr">
        <is>
          <t>HÄRNÖSAND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46289</v>
      </c>
      <c r="F476" t="inlineStr">
        <is>
          <t>VÄSTERNORRLANDS LÄN</t>
        </is>
      </c>
      <c r="G476" t="inlineStr">
        <is>
          <t>HÄRNÖSAND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44973</v>
      </c>
      <c r="E477" s="1" t="n">
        <v>46289</v>
      </c>
      <c r="F477" t="inlineStr">
        <is>
          <t>VÄSTERNORRLANDS LÄN</t>
        </is>
      </c>
      <c r="G477" t="inlineStr">
        <is>
          <t>HÄRNÖSAND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46289</v>
      </c>
      <c r="F478" t="inlineStr">
        <is>
          <t>VÄSTERNORRLANDS LÄN</t>
        </is>
      </c>
      <c r="G478" t="inlineStr">
        <is>
          <t>HÄRNÖSAND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46113</v>
      </c>
      <c r="E479" s="1" t="n">
        <v>46289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44459-2024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45574</v>
      </c>
      <c r="E480" s="1" t="n">
        <v>46289</v>
      </c>
      <c r="F480" t="inlineStr">
        <is>
          <t>VÄSTERNORRLANDS LÄN</t>
        </is>
      </c>
      <c r="G480" t="inlineStr">
        <is>
          <t>HÄRNÖSAND</t>
        </is>
      </c>
      <c r="I480" t="n">
        <v>9.5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45741</v>
      </c>
      <c r="E481" s="1" t="n">
        <v>46289</v>
      </c>
      <c r="F481" t="inlineStr">
        <is>
          <t>VÄSTERNORRLANDS LÄN</t>
        </is>
      </c>
      <c r="G481" t="inlineStr">
        <is>
          <t>HÄRNÖSAND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12533-2023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45000</v>
      </c>
      <c r="E482" s="1" t="n">
        <v>46289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12543-2023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45000</v>
      </c>
      <c r="E483" s="1" t="n">
        <v>46289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58869-2023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45250</v>
      </c>
      <c r="E484" s="1" t="n">
        <v>46289</v>
      </c>
      <c r="F484" t="inlineStr">
        <is>
          <t>VÄSTERNORRLANDS LÄN</t>
        </is>
      </c>
      <c r="G484" t="inlineStr">
        <is>
          <t>HÄRNÖSAND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46289</v>
      </c>
      <c r="F485" t="inlineStr">
        <is>
          <t>VÄSTERNORRLANDS LÄN</t>
        </is>
      </c>
      <c r="G485" t="inlineStr">
        <is>
          <t>HÄRNÖSAND</t>
        </is>
      </c>
      <c r="I485" t="n">
        <v>10.8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18979-2023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45044</v>
      </c>
      <c r="E486" s="1" t="n">
        <v>46289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46289</v>
      </c>
      <c r="F487" t="inlineStr">
        <is>
          <t>VÄSTERNORRLANDS LÄN</t>
        </is>
      </c>
      <c r="G487" t="inlineStr">
        <is>
          <t>HÄRNÖSAND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17874-2026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46289</v>
      </c>
      <c r="F488" t="inlineStr">
        <is>
          <t>VÄSTERNORRLANDS LÄN</t>
        </is>
      </c>
      <c r="G488" t="inlineStr">
        <is>
          <t>HÄRNÖSAND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45874</v>
      </c>
      <c r="E489" s="1" t="n">
        <v>46289</v>
      </c>
      <c r="F489" t="inlineStr">
        <is>
          <t>VÄSTERNORRLANDS LÄN</t>
        </is>
      </c>
      <c r="G489" t="inlineStr">
        <is>
          <t>HÄRNÖSAND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46289</v>
      </c>
      <c r="F490" t="inlineStr">
        <is>
          <t>VÄSTERNORRLANDS LÄN</t>
        </is>
      </c>
      <c r="G490" t="inlineStr">
        <is>
          <t>HÄRNÖSAND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18393-2026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46289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31.9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45874</v>
      </c>
      <c r="E492" s="1" t="n">
        <v>46289</v>
      </c>
      <c r="F492" t="inlineStr">
        <is>
          <t>VÄSTERNORRLANDS LÄN</t>
        </is>
      </c>
      <c r="G492" t="inlineStr">
        <is>
          <t>HÄRNÖSAND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46289</v>
      </c>
      <c r="F493" t="inlineStr">
        <is>
          <t>VÄSTERNORRLANDS LÄN</t>
        </is>
      </c>
      <c r="G493" t="inlineStr">
        <is>
          <t>HÄRNÖSAND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18345-2025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45762</v>
      </c>
      <c r="E494" s="1" t="n">
        <v>46289</v>
      </c>
      <c r="F494" t="inlineStr">
        <is>
          <t>VÄSTERNORRLANDS LÄN</t>
        </is>
      </c>
      <c r="G494" t="inlineStr">
        <is>
          <t>HÄRNÖSAND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45180</v>
      </c>
      <c r="E495" s="1" t="n">
        <v>46289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45921-2024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45580</v>
      </c>
      <c r="E496" s="1" t="n">
        <v>46289</v>
      </c>
      <c r="F496" t="inlineStr">
        <is>
          <t>VÄSTERNORRLANDS LÄN</t>
        </is>
      </c>
      <c r="G496" t="inlineStr">
        <is>
          <t>HÄRNÖSAND</t>
        </is>
      </c>
      <c r="I496" t="n">
        <v>14.2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35785-2023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45147</v>
      </c>
      <c r="E497" s="1" t="n">
        <v>46289</v>
      </c>
      <c r="F497" t="inlineStr">
        <is>
          <t>VÄSTERNORRLANDS LÄN</t>
        </is>
      </c>
      <c r="G497" t="inlineStr">
        <is>
          <t>HÄRNÖSAND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36958-2025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45874</v>
      </c>
      <c r="E498" s="1" t="n">
        <v>46289</v>
      </c>
      <c r="F498" t="inlineStr">
        <is>
          <t>VÄSTERNORRLANDS LÄN</t>
        </is>
      </c>
      <c r="G498" t="inlineStr">
        <is>
          <t>HÄRNÖSAND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46289</v>
      </c>
      <c r="F499" t="inlineStr">
        <is>
          <t>VÄSTERNORRLANDS LÄN</t>
        </is>
      </c>
      <c r="G499" t="inlineStr">
        <is>
          <t>HÄRNÖSAND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36959-2025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45874</v>
      </c>
      <c r="E500" s="1" t="n">
        <v>46289</v>
      </c>
      <c r="F500" t="inlineStr">
        <is>
          <t>VÄSTERNORRLANDS LÄN</t>
        </is>
      </c>
      <c r="G500" t="inlineStr">
        <is>
          <t>HÄRNÖSAND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46289</v>
      </c>
      <c r="F501" t="inlineStr">
        <is>
          <t>VÄSTERNORRLANDS LÄN</t>
        </is>
      </c>
      <c r="G501" t="inlineStr">
        <is>
          <t>HÄRNÖSAND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46289</v>
      </c>
      <c r="F502" t="inlineStr">
        <is>
          <t>VÄSTERNORRLANDS LÄN</t>
        </is>
      </c>
      <c r="G502" t="inlineStr">
        <is>
          <t>HÄRNÖSAND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59121-2023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46289</v>
      </c>
      <c r="F503" t="inlineStr">
        <is>
          <t>VÄSTERNORRLANDS LÄN</t>
        </is>
      </c>
      <c r="G503" t="inlineStr">
        <is>
          <t>HÄRNÖSAND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29255-2024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45482</v>
      </c>
      <c r="E504" s="1" t="n">
        <v>46289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19167-2025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45769</v>
      </c>
      <c r="E505" s="1" t="n">
        <v>46289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45646</v>
      </c>
      <c r="E506" s="1" t="n">
        <v>46289</v>
      </c>
      <c r="F506" t="inlineStr">
        <is>
          <t>VÄSTERNORRLANDS LÄN</t>
        </is>
      </c>
      <c r="G506" t="inlineStr">
        <is>
          <t>HÄRNÖSAND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46289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42348-2025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45904</v>
      </c>
      <c r="E508" s="1" t="n">
        <v>46289</v>
      </c>
      <c r="F508" t="inlineStr">
        <is>
          <t>VÄSTERNORRLANDS LÄN</t>
        </is>
      </c>
      <c r="G508" t="inlineStr">
        <is>
          <t>HÄRNÖSAND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38567-2025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45884</v>
      </c>
      <c r="E509" s="1" t="n">
        <v>46289</v>
      </c>
      <c r="F509" t="inlineStr">
        <is>
          <t>VÄSTERNORRLANDS LÄN</t>
        </is>
      </c>
      <c r="G509" t="inlineStr">
        <is>
          <t>HÄRNÖSAND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34612-2024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45526</v>
      </c>
      <c r="E510" s="1" t="n">
        <v>46289</v>
      </c>
      <c r="F510" t="inlineStr">
        <is>
          <t>VÄSTERNORRLANDS LÄN</t>
        </is>
      </c>
      <c r="G510" t="inlineStr">
        <is>
          <t>HÄRNÖSAND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46289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Kyrkan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45723</v>
      </c>
      <c r="E512" s="1" t="n">
        <v>46289</v>
      </c>
      <c r="F512" t="inlineStr">
        <is>
          <t>VÄSTERNORRLANDS LÄN</t>
        </is>
      </c>
      <c r="G512" t="inlineStr">
        <is>
          <t>HÄRNÖSAND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45097</v>
      </c>
      <c r="E513" s="1" t="n">
        <v>46289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48047-2022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44855</v>
      </c>
      <c r="E514" s="1" t="n">
        <v>46289</v>
      </c>
      <c r="F514" t="inlineStr">
        <is>
          <t>VÄSTERNORRLANDS LÄN</t>
        </is>
      </c>
      <c r="G514" t="inlineStr">
        <is>
          <t>HÄRNÖSAND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46289</v>
      </c>
      <c r="F515" t="inlineStr">
        <is>
          <t>VÄSTERNORRLANDS LÄN</t>
        </is>
      </c>
      <c r="G515" t="inlineStr">
        <is>
          <t>HÄRNÖSAND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45323</v>
      </c>
      <c r="E516" s="1" t="n">
        <v>46289</v>
      </c>
      <c r="F516" t="inlineStr">
        <is>
          <t>VÄSTERNORRLANDS LÄN</t>
        </is>
      </c>
      <c r="G516" t="inlineStr">
        <is>
          <t>HÄRNÖSAND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45500-2024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45578</v>
      </c>
      <c r="E517" s="1" t="n">
        <v>46289</v>
      </c>
      <c r="F517" t="inlineStr">
        <is>
          <t>VÄSTERNORRLANDS LÄN</t>
        </is>
      </c>
      <c r="G517" t="inlineStr">
        <is>
          <t>HÄRNÖSAND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45504-2024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45578</v>
      </c>
      <c r="E518" s="1" t="n">
        <v>46289</v>
      </c>
      <c r="F518" t="inlineStr">
        <is>
          <t>VÄSTERNORRLANDS LÄN</t>
        </is>
      </c>
      <c r="G518" t="inlineStr">
        <is>
          <t>HÄRNÖSAND</t>
        </is>
      </c>
      <c r="I518" t="n">
        <v>10.3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44951</v>
      </c>
      <c r="E519" s="1" t="n">
        <v>46289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45531</v>
      </c>
      <c r="E520" s="1" t="n">
        <v>46289</v>
      </c>
      <c r="F520" t="inlineStr">
        <is>
          <t>VÄSTERNORRLANDS LÄN</t>
        </is>
      </c>
      <c r="G520" t="inlineStr">
        <is>
          <t>HÄRNÖSAND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45512</v>
      </c>
      <c r="E521" s="1" t="n">
        <v>46289</v>
      </c>
      <c r="F521" t="inlineStr">
        <is>
          <t>VÄSTERNORRLANDS LÄN</t>
        </is>
      </c>
      <c r="G521" t="inlineStr">
        <is>
          <t>HÄRNÖSAND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51001-2022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44867</v>
      </c>
      <c r="E522" s="1" t="n">
        <v>46289</v>
      </c>
      <c r="F522" t="inlineStr">
        <is>
          <t>VÄSTERNORRLANDS LÄN</t>
        </is>
      </c>
      <c r="G522" t="inlineStr">
        <is>
          <t>HÄRNÖSAND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19900-2025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45771</v>
      </c>
      <c r="E523" s="1" t="n">
        <v>46289</v>
      </c>
      <c r="F523" t="inlineStr">
        <is>
          <t>VÄSTERNORRLANDS LÄN</t>
        </is>
      </c>
      <c r="G523" t="inlineStr">
        <is>
          <t>HÄRNÖSAND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45729</v>
      </c>
      <c r="E524" s="1" t="n">
        <v>46289</v>
      </c>
      <c r="F524" t="inlineStr">
        <is>
          <t>VÄSTERNORRLANDS LÄN</t>
        </is>
      </c>
      <c r="G524" t="inlineStr">
        <is>
          <t>HÄRNÖSAND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45825</v>
      </c>
      <c r="E525" s="1" t="n">
        <v>46289</v>
      </c>
      <c r="F525" t="inlineStr">
        <is>
          <t>VÄSTERNORRLANDS LÄN</t>
        </is>
      </c>
      <c r="G525" t="inlineStr">
        <is>
          <t>HÄRNÖSAND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34011-2024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45523</v>
      </c>
      <c r="E526" s="1" t="n">
        <v>46289</v>
      </c>
      <c r="F526" t="inlineStr">
        <is>
          <t>VÄSTERNORRLANDS LÄN</t>
        </is>
      </c>
      <c r="G526" t="inlineStr">
        <is>
          <t>HÄRNÖSAND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46289</v>
      </c>
      <c r="F527" t="inlineStr">
        <is>
          <t>VÄSTERNORRLANDS LÄN</t>
        </is>
      </c>
      <c r="G527" t="inlineStr">
        <is>
          <t>HÄRNÖSAND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46289</v>
      </c>
      <c r="F528" t="inlineStr">
        <is>
          <t>VÄSTERNORRLANDS LÄN</t>
        </is>
      </c>
      <c r="G528" t="inlineStr">
        <is>
          <t>HÄRNÖSAND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45376</v>
      </c>
      <c r="E529" s="1" t="n">
        <v>46289</v>
      </c>
      <c r="F529" t="inlineStr">
        <is>
          <t>VÄSTERNORRLANDS LÄN</t>
        </is>
      </c>
      <c r="G529" t="inlineStr">
        <is>
          <t>HÄRNÖSAND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46289</v>
      </c>
      <c r="F530" t="inlineStr">
        <is>
          <t>VÄSTERNORRLANDS LÄN</t>
        </is>
      </c>
      <c r="G530" t="inlineStr">
        <is>
          <t>HÄRNÖSAND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46024</v>
      </c>
      <c r="E531" s="1" t="n">
        <v>46289</v>
      </c>
      <c r="F531" t="inlineStr">
        <is>
          <t>VÄSTERNORRLANDS LÄN</t>
        </is>
      </c>
      <c r="G531" t="inlineStr">
        <is>
          <t>HÄRNÖSAND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12497-2025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45730</v>
      </c>
      <c r="E532" s="1" t="n">
        <v>46289</v>
      </c>
      <c r="F532" t="inlineStr">
        <is>
          <t>VÄSTERNORRLANDS LÄN</t>
        </is>
      </c>
      <c r="G532" t="inlineStr">
        <is>
          <t>HÄRNÖSAND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46289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46289</v>
      </c>
      <c r="F534" t="inlineStr">
        <is>
          <t>VÄSTERNORRLANDS LÄN</t>
        </is>
      </c>
      <c r="G534" t="inlineStr">
        <is>
          <t>HÄRNÖSAND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46289</v>
      </c>
      <c r="F535" t="inlineStr">
        <is>
          <t>VÄSTERNORRLANDS LÄN</t>
        </is>
      </c>
      <c r="G535" t="inlineStr">
        <is>
          <t>HÄRNÖSAND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45776</v>
      </c>
      <c r="E536" s="1" t="n">
        <v>46289</v>
      </c>
      <c r="F536" t="inlineStr">
        <is>
          <t>VÄSTERNORRLANDS LÄN</t>
        </is>
      </c>
      <c r="G536" t="inlineStr">
        <is>
          <t>HÄRNÖSAND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20821-2025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45776</v>
      </c>
      <c r="E537" s="1" t="n">
        <v>46289</v>
      </c>
      <c r="F537" t="inlineStr">
        <is>
          <t>VÄSTERNORRLANDS LÄN</t>
        </is>
      </c>
      <c r="G537" t="inlineStr">
        <is>
          <t>HÄRNÖSAND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46150</v>
      </c>
      <c r="E538" s="1" t="n">
        <v>46289</v>
      </c>
      <c r="F538" t="inlineStr">
        <is>
          <t>VÄSTERNORRLANDS LÄN</t>
        </is>
      </c>
      <c r="G538" t="inlineStr">
        <is>
          <t>HÄRNÖSAND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21484-2025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46289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32.1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21480-2025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46289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12.3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15821-2026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46107</v>
      </c>
      <c r="E541" s="1" t="n">
        <v>46289</v>
      </c>
      <c r="F541" t="inlineStr">
        <is>
          <t>VÄSTERNORRLANDS LÄN</t>
        </is>
      </c>
      <c r="G541" t="inlineStr">
        <is>
          <t>HÄRNÖSAND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46289</v>
      </c>
      <c r="F542" t="inlineStr">
        <is>
          <t>VÄSTERNORRLANDS LÄN</t>
        </is>
      </c>
      <c r="G542" t="inlineStr">
        <is>
          <t>HÄRNÖSAND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42343-2024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45562</v>
      </c>
      <c r="E543" s="1" t="n">
        <v>46289</v>
      </c>
      <c r="F543" t="inlineStr">
        <is>
          <t>VÄSTERNORRLANDS LÄN</t>
        </is>
      </c>
      <c r="G543" t="inlineStr">
        <is>
          <t>HÄRNÖSAND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22142-2026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46153</v>
      </c>
      <c r="E544" s="1" t="n">
        <v>46289</v>
      </c>
      <c r="F544" t="inlineStr">
        <is>
          <t>VÄSTERNORRLANDS LÄN</t>
        </is>
      </c>
      <c r="G544" t="inlineStr">
        <is>
          <t>HÄRNÖSAND</t>
        </is>
      </c>
      <c r="I544" t="n">
        <v>16.7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46155</v>
      </c>
      <c r="E545" s="1" t="n">
        <v>46289</v>
      </c>
      <c r="F545" t="inlineStr">
        <is>
          <t>VÄSTERNORRLANDS LÄN</t>
        </is>
      </c>
      <c r="G545" t="inlineStr">
        <is>
          <t>HÄRNÖSAND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45930</v>
      </c>
      <c r="E546" s="1" t="n">
        <v>46289</v>
      </c>
      <c r="F546" t="inlineStr">
        <is>
          <t>VÄSTERNORRLANDS LÄN</t>
        </is>
      </c>
      <c r="G546" t="inlineStr">
        <is>
          <t>HÄRNÖSAND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22990-2026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46160</v>
      </c>
      <c r="E547" s="1" t="n">
        <v>46289</v>
      </c>
      <c r="F547" t="inlineStr">
        <is>
          <t>VÄSTERNORRLANDS LÄN</t>
        </is>
      </c>
      <c r="G547" t="inlineStr">
        <is>
          <t>HÄRNÖSAND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46289</v>
      </c>
      <c r="F548" t="inlineStr">
        <is>
          <t>VÄSTERNORRLANDS LÄN</t>
        </is>
      </c>
      <c r="G548" t="inlineStr">
        <is>
          <t>HÄRNÖSAND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45832</v>
      </c>
      <c r="E549" s="1" t="n">
        <v>46289</v>
      </c>
      <c r="F549" t="inlineStr">
        <is>
          <t>VÄSTERNORRLANDS LÄN</t>
        </is>
      </c>
      <c r="G549" t="inlineStr">
        <is>
          <t>HÄRNÖSAND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46289</v>
      </c>
      <c r="F550" t="inlineStr">
        <is>
          <t>VÄSTERNORRLANDS LÄN</t>
        </is>
      </c>
      <c r="G550" t="inlineStr">
        <is>
          <t>HÄRNÖSAND</t>
        </is>
      </c>
      <c r="I550" t="n">
        <v>9.199999999999999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46289</v>
      </c>
      <c r="F551" t="inlineStr">
        <is>
          <t>VÄSTERNORRLANDS LÄN</t>
        </is>
      </c>
      <c r="G551" t="inlineStr">
        <is>
          <t>HÄRNÖSAND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46289</v>
      </c>
      <c r="F552" t="inlineStr">
        <is>
          <t>VÄSTERNORRLANDS LÄN</t>
        </is>
      </c>
      <c r="G552" t="inlineStr">
        <is>
          <t>HÄRNÖSAND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46289</v>
      </c>
      <c r="F553" t="inlineStr">
        <is>
          <t>VÄSTERNORRLANDS LÄN</t>
        </is>
      </c>
      <c r="G553" t="inlineStr">
        <is>
          <t>HÄRNÖSAND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46289</v>
      </c>
      <c r="F554" t="inlineStr">
        <is>
          <t>VÄSTERNORRLANDS LÄN</t>
        </is>
      </c>
      <c r="G554" t="inlineStr">
        <is>
          <t>HÄRNÖSAND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46289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46289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31.8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46289</v>
      </c>
      <c r="F557" t="inlineStr">
        <is>
          <t>VÄSTERNORRLANDS LÄN</t>
        </is>
      </c>
      <c r="G557" t="inlineStr">
        <is>
          <t>HÄRNÖSAND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46289</v>
      </c>
      <c r="F558" t="inlineStr">
        <is>
          <t>VÄSTERNORRLANDS LÄN</t>
        </is>
      </c>
      <c r="G558" t="inlineStr">
        <is>
          <t>HÄRNÖSAND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46289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31.8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46289</v>
      </c>
      <c r="F560" t="inlineStr">
        <is>
          <t>VÄSTERNORRLANDS LÄN</t>
        </is>
      </c>
      <c r="G560" t="inlineStr">
        <is>
          <t>HÄRNÖSAND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46289</v>
      </c>
      <c r="F561" t="inlineStr">
        <is>
          <t>VÄSTERNORRLANDS LÄN</t>
        </is>
      </c>
      <c r="G561" t="inlineStr">
        <is>
          <t>HÄRNÖSAND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24120-2026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46289</v>
      </c>
      <c r="F562" t="inlineStr">
        <is>
          <t>VÄSTERNORRLANDS LÄN</t>
        </is>
      </c>
      <c r="G562" t="inlineStr">
        <is>
          <t>HÄRNÖSAND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58467-2025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45985</v>
      </c>
      <c r="E563" s="1" t="n">
        <v>46289</v>
      </c>
      <c r="F563" t="inlineStr">
        <is>
          <t>VÄSTERNORRLANDS LÄN</t>
        </is>
      </c>
      <c r="G563" t="inlineStr">
        <is>
          <t>HÄRNÖSAND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46167</v>
      </c>
      <c r="E564" s="1" t="n">
        <v>46289</v>
      </c>
      <c r="F564" t="inlineStr">
        <is>
          <t>VÄSTERNORRLANDS LÄN</t>
        </is>
      </c>
      <c r="G564" t="inlineStr">
        <is>
          <t>HÄRNÖSAND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59591-2024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46289</v>
      </c>
      <c r="F565" t="inlineStr">
        <is>
          <t>VÄSTERNORRLANDS LÄN</t>
        </is>
      </c>
      <c r="G565" t="inlineStr">
        <is>
          <t>HÄRNÖSAND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46289</v>
      </c>
      <c r="F566" t="inlineStr">
        <is>
          <t>VÄSTERNORRLANDS LÄN</t>
        </is>
      </c>
      <c r="G566" t="inlineStr">
        <is>
          <t>HÄRNÖSAND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21585-2026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46149</v>
      </c>
      <c r="E567" s="1" t="n">
        <v>46289</v>
      </c>
      <c r="F567" t="inlineStr">
        <is>
          <t>VÄSTERNORRLANDS LÄN</t>
        </is>
      </c>
      <c r="G567" t="inlineStr">
        <is>
          <t>HÄRNÖSAND</t>
        </is>
      </c>
      <c r="I567" t="n">
        <v>13.8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46165</v>
      </c>
      <c r="E568" s="1" t="n">
        <v>46289</v>
      </c>
      <c r="F568" t="inlineStr">
        <is>
          <t>VÄSTERNORRLANDS LÄN</t>
        </is>
      </c>
      <c r="G568" t="inlineStr">
        <is>
          <t>HÄRNÖSAND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24502-2026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46170</v>
      </c>
      <c r="E569" s="1" t="n">
        <v>46289</v>
      </c>
      <c r="F569" t="inlineStr">
        <is>
          <t>VÄSTERNORRLANDS LÄN</t>
        </is>
      </c>
      <c r="G569" t="inlineStr">
        <is>
          <t>HÄRNÖSAND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43266-2025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45910</v>
      </c>
      <c r="E570" s="1" t="n">
        <v>46289</v>
      </c>
      <c r="F570" t="inlineStr">
        <is>
          <t>VÄSTERNORRLANDS LÄN</t>
        </is>
      </c>
      <c r="G570" t="inlineStr">
        <is>
          <t>HÄRNÖSAND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24503-2026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46170</v>
      </c>
      <c r="E571" s="1" t="n">
        <v>46289</v>
      </c>
      <c r="F571" t="inlineStr">
        <is>
          <t>VÄSTERNORRLANDS LÄN</t>
        </is>
      </c>
      <c r="G571" t="inlineStr">
        <is>
          <t>HÄRNÖSAND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46175</v>
      </c>
      <c r="E572" s="1" t="n">
        <v>46289</v>
      </c>
      <c r="F572" t="inlineStr">
        <is>
          <t>VÄSTERNORRLANDS LÄN</t>
        </is>
      </c>
      <c r="G572" t="inlineStr">
        <is>
          <t>HÄRNÖSAND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46289</v>
      </c>
      <c r="F573" t="inlineStr">
        <is>
          <t>VÄSTERNORRLANDS LÄN</t>
        </is>
      </c>
      <c r="G573" t="inlineStr">
        <is>
          <t>HÄRNÖSAND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46289</v>
      </c>
      <c r="F574" t="inlineStr">
        <is>
          <t>VÄSTERNORRLANDS LÄN</t>
        </is>
      </c>
      <c r="G574" t="inlineStr">
        <is>
          <t>HÄRNÖSAND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25248-2026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46289</v>
      </c>
      <c r="F575" t="inlineStr">
        <is>
          <t>VÄSTERNORRLANDS LÄN</t>
        </is>
      </c>
      <c r="G575" t="inlineStr">
        <is>
          <t>HÄRNÖSAND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46289</v>
      </c>
      <c r="F576" t="inlineStr">
        <is>
          <t>VÄSTERNORRLANDS LÄN</t>
        </is>
      </c>
      <c r="G576" t="inlineStr">
        <is>
          <t>HÄRNÖSAND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46289</v>
      </c>
      <c r="F577" t="inlineStr">
        <is>
          <t>VÄSTERNORRLANDS LÄN</t>
        </is>
      </c>
      <c r="G577" t="inlineStr">
        <is>
          <t>HÄRNÖSAND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25451-2026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46289</v>
      </c>
      <c r="F578" t="inlineStr">
        <is>
          <t>VÄSTERNORRLANDS LÄN</t>
        </is>
      </c>
      <c r="G578" t="inlineStr">
        <is>
          <t>HÄRNÖSAND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46289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10.2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25452-2026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46289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46289</v>
      </c>
      <c r="F581" t="inlineStr">
        <is>
          <t>VÄSTERNORRLANDS LÄN</t>
        </is>
      </c>
      <c r="G581" t="inlineStr">
        <is>
          <t>HÄRNÖSAND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46289</v>
      </c>
      <c r="F582" t="inlineStr">
        <is>
          <t>VÄSTERNORRLANDS LÄN</t>
        </is>
      </c>
      <c r="G582" t="inlineStr">
        <is>
          <t>HÄRNÖSAND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46289</v>
      </c>
      <c r="F583" t="inlineStr">
        <is>
          <t>VÄSTERNORRLANDS LÄN</t>
        </is>
      </c>
      <c r="G583" t="inlineStr">
        <is>
          <t>HÄRNÖSAND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25974-2026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46181</v>
      </c>
      <c r="E584" s="1" t="n">
        <v>46289</v>
      </c>
      <c r="F584" t="inlineStr">
        <is>
          <t>VÄSTERNORRLANDS LÄN</t>
        </is>
      </c>
      <c r="G584" t="inlineStr">
        <is>
          <t>HÄRNÖSAND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46289</v>
      </c>
      <c r="F585" t="inlineStr">
        <is>
          <t>VÄSTERNORRLANDS LÄN</t>
        </is>
      </c>
      <c r="G585" t="inlineStr">
        <is>
          <t>HÄRNÖSAND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46289</v>
      </c>
      <c r="F586" t="inlineStr">
        <is>
          <t>VÄSTERNORRLANDS LÄN</t>
        </is>
      </c>
      <c r="G586" t="inlineStr">
        <is>
          <t>HÄRNÖSAND</t>
        </is>
      </c>
      <c r="I586" t="n">
        <v>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46289</v>
      </c>
      <c r="F587" t="inlineStr">
        <is>
          <t>VÄSTERNORRLANDS LÄN</t>
        </is>
      </c>
      <c r="G587" t="inlineStr">
        <is>
          <t>HÄRNÖSAND</t>
        </is>
      </c>
      <c r="I587" t="n">
        <v>9.1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46289</v>
      </c>
      <c r="F588" t="inlineStr">
        <is>
          <t>VÄSTERNORRLANDS LÄN</t>
        </is>
      </c>
      <c r="G588" t="inlineStr">
        <is>
          <t>HÄRNÖSAND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45800</v>
      </c>
      <c r="E589" s="1" t="n">
        <v>46289</v>
      </c>
      <c r="F589" t="inlineStr">
        <is>
          <t>VÄSTERNORRLANDS LÄN</t>
        </is>
      </c>
      <c r="G589" t="inlineStr">
        <is>
          <t>HÄRNÖSAND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46289</v>
      </c>
      <c r="F590" t="inlineStr">
        <is>
          <t>VÄSTERNORRLANDS LÄN</t>
        </is>
      </c>
      <c r="G590" t="inlineStr">
        <is>
          <t>HÄRNÖSAND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27458-2026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46189</v>
      </c>
      <c r="E591" s="1" t="n">
        <v>46289</v>
      </c>
      <c r="F591" t="inlineStr">
        <is>
          <t>VÄSTERNORRLANDS LÄN</t>
        </is>
      </c>
      <c r="G591" t="inlineStr">
        <is>
          <t>HÄRNÖSAND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46189</v>
      </c>
      <c r="E592" s="1" t="n">
        <v>46289</v>
      </c>
      <c r="F592" t="inlineStr">
        <is>
          <t>VÄSTERNORRLANDS LÄN</t>
        </is>
      </c>
      <c r="G592" t="inlineStr">
        <is>
          <t>HÄRNÖSAND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27460-2026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46189</v>
      </c>
      <c r="E593" s="1" t="n">
        <v>46289</v>
      </c>
      <c r="F593" t="inlineStr">
        <is>
          <t>VÄSTERNORRLANDS LÄN</t>
        </is>
      </c>
      <c r="G593" t="inlineStr">
        <is>
          <t>HÄRNÖSAND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46289</v>
      </c>
      <c r="F594" t="inlineStr">
        <is>
          <t>VÄSTERNORRLANDS LÄN</t>
        </is>
      </c>
      <c r="G594" t="inlineStr">
        <is>
          <t>HÄRNÖSAND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27922-2026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46191</v>
      </c>
      <c r="E595" s="1" t="n">
        <v>46289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46190</v>
      </c>
      <c r="E596" s="1" t="n">
        <v>46289</v>
      </c>
      <c r="F596" t="inlineStr">
        <is>
          <t>VÄSTERNORRLANDS LÄN</t>
        </is>
      </c>
      <c r="G596" t="inlineStr">
        <is>
          <t>HÄRNÖSAND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46289</v>
      </c>
      <c r="F597" t="inlineStr">
        <is>
          <t>VÄSTERNORRLANDS LÄN</t>
        </is>
      </c>
      <c r="G597" t="inlineStr">
        <is>
          <t>HÄRNÖSAND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28006-2026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46289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46289</v>
      </c>
      <c r="F599" t="inlineStr">
        <is>
          <t>VÄSTERNORRLANDS LÄN</t>
        </is>
      </c>
      <c r="G599" t="inlineStr">
        <is>
          <t>HÄRNÖSAND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46289</v>
      </c>
      <c r="F600" t="inlineStr">
        <is>
          <t>VÄSTERNORRLANDS LÄN</t>
        </is>
      </c>
      <c r="G600" t="inlineStr">
        <is>
          <t>HÄRNÖSAND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46289</v>
      </c>
      <c r="F601" t="inlineStr">
        <is>
          <t>VÄSTERNORRLANDS LÄN</t>
        </is>
      </c>
      <c r="G601" t="inlineStr">
        <is>
          <t>HÄRNÖSAND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46289</v>
      </c>
      <c r="F602" t="inlineStr">
        <is>
          <t>VÄSTERNORRLANDS LÄN</t>
        </is>
      </c>
      <c r="G602" t="inlineStr">
        <is>
          <t>HÄRNÖSAND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46289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46204</v>
      </c>
      <c r="E604" s="1" t="n">
        <v>46289</v>
      </c>
      <c r="F604" t="inlineStr">
        <is>
          <t>VÄSTERNORRLANDS LÄN</t>
        </is>
      </c>
      <c r="G604" t="inlineStr">
        <is>
          <t>HÄRNÖSAND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46289</v>
      </c>
      <c r="F605" t="inlineStr">
        <is>
          <t>VÄSTERNORRLANDS LÄN</t>
        </is>
      </c>
      <c r="G605" t="inlineStr">
        <is>
          <t>HÄRNÖSAND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46205</v>
      </c>
      <c r="E606" s="1" t="n">
        <v>46289</v>
      </c>
      <c r="F606" t="inlineStr">
        <is>
          <t>VÄSTERNORRLANDS LÄN</t>
        </is>
      </c>
      <c r="G606" t="inlineStr">
        <is>
          <t>HÄRNÖSAND</t>
        </is>
      </c>
      <c r="I606" t="n">
        <v>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46289</v>
      </c>
      <c r="F607" t="inlineStr">
        <is>
          <t>VÄSTERNORRLANDS LÄN</t>
        </is>
      </c>
      <c r="G607" t="inlineStr">
        <is>
          <t>HÄRNÖSAND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46289</v>
      </c>
      <c r="F608" t="inlineStr">
        <is>
          <t>VÄSTERNORRLANDS LÄN</t>
        </is>
      </c>
      <c r="G608" t="inlineStr">
        <is>
          <t>HÄRNÖSAND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46205</v>
      </c>
      <c r="E609" s="1" t="n">
        <v>46289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33659-2026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46248</v>
      </c>
      <c r="E610" s="1" t="n">
        <v>46289</v>
      </c>
      <c r="F610" t="inlineStr">
        <is>
          <t>VÄSTERNORRLANDS LÄN</t>
        </is>
      </c>
      <c r="G610" t="inlineStr">
        <is>
          <t>HÄRNÖSAND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46289</v>
      </c>
      <c r="F611" t="inlineStr">
        <is>
          <t>VÄSTERNORRLANDS LÄN</t>
        </is>
      </c>
      <c r="G611" t="inlineStr">
        <is>
          <t>HÄRNÖSAND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46289</v>
      </c>
      <c r="F612" t="inlineStr">
        <is>
          <t>VÄSTERNORRLANDS LÄN</t>
        </is>
      </c>
      <c r="G612" t="inlineStr">
        <is>
          <t>HÄRNÖSAND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46289</v>
      </c>
      <c r="F613" t="inlineStr">
        <is>
          <t>VÄSTERNORRLANDS LÄN</t>
        </is>
      </c>
      <c r="G613" t="inlineStr">
        <is>
          <t>HÄRNÖSAND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46289</v>
      </c>
      <c r="F614" t="inlineStr">
        <is>
          <t>VÄSTERNORRLANDS LÄN</t>
        </is>
      </c>
      <c r="G614" t="inlineStr">
        <is>
          <t>HÄRNÖSAND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30017-2026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46289</v>
      </c>
      <c r="F615" t="inlineStr">
        <is>
          <t>VÄSTERNORRLANDS LÄN</t>
        </is>
      </c>
      <c r="G615" t="inlineStr">
        <is>
          <t>HÄRNÖSAND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46289</v>
      </c>
      <c r="F616" t="inlineStr">
        <is>
          <t>VÄSTERNORRLANDS LÄN</t>
        </is>
      </c>
      <c r="G616" t="inlineStr">
        <is>
          <t>HÄRNÖSAND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46289</v>
      </c>
      <c r="F617" t="inlineStr">
        <is>
          <t>VÄSTERNORRLANDS LÄN</t>
        </is>
      </c>
      <c r="G617" t="inlineStr">
        <is>
          <t>HÄRNÖSAND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46289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33747-2026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46251</v>
      </c>
      <c r="E619" s="1" t="n">
        <v>46289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30413-2026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46289</v>
      </c>
      <c r="F620" t="inlineStr">
        <is>
          <t>VÄSTERNORRLANDS LÄN</t>
        </is>
      </c>
      <c r="G620" t="inlineStr">
        <is>
          <t>HÄRNÖSAND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46289</v>
      </c>
      <c r="F621" t="inlineStr">
        <is>
          <t>VÄSTERNORRLANDS LÄN</t>
        </is>
      </c>
      <c r="G621" t="inlineStr">
        <is>
          <t>HÄRNÖSAND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46289</v>
      </c>
      <c r="F622" t="inlineStr">
        <is>
          <t>VÄSTERNORRLANDS LÄN</t>
        </is>
      </c>
      <c r="G622" t="inlineStr">
        <is>
          <t>HÄRNÖSAND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46289</v>
      </c>
      <c r="F623" t="inlineStr">
        <is>
          <t>VÄSTERNORRLANDS LÄN</t>
        </is>
      </c>
      <c r="G623" t="inlineStr">
        <is>
          <t>HÄRNÖSAND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34768-2026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46258</v>
      </c>
      <c r="E624" s="1" t="n">
        <v>46289</v>
      </c>
      <c r="F624" t="inlineStr">
        <is>
          <t>VÄSTERNORRLANDS LÄN</t>
        </is>
      </c>
      <c r="G624" t="inlineStr">
        <is>
          <t>HÄRNÖSAND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7793-2024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45348</v>
      </c>
      <c r="E625" s="1" t="n">
        <v>46289</v>
      </c>
      <c r="F625" t="inlineStr">
        <is>
          <t>VÄSTERNORRLANDS LÄN</t>
        </is>
      </c>
      <c r="G625" t="inlineStr">
        <is>
          <t>HÄRNÖSAND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46289</v>
      </c>
      <c r="F626" t="inlineStr">
        <is>
          <t>VÄSTERNORRLANDS LÄN</t>
        </is>
      </c>
      <c r="G626" t="inlineStr">
        <is>
          <t>HÄRNÖSAND</t>
        </is>
      </c>
      <c r="I626" t="n">
        <v>13.6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46289</v>
      </c>
      <c r="F627" t="inlineStr">
        <is>
          <t>VÄSTERNORRLANDS LÄN</t>
        </is>
      </c>
      <c r="G627" t="inlineStr">
        <is>
          <t>HÄRNÖSAND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31049-2026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46215</v>
      </c>
      <c r="E628" s="1" t="n">
        <v>46289</v>
      </c>
      <c r="F628" t="inlineStr">
        <is>
          <t>VÄSTERNORRLANDS LÄN</t>
        </is>
      </c>
      <c r="G628" t="inlineStr">
        <is>
          <t>HÄRNÖSAND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46215</v>
      </c>
      <c r="E629" s="1" t="n">
        <v>46289</v>
      </c>
      <c r="F629" t="inlineStr">
        <is>
          <t>VÄSTERNORRLANDS LÄN</t>
        </is>
      </c>
      <c r="G629" t="inlineStr">
        <is>
          <t>HÄRNÖSAND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46289</v>
      </c>
      <c r="F630" t="inlineStr">
        <is>
          <t>VÄSTERNORRLANDS LÄN</t>
        </is>
      </c>
      <c r="G630" t="inlineStr">
        <is>
          <t>HÄRNÖSAND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35563-2026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46262</v>
      </c>
      <c r="E631" s="1" t="n">
        <v>46289</v>
      </c>
      <c r="F631" t="inlineStr">
        <is>
          <t>VÄSTERNORRLANDS LÄN</t>
        </is>
      </c>
      <c r="G631" t="inlineStr">
        <is>
          <t>HÄRNÖSAND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46219</v>
      </c>
      <c r="E632" s="1" t="n">
        <v>46289</v>
      </c>
      <c r="F632" t="inlineStr">
        <is>
          <t>VÄSTERNORRLANDS LÄN</t>
        </is>
      </c>
      <c r="G632" t="inlineStr">
        <is>
          <t>HÄRNÖSAND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46219</v>
      </c>
      <c r="E633" s="1" t="n">
        <v>46289</v>
      </c>
      <c r="F633" t="inlineStr">
        <is>
          <t>VÄSTERNORRLANDS LÄN</t>
        </is>
      </c>
      <c r="G633" t="inlineStr">
        <is>
          <t>HÄRNÖSAND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46219</v>
      </c>
      <c r="E634" s="1" t="n">
        <v>46289</v>
      </c>
      <c r="F634" t="inlineStr">
        <is>
          <t>VÄSTERNORRLANDS LÄN</t>
        </is>
      </c>
      <c r="G634" t="inlineStr">
        <is>
          <t>HÄRNÖSAND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46265</v>
      </c>
      <c r="E635" s="1" t="n">
        <v>46289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46289</v>
      </c>
      <c r="F636" t="inlineStr">
        <is>
          <t>VÄSTERNORRLANDS LÄN</t>
        </is>
      </c>
      <c r="G636" t="inlineStr">
        <is>
          <t>HÄRNÖSAND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46289</v>
      </c>
      <c r="F637" t="inlineStr">
        <is>
          <t>VÄSTERNORRLANDS LÄN</t>
        </is>
      </c>
      <c r="G637" t="inlineStr">
        <is>
          <t>HÄRNÖSAND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46289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46274</v>
      </c>
      <c r="E639" s="1" t="n">
        <v>46289</v>
      </c>
      <c r="F639" t="inlineStr">
        <is>
          <t>VÄSTERNORRLANDS LÄN</t>
        </is>
      </c>
      <c r="G639" t="inlineStr">
        <is>
          <t>HÄRNÖSAND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46289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37333-2026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46275</v>
      </c>
      <c r="E641" s="1" t="n">
        <v>46289</v>
      </c>
      <c r="F641" t="inlineStr">
        <is>
          <t>VÄSTERNORRLANDS LÄN</t>
        </is>
      </c>
      <c r="G641" t="inlineStr">
        <is>
          <t>HÄRNÖSAND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32293-2026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46237</v>
      </c>
      <c r="E642" s="1" t="n">
        <v>46289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38471-2026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46282</v>
      </c>
      <c r="E643" s="1" t="n">
        <v>46289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38229-2026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46281</v>
      </c>
      <c r="E644" s="1" t="n">
        <v>46289</v>
      </c>
      <c r="F644" t="inlineStr">
        <is>
          <t>VÄSTERNORRLANDS LÄN</t>
        </is>
      </c>
      <c r="G644" t="inlineStr">
        <is>
          <t>HÄRNÖSAND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32485-2026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46239</v>
      </c>
      <c r="E645" s="1" t="n">
        <v>46289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38215-2026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46281</v>
      </c>
      <c r="E646" s="1" t="n">
        <v>46289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46289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46289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46289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46289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46289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46289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46289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46289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46289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2294-2026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46267</v>
      </c>
      <c r="E656" s="1" t="n">
        <v>46289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2026-09-24T01:53:22Z</dcterms:created>
  <dcterms:modified xmlns:dcterms="http://purl.org/dc/terms/" xmlns:xsi="http://www.w3.org/2001/XMLSchema-instance" xsi:type="dcterms:W3CDTF">2026-09-24T01:53:22Z</dcterms:modified>
</cp:coreProperties>
</file>