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46225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46225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t="n">
        <v>38</v>
      </c>
      <c r="V6" s="2" t="inlineStr">
        <is>
          <t>Garnlav
Gränsticka
Knärot
Lappticka
Kötticka
Lunglav
Rosenticka
Rynkskinn
Tretåig hackspett
Ullticka
Korallblylav
Skinnlav
Vedticka
Revlummer</t>
        </is>
      </c>
      <c r="W6">
        <f>HYPERLINK("https://klasma.github.io/Logging_2280/artfynd/A 49355-2025 artfynd.xlsx", "A 49355-2025")</f>
        <v/>
      </c>
      <c r="X6">
        <f>HYPERLINK("https://klasma.github.io/Logging_2280/kartor/A 49355-2025 karta.png", "A 49355-2025")</f>
        <v/>
      </c>
      <c r="Y6">
        <f>HYPERLINK("https://klasma.github.io/Logging_2280/kartor_geotiff/A 49355-2025 georefererad karta.tif", "A 49355-2025")</f>
        <v/>
      </c>
      <c r="Z6">
        <f>HYPERLINK("https://klasma.github.io/Logging_2280/knärot/A 49355-2025 karta knärot.png", "A 49355-2025")</f>
        <v/>
      </c>
      <c r="AA6">
        <f>HYPERLINK("https://klasma.github.io/Logging_2280/klagomål/A 49355-2025 FSC-klagomål.docx", "A 49355-2025")</f>
        <v/>
      </c>
      <c r="AB6">
        <f>HYPERLINK("https://klasma.github.io/Logging_2280/klagomålsmail/A 49355-2025 FSC-klagomål mail.docx", "A 49355-2025")</f>
        <v/>
      </c>
      <c r="AC6">
        <f>HYPERLINK("https://klasma.github.io/Logging_2280/tillsyn/A 49355-2025 tillsynsbegäran.docx", "A 49355-2025")</f>
        <v/>
      </c>
      <c r="AD6">
        <f>HYPERLINK("https://klasma.github.io/Logging_2280/tillsynsmail/A 49355-2025 tillsynsbegäran mail.docx", "A 49355-2025")</f>
        <v/>
      </c>
      <c r="AE6">
        <f>HYPERLINK("https://klasma.github.io/Logging_2280/fåglar/A 49355-2025 prioriterade fågelarter.docx", "A 49355-2025")</f>
        <v/>
      </c>
    </row>
    <row r="7" ht="15" customHeight="1">
      <c r="A7" t="inlineStr">
        <is>
          <t>A 27496-2026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46189</v>
      </c>
      <c r="E7" s="1" t="n">
        <v>46225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4.2</v>
      </c>
      <c r="J7" t="n">
        <v>3</v>
      </c>
      <c r="K7" t="n">
        <v>4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17</v>
      </c>
      <c r="U7" t="n">
        <v>0</v>
      </c>
      <c r="V7" s="2" t="inlineStr">
        <is>
          <t>Aspfjädermossa
Lappticka
Kattfotslav
Lunglav
Rosenticka
Rynkskinn
Ullticka
Brandticka
Korallblylav
Luddlav
Trådticka
Blåsippa
Gråspett
Utter</t>
        </is>
      </c>
      <c r="W7">
        <f>HYPERLINK("https://klasma.github.io/Logging_2280/artfynd/A 27496-2026 artfynd.xlsx", "A 27496-2026")</f>
        <v/>
      </c>
      <c r="X7">
        <f>HYPERLINK("https://klasma.github.io/Logging_2280/kartor/A 27496-2026 karta.png", "A 27496-2026")</f>
        <v/>
      </c>
      <c r="Y7">
        <f>HYPERLINK("https://klasma.github.io/Logging_2280/kartor_geotiff/A 27496-2026 georefererad karta.tif", "A 27496-2026")</f>
        <v/>
      </c>
      <c r="AA7">
        <f>HYPERLINK("https://klasma.github.io/Logging_2280/klagomål/A 27496-2026 FSC-klagomål.docx", "A 27496-2026")</f>
        <v/>
      </c>
      <c r="AB7">
        <f>HYPERLINK("https://klasma.github.io/Logging_2280/klagomålsmail/A 27496-2026 FSC-klagomål mail.docx", "A 27496-2026")</f>
        <v/>
      </c>
      <c r="AC7">
        <f>HYPERLINK("https://klasma.github.io/Logging_2280/tillsyn/A 27496-2026 tillsynsbegäran.docx", "A 27496-2026")</f>
        <v/>
      </c>
      <c r="AD7">
        <f>HYPERLINK("https://klasma.github.io/Logging_2280/tillsynsmail/A 27496-2026 tillsynsbegäran mail.docx", "A 27496-2026")</f>
        <v/>
      </c>
      <c r="AE7">
        <f>HYPERLINK("https://klasma.github.io/Logging_2280/fåglar/A 27496-2026 prioriterade fågelarter.docx", "A 27496-2026")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46225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46225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46225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46225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46225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46225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46225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t="n">
        <v>6</v>
      </c>
      <c r="V19" s="2" t="inlineStr">
        <is>
          <t>Garnlav
Doftskinn
Gammelgransskål
Lunglav
Tretåig hackspett
Violettgrå tagellav
Vedticka</t>
        </is>
      </c>
      <c r="W19">
        <f>HYPERLINK("https://klasma.github.io/Logging_2280/artfynd/A 16182-2023 artfynd.xlsx", "A 16182-2023")</f>
        <v/>
      </c>
      <c r="X19">
        <f>HYPERLINK("https://klasma.github.io/Logging_2280/kartor/A 16182-2023 karta.png", "A 16182-2023")</f>
        <v/>
      </c>
      <c r="Y19">
        <f>HYPERLINK("https://klasma.github.io/Logging_2280/kartor_geotiff/A 16182-2023 georefererad karta.tif", "A 16182-2023")</f>
        <v/>
      </c>
      <c r="AA19">
        <f>HYPERLINK("https://klasma.github.io/Logging_2280/klagomål/A 16182-2023 FSC-klagomål.docx", "A 16182-2023")</f>
        <v/>
      </c>
      <c r="AB19">
        <f>HYPERLINK("https://klasma.github.io/Logging_2280/klagomålsmail/A 16182-2023 FSC-klagomål mail.docx", "A 16182-2023")</f>
        <v/>
      </c>
      <c r="AC19">
        <f>HYPERLINK("https://klasma.github.io/Logging_2280/tillsyn/A 16182-2023 tillsynsbegäran.docx", "A 16182-2023")</f>
        <v/>
      </c>
      <c r="AD19">
        <f>HYPERLINK("https://klasma.github.io/Logging_2280/tillsynsmail/A 16182-2023 tillsynsbegäran mail.docx", "A 16182-2023")</f>
        <v/>
      </c>
      <c r="AE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46225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46225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46225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42961-2024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45567</v>
      </c>
      <c r="E23" s="1" t="n">
        <v>46225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11.6</v>
      </c>
      <c r="J23" t="n">
        <v>1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5</v>
      </c>
      <c r="T23" t="n">
        <v>9</v>
      </c>
      <c r="U23" t="n">
        <v>0</v>
      </c>
      <c r="V23" s="2" t="inlineStr">
        <is>
          <t>Garnlav
Sötgräs
Ullticka
Strutbräken
Tibast</t>
        </is>
      </c>
      <c r="W23">
        <f>HYPERLINK("https://klasma.github.io/Logging_2280/artfynd/A 42961-2024 artfynd.xlsx", "A 42961-2024")</f>
        <v/>
      </c>
      <c r="X23">
        <f>HYPERLINK("https://klasma.github.io/Logging_2280/kartor/A 42961-2024 karta.png", "A 42961-2024")</f>
        <v/>
      </c>
      <c r="Y23">
        <f>HYPERLINK("https://klasma.github.io/Logging_2280/kartor_geotiff/A 42961-2024 georefererad karta.tif", "A 42961-2024")</f>
        <v/>
      </c>
      <c r="AA23">
        <f>HYPERLINK("https://klasma.github.io/Logging_2280/klagomål/A 42961-2024 FSC-klagomål.docx", "A 42961-2024")</f>
        <v/>
      </c>
      <c r="AB23">
        <f>HYPERLINK("https://klasma.github.io/Logging_2280/klagomålsmail/A 42961-2024 FSC-klagomål mail.docx", "A 42961-2024")</f>
        <v/>
      </c>
      <c r="AC23">
        <f>HYPERLINK("https://klasma.github.io/Logging_2280/tillsyn/A 42961-2024 tillsynsbegäran.docx", "A 42961-2024")</f>
        <v/>
      </c>
      <c r="AD23">
        <f>HYPERLINK("https://klasma.github.io/Logging_2280/tillsynsmail/A 42961-2024 tillsynsbegäran mail.docx", "A 42961-2024")</f>
        <v/>
      </c>
    </row>
    <row r="24" ht="15" customHeight="1">
      <c r="A24" t="inlineStr">
        <is>
          <t>A 47711-2024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46225</v>
      </c>
      <c r="F24" t="inlineStr">
        <is>
          <t>VÄSTERNORRLANDS LÄN</t>
        </is>
      </c>
      <c r="G24" t="inlineStr">
        <is>
          <t>HÄRNÖSAND</t>
        </is>
      </c>
      <c r="I24" t="n">
        <v>39.5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17</v>
      </c>
      <c r="U24" t="n">
        <v>3</v>
      </c>
      <c r="V24" s="2" t="inlineStr">
        <is>
          <t>Dropptaggsvamp
Motaggsvamp
Tallticka
Ullticka
Vedticka</t>
        </is>
      </c>
      <c r="W24">
        <f>HYPERLINK("https://klasma.github.io/Logging_2280/artfynd/A 47711-2024 artfynd.xlsx", "A 47711-2024")</f>
        <v/>
      </c>
      <c r="X24">
        <f>HYPERLINK("https://klasma.github.io/Logging_2280/kartor/A 47711-2024 karta.png", "A 47711-2024")</f>
        <v/>
      </c>
      <c r="Y24">
        <f>HYPERLINK("https://klasma.github.io/Logging_2280/kartor_geotiff/A 47711-2024 georefererad karta.tif", "A 47711-2024")</f>
        <v/>
      </c>
      <c r="AA24">
        <f>HYPERLINK("https://klasma.github.io/Logging_2280/klagomål/A 47711-2024 FSC-klagomål.docx", "A 47711-2024")</f>
        <v/>
      </c>
      <c r="AB24">
        <f>HYPERLINK("https://klasma.github.io/Logging_2280/klagomålsmail/A 47711-2024 FSC-klagomål mail.docx", "A 47711-2024")</f>
        <v/>
      </c>
      <c r="AC24">
        <f>HYPERLINK("https://klasma.github.io/Logging_2280/tillsyn/A 47711-2024 tillsynsbegäran.docx", "A 47711-2024")</f>
        <v/>
      </c>
      <c r="AD24">
        <f>HYPERLINK("https://klasma.github.io/Logging_2280/tillsynsmail/A 47711-2024 tillsynsbegäran mail.docx", "A 47711-2024")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46225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46225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46225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46225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46225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46225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46225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46225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46225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46225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46225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46225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46225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46225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Slåtterfibbla
Strutbräken
Svart trolldruva</t>
        </is>
      </c>
      <c r="W42">
        <f>HYPERLINK("https://klasma.github.io/Logging_2280/artfynd/A 3953-2024 artfynd.xlsx", "A 3953-2024")</f>
        <v/>
      </c>
      <c r="X42">
        <f>HYPERLINK("https://klasma.github.io/Logging_2280/kartor/A 3953-2024 karta.png", "A 3953-2024")</f>
        <v/>
      </c>
      <c r="Y42">
        <f>HYPERLINK("https://klasma.github.io/Logging_2280/kartor_geotiff/A 3953-2024 georefererad karta.tif", "A 3953-2024")</f>
        <v/>
      </c>
      <c r="AA42">
        <f>HYPERLINK("https://klasma.github.io/Logging_2280/klagomål/A 3953-2024 FSC-klagomål.docx", "A 3953-2024")</f>
        <v/>
      </c>
      <c r="AB42">
        <f>HYPERLINK("https://klasma.github.io/Logging_2280/klagomålsmail/A 3953-2024 FSC-klagomål mail.docx", "A 3953-2024")</f>
        <v/>
      </c>
      <c r="AC42">
        <f>HYPERLINK("https://klasma.github.io/Logging_2280/tillsyn/A 3953-2024 tillsynsbegäran.docx", "A 3953-2024")</f>
        <v/>
      </c>
      <c r="AD42">
        <f>HYPERLINK("https://klasma.github.io/Logging_2280/tillsynsmail/A 3953-2024 tillsynsbegäran mail.docx", "A 3953-2024")</f>
        <v/>
      </c>
    </row>
    <row r="43" ht="15" customHeight="1">
      <c r="A43" t="inlineStr">
        <is>
          <t>A 47484-2025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45930</v>
      </c>
      <c r="E43" s="1" t="n">
        <v>46225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2.7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Ullticka
Vedflamlav
Fläcknycklar</t>
        </is>
      </c>
      <c r="W43">
        <f>HYPERLINK("https://klasma.github.io/Logging_2280/artfynd/A 47484-2025 artfynd.xlsx", "A 47484-2025")</f>
        <v/>
      </c>
      <c r="X43">
        <f>HYPERLINK("https://klasma.github.io/Logging_2280/kartor/A 47484-2025 karta.png", "A 47484-2025")</f>
        <v/>
      </c>
      <c r="Y43">
        <f>HYPERLINK("https://klasma.github.io/Logging_2280/kartor_geotiff/A 47484-2025 georefererad karta.tif", "A 47484-2025")</f>
        <v/>
      </c>
      <c r="AA43">
        <f>HYPERLINK("https://klasma.github.io/Logging_2280/klagomål/A 47484-2025 FSC-klagomål.docx", "A 47484-2025")</f>
        <v/>
      </c>
      <c r="AB43">
        <f>HYPERLINK("https://klasma.github.io/Logging_2280/klagomålsmail/A 47484-2025 FSC-klagomål mail.docx", "A 47484-2025")</f>
        <v/>
      </c>
      <c r="AC43">
        <f>HYPERLINK("https://klasma.github.io/Logging_2280/tillsyn/A 47484-2025 tillsynsbegäran.docx", "A 47484-2025")</f>
        <v/>
      </c>
      <c r="AD43">
        <f>HYPERLINK("https://klasma.github.io/Logging_2280/tillsynsmail/A 47484-2025 tillsynsbegäran mail.docx", "A 47484-2025")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46225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46225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46225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46225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46225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46225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46225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46225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Violettgrå tagellav</t>
        </is>
      </c>
      <c r="W51">
        <f>HYPERLINK("https://klasma.github.io/Logging_2280/artfynd/A 11973-2024 artfynd.xlsx", "A 11973-2024")</f>
        <v/>
      </c>
      <c r="X51">
        <f>HYPERLINK("https://klasma.github.io/Logging_2280/kartor/A 11973-2024 karta.png", "A 11973-2024")</f>
        <v/>
      </c>
      <c r="Y51">
        <f>HYPERLINK("https://klasma.github.io/Logging_2280/kartor_geotiff/A 11973-2024 georefererad karta.tif", "A 11973-2024")</f>
        <v/>
      </c>
      <c r="AA51">
        <f>HYPERLINK("https://klasma.github.io/Logging_2280/klagomål/A 11973-2024 FSC-klagomål.docx", "A 11973-2024")</f>
        <v/>
      </c>
      <c r="AB51">
        <f>HYPERLINK("https://klasma.github.io/Logging_2280/klagomålsmail/A 11973-2024 FSC-klagomål mail.docx", "A 11973-2024")</f>
        <v/>
      </c>
      <c r="AC51">
        <f>HYPERLINK("https://klasma.github.io/Logging_2280/tillsyn/A 11973-2024 tillsynsbegäran.docx", "A 11973-2024")</f>
        <v/>
      </c>
      <c r="AD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46225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Garnlav
Lunglav</t>
        </is>
      </c>
      <c r="W52">
        <f>HYPERLINK("https://klasma.github.io/Logging_2280/artfynd/A 62351-2023 artfynd.xlsx", "A 62351-2023")</f>
        <v/>
      </c>
      <c r="X52">
        <f>HYPERLINK("https://klasma.github.io/Logging_2280/kartor/A 62351-2023 karta.png", "A 62351-2023")</f>
        <v/>
      </c>
      <c r="Y52">
        <f>HYPERLINK("https://klasma.github.io/Logging_2280/kartor_geotiff/A 62351-2023 georefererad karta.tif", "A 62351-2023")</f>
        <v/>
      </c>
      <c r="AA52">
        <f>HYPERLINK("https://klasma.github.io/Logging_2280/klagomål/A 62351-2023 FSC-klagomål.docx", "A 62351-2023")</f>
        <v/>
      </c>
      <c r="AB52">
        <f>HYPERLINK("https://klasma.github.io/Logging_2280/klagomålsmail/A 62351-2023 FSC-klagomål mail.docx", "A 62351-2023")</f>
        <v/>
      </c>
      <c r="AC52">
        <f>HYPERLINK("https://klasma.github.io/Logging_2280/tillsyn/A 62351-2023 tillsynsbegäran.docx", "A 62351-2023")</f>
        <v/>
      </c>
      <c r="AD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46225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Korallblylav
Skinnlav</t>
        </is>
      </c>
      <c r="W53">
        <f>HYPERLINK("https://klasma.github.io/Logging_2280/artfynd/A 52727-2022 artfynd.xlsx", "A 52727-2022")</f>
        <v/>
      </c>
      <c r="X53">
        <f>HYPERLINK("https://klasma.github.io/Logging_2280/kartor/A 52727-2022 karta.png", "A 52727-2022")</f>
        <v/>
      </c>
      <c r="Y53">
        <f>HYPERLINK("https://klasma.github.io/Logging_2280/kartor_geotiff/A 52727-2022 georefererad karta.tif", "A 52727-2022")</f>
        <v/>
      </c>
      <c r="AA53">
        <f>HYPERLINK("https://klasma.github.io/Logging_2280/klagomål/A 52727-2022 FSC-klagomål.docx", "A 52727-2022")</f>
        <v/>
      </c>
      <c r="AB53">
        <f>HYPERLINK("https://klasma.github.io/Logging_2280/klagomålsmail/A 52727-2022 FSC-klagomål mail.docx", "A 52727-2022")</f>
        <v/>
      </c>
      <c r="AC53">
        <f>HYPERLINK("https://klasma.github.io/Logging_2280/tillsyn/A 52727-2022 tillsynsbegäran.docx", "A 52727-2022")</f>
        <v/>
      </c>
      <c r="AD53">
        <f>HYPERLINK("https://klasma.github.io/Logging_2280/tillsynsmail/A 52727-2022 tillsynsbegäran mail.docx", "A 52727-2022")</f>
        <v/>
      </c>
    </row>
    <row r="54" ht="15" customHeight="1">
      <c r="A54" t="inlineStr">
        <is>
          <t>A 34545-2025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46225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Kyrkan</t>
        </is>
      </c>
      <c r="I54" t="n">
        <v>9.699999999999999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Tretåig hackspett
Korallblylav</t>
        </is>
      </c>
      <c r="W54">
        <f>HYPERLINK("https://klasma.github.io/Logging_2280/artfynd/A 34545-2025 artfynd.xlsx", "A 34545-2025")</f>
        <v/>
      </c>
      <c r="X54">
        <f>HYPERLINK("https://klasma.github.io/Logging_2280/kartor/A 34545-2025 karta.png", "A 34545-2025")</f>
        <v/>
      </c>
      <c r="Y54">
        <f>HYPERLINK("https://klasma.github.io/Logging_2280/kartor_geotiff/A 34545-2025 georefererad karta.tif", "A 34545-2025")</f>
        <v/>
      </c>
      <c r="AA54">
        <f>HYPERLINK("https://klasma.github.io/Logging_2280/klagomål/A 34545-2025 FSC-klagomål.docx", "A 34545-2025")</f>
        <v/>
      </c>
      <c r="AB54">
        <f>HYPERLINK("https://klasma.github.io/Logging_2280/klagomålsmail/A 34545-2025 FSC-klagomål mail.docx", "A 34545-2025")</f>
        <v/>
      </c>
      <c r="AC54">
        <f>HYPERLINK("https://klasma.github.io/Logging_2280/tillsyn/A 34545-2025 tillsynsbegäran.docx", "A 34545-2025")</f>
        <v/>
      </c>
      <c r="AD54">
        <f>HYPERLINK("https://klasma.github.io/Logging_2280/tillsynsmail/A 34545-2025 tillsynsbegäran mail.docx", "A 34545-2025")</f>
        <v/>
      </c>
      <c r="AE54">
        <f>HYPERLINK("https://klasma.github.io/Logging_2280/fåglar/A 34545-2025 prioriterade fågelarter.docx", "A 34545-2025")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46225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46225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Gammelgransskål</t>
        </is>
      </c>
      <c r="W56">
        <f>HYPERLINK("https://klasma.github.io/Logging_2280/artfynd/A 43251-2025 artfynd.xlsx", "A 43251-2025")</f>
        <v/>
      </c>
      <c r="X56">
        <f>HYPERLINK("https://klasma.github.io/Logging_2280/kartor/A 43251-2025 karta.png", "A 43251-2025")</f>
        <v/>
      </c>
      <c r="Y56">
        <f>HYPERLINK("https://klasma.github.io/Logging_2280/kartor_geotiff/A 43251-2025 georefererad karta.tif", "A 43251-2025")</f>
        <v/>
      </c>
      <c r="AA56">
        <f>HYPERLINK("https://klasma.github.io/Logging_2280/klagomål/A 43251-2025 FSC-klagomål.docx", "A 43251-2025")</f>
        <v/>
      </c>
      <c r="AB56">
        <f>HYPERLINK("https://klasma.github.io/Logging_2280/klagomålsmail/A 43251-2025 FSC-klagomål mail.docx", "A 43251-2025")</f>
        <v/>
      </c>
      <c r="AC56">
        <f>HYPERLINK("https://klasma.github.io/Logging_2280/tillsyn/A 43251-2025 tillsynsbegäran.docx", "A 43251-2025")</f>
        <v/>
      </c>
      <c r="AD56">
        <f>HYPERLINK("https://klasma.github.io/Logging_2280/tillsynsmail/A 43251-2025 tillsynsbegäran mail.docx", "A 43251-2025")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46225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46225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46225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t="n">
        <v>3</v>
      </c>
      <c r="V59" s="2" t="inlineStr">
        <is>
          <t>Garnlav
Vedticka</t>
        </is>
      </c>
      <c r="W59">
        <f>HYPERLINK("https://klasma.github.io/Logging_2280/artfynd/A 44901-2024 artfynd.xlsx", "A 44901-2024")</f>
        <v/>
      </c>
      <c r="X59">
        <f>HYPERLINK("https://klasma.github.io/Logging_2280/kartor/A 44901-2024 karta.png", "A 44901-2024")</f>
        <v/>
      </c>
      <c r="Y59">
        <f>HYPERLINK("https://klasma.github.io/Logging_2280/kartor_geotiff/A 44901-2024 georefererad karta.tif", "A 44901-2024")</f>
        <v/>
      </c>
      <c r="AA59">
        <f>HYPERLINK("https://klasma.github.io/Logging_2280/klagomål/A 44901-2024 FSC-klagomål.docx", "A 44901-2024")</f>
        <v/>
      </c>
      <c r="AB59">
        <f>HYPERLINK("https://klasma.github.io/Logging_2280/klagomålsmail/A 44901-2024 FSC-klagomål mail.docx", "A 44901-2024")</f>
        <v/>
      </c>
      <c r="AC59">
        <f>HYPERLINK("https://klasma.github.io/Logging_2280/tillsyn/A 44901-2024 tillsynsbegäran.docx", "A 44901-2024")</f>
        <v/>
      </c>
      <c r="AD59">
        <f>HYPERLINK("https://klasma.github.io/Logging_2280/tillsynsmail/A 44901-2024 tillsynsbegäran mail.docx", "A 44901-2024")</f>
        <v/>
      </c>
    </row>
    <row r="60" ht="15" customHeight="1">
      <c r="A60" t="inlineStr">
        <is>
          <t>A 54894-2024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46225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Lunglav</t>
        </is>
      </c>
      <c r="W60">
        <f>HYPERLINK("https://klasma.github.io/Logging_2280/artfynd/A 54894-2024 artfynd.xlsx", "A 54894-2024")</f>
        <v/>
      </c>
      <c r="X60">
        <f>HYPERLINK("https://klasma.github.io/Logging_2280/kartor/A 54894-2024 karta.png", "A 54894-2024")</f>
        <v/>
      </c>
      <c r="Y60">
        <f>HYPERLINK("https://klasma.github.io/Logging_2280/kartor_geotiff/A 54894-2024 georefererad karta.tif", "A 54894-2024")</f>
        <v/>
      </c>
      <c r="AA60">
        <f>HYPERLINK("https://klasma.github.io/Logging_2280/klagomål/A 54894-2024 FSC-klagomål.docx", "A 54894-2024")</f>
        <v/>
      </c>
      <c r="AB60">
        <f>HYPERLINK("https://klasma.github.io/Logging_2280/klagomålsmail/A 54894-2024 FSC-klagomål mail.docx", "A 54894-2024")</f>
        <v/>
      </c>
      <c r="AC60">
        <f>HYPERLINK("https://klasma.github.io/Logging_2280/tillsyn/A 54894-2024 tillsynsbegäran.docx", "A 54894-2024")</f>
        <v/>
      </c>
      <c r="AD60">
        <f>HYPERLINK("https://klasma.github.io/Logging_2280/tillsynsmail/A 54894-2024 tillsynsbegäran mail.docx", "A 54894-2024")</f>
        <v/>
      </c>
    </row>
    <row r="61" ht="15" customHeight="1">
      <c r="A61" t="inlineStr">
        <is>
          <t>A 20771-2026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46225</v>
      </c>
      <c r="F61" t="inlineStr">
        <is>
          <t>VÄSTERNORRLANDS LÄN</t>
        </is>
      </c>
      <c r="G61" t="inlineStr">
        <is>
          <t>HÄRNÖSAND</t>
        </is>
      </c>
      <c r="I61" t="n">
        <v>1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Nordfladdermus
Tajgafladdermus</t>
        </is>
      </c>
      <c r="W61">
        <f>HYPERLINK("https://klasma.github.io/Logging_2280/artfynd/A 20771-2026 artfynd.xlsx", "A 20771-2026")</f>
        <v/>
      </c>
      <c r="X61">
        <f>HYPERLINK("https://klasma.github.io/Logging_2280/kartor/A 20771-2026 karta.png", "A 20771-2026")</f>
        <v/>
      </c>
      <c r="Y61">
        <f>HYPERLINK("https://klasma.github.io/Logging_2280/kartor_geotiff/A 20771-2026 georefererad karta.tif", "A 20771-2026")</f>
        <v/>
      </c>
      <c r="AA61">
        <f>HYPERLINK("https://klasma.github.io/Logging_2280/klagomål/A 20771-2026 FSC-klagomål.docx", "A 20771-2026")</f>
        <v/>
      </c>
      <c r="AB61">
        <f>HYPERLINK("https://klasma.github.io/Logging_2280/klagomålsmail/A 20771-2026 FSC-klagomål mail.docx", "A 20771-2026")</f>
        <v/>
      </c>
      <c r="AC61">
        <f>HYPERLINK("https://klasma.github.io/Logging_2280/tillsyn/A 20771-2026 tillsynsbegäran.docx", "A 20771-2026")</f>
        <v/>
      </c>
      <c r="AD61">
        <f>HYPERLINK("https://klasma.github.io/Logging_2280/tillsynsmail/A 20771-2026 tillsynsbegäran mail.docx", "A 20771-2026")</f>
        <v/>
      </c>
    </row>
    <row r="62" ht="15" customHeight="1">
      <c r="A62" t="inlineStr">
        <is>
          <t>A 18694-2025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46225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10.5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Lavskrika
Tretåig hackspett</t>
        </is>
      </c>
      <c r="W62">
        <f>HYPERLINK("https://klasma.github.io/Logging_2280/artfynd/A 18694-2025 artfynd.xlsx", "A 18694-2025")</f>
        <v/>
      </c>
      <c r="X62">
        <f>HYPERLINK("https://klasma.github.io/Logging_2280/kartor/A 18694-2025 karta.png", "A 18694-2025")</f>
        <v/>
      </c>
      <c r="Y62">
        <f>HYPERLINK("https://klasma.github.io/Logging_2280/kartor_geotiff/A 18694-2025 georefererad karta.tif", "A 18694-2025")</f>
        <v/>
      </c>
      <c r="AA62">
        <f>HYPERLINK("https://klasma.github.io/Logging_2280/klagomål/A 18694-2025 FSC-klagomål.docx", "A 18694-2025")</f>
        <v/>
      </c>
      <c r="AB62">
        <f>HYPERLINK("https://klasma.github.io/Logging_2280/klagomålsmail/A 18694-2025 FSC-klagomål mail.docx", "A 18694-2025")</f>
        <v/>
      </c>
      <c r="AC62">
        <f>HYPERLINK("https://klasma.github.io/Logging_2280/tillsyn/A 18694-2025 tillsynsbegäran.docx", "A 18694-2025")</f>
        <v/>
      </c>
      <c r="AD62">
        <f>HYPERLINK("https://klasma.github.io/Logging_2280/tillsynsmail/A 18694-2025 tillsynsbegäran mail.docx", "A 18694-2025")</f>
        <v/>
      </c>
      <c r="AE62">
        <f>HYPERLINK("https://klasma.github.io/Logging_2280/fåglar/A 18694-2025 prioriterade fågelarter.docx", "A 18694-2025")</f>
        <v/>
      </c>
    </row>
    <row r="63" ht="15" customHeight="1">
      <c r="A63" t="inlineStr">
        <is>
          <t>A 41484-2021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44424</v>
      </c>
      <c r="E63" s="1" t="n">
        <v>46225</v>
      </c>
      <c r="F63" t="inlineStr">
        <is>
          <t>VÄSTERNORRLANDS LÄN</t>
        </is>
      </c>
      <c r="G63" t="inlineStr">
        <is>
          <t>HÄRNÖSAND</t>
        </is>
      </c>
      <c r="I63" t="n">
        <v>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Kolflarnlav
Skinnlav</t>
        </is>
      </c>
      <c r="W63">
        <f>HYPERLINK("https://klasma.github.io/Logging_2280/artfynd/A 41484-2021 artfynd.xlsx", "A 41484-2021")</f>
        <v/>
      </c>
      <c r="X63">
        <f>HYPERLINK("https://klasma.github.io/Logging_2280/kartor/A 41484-2021 karta.png", "A 41484-2021")</f>
        <v/>
      </c>
      <c r="Y63">
        <f>HYPERLINK("https://klasma.github.io/Logging_2280/kartor_geotiff/A 41484-2021 georefererad karta.tif", "A 41484-2021")</f>
        <v/>
      </c>
      <c r="AA63">
        <f>HYPERLINK("https://klasma.github.io/Logging_2280/klagomål/A 41484-2021 FSC-klagomål.docx", "A 41484-2021")</f>
        <v/>
      </c>
      <c r="AB63">
        <f>HYPERLINK("https://klasma.github.io/Logging_2280/klagomålsmail/A 41484-2021 FSC-klagomål mail.docx", "A 41484-2021")</f>
        <v/>
      </c>
      <c r="AC63">
        <f>HYPERLINK("https://klasma.github.io/Logging_2280/tillsyn/A 41484-2021 tillsynsbegäran.docx", "A 41484-2021")</f>
        <v/>
      </c>
      <c r="AD63">
        <f>HYPERLINK("https://klasma.github.io/Logging_2280/tillsynsmail/A 41484-2021 tillsynsbegäran mail.docx", "A 41484-2021")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46225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46225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46225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46225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46225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HYPERLINK("https://klasma.github.io/Logging_2280/artfynd/A 26174-2025 artfynd.xlsx", "A 26174-2025")</f>
        <v/>
      </c>
      <c r="X68">
        <f>HYPERLINK("https://klasma.github.io/Logging_2280/kartor/A 26174-2025 karta.png", "A 26174-2025")</f>
        <v/>
      </c>
      <c r="Y68">
        <f>HYPERLINK("https://klasma.github.io/Logging_2280/kartor_geotiff/A 26174-2025 georefererad karta.tif", "A 26174-2025")</f>
        <v/>
      </c>
      <c r="AA68">
        <f>HYPERLINK("https://klasma.github.io/Logging_2280/klagomål/A 26174-2025 FSC-klagomål.docx", "A 26174-2025")</f>
        <v/>
      </c>
      <c r="AB68">
        <f>HYPERLINK("https://klasma.github.io/Logging_2280/klagomålsmail/A 26174-2025 FSC-klagomål mail.docx", "A 26174-2025")</f>
        <v/>
      </c>
      <c r="AC68">
        <f>HYPERLINK("https://klasma.github.io/Logging_2280/tillsyn/A 26174-2025 tillsynsbegäran.docx", "A 26174-2025")</f>
        <v/>
      </c>
      <c r="AD68">
        <f>HYPERLINK("https://klasma.github.io/Logging_2280/tillsynsmail/A 26174-2025 tillsynsbegäran mail.docx", "A 26174-2025")</f>
        <v/>
      </c>
    </row>
    <row r="69" ht="15" customHeight="1">
      <c r="A69" t="inlineStr">
        <is>
          <t>A 1190-2026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46225</v>
      </c>
      <c r="F69" t="inlineStr">
        <is>
          <t>VÄSTERNORRLANDS LÄN</t>
        </is>
      </c>
      <c r="G69" t="inlineStr">
        <is>
          <t>HÄRNÖSAND</t>
        </is>
      </c>
      <c r="I69" t="n">
        <v>3.5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Tretåig hackspett</t>
        </is>
      </c>
      <c r="W69">
        <f>HYPERLINK("https://klasma.github.io/Logging_2280/artfynd/A 1190-2026 artfynd.xlsx", "A 1190-2026")</f>
        <v/>
      </c>
      <c r="X69">
        <f>HYPERLINK("https://klasma.github.io/Logging_2280/kartor/A 1190-2026 karta.png", "A 1190-2026")</f>
        <v/>
      </c>
      <c r="Y69">
        <f>HYPERLINK("https://klasma.github.io/Logging_2280/kartor_geotiff/A 1190-2026 georefererad karta.tif", "A 1190-2026")</f>
        <v/>
      </c>
      <c r="AA69">
        <f>HYPERLINK("https://klasma.github.io/Logging_2280/klagomål/A 1190-2026 FSC-klagomål.docx", "A 1190-2026")</f>
        <v/>
      </c>
      <c r="AB69">
        <f>HYPERLINK("https://klasma.github.io/Logging_2280/klagomålsmail/A 1190-2026 FSC-klagomål mail.docx", "A 1190-2026")</f>
        <v/>
      </c>
      <c r="AC69">
        <f>HYPERLINK("https://klasma.github.io/Logging_2280/tillsyn/A 1190-2026 tillsynsbegäran.docx", "A 1190-2026")</f>
        <v/>
      </c>
      <c r="AD69">
        <f>HYPERLINK("https://klasma.github.io/Logging_2280/tillsynsmail/A 1190-2026 tillsynsbegäran mail.docx", "A 1190-2026")</f>
        <v/>
      </c>
      <c r="AE69">
        <f>HYPERLINK("https://klasma.github.io/Logging_2280/fåglar/A 1190-2026 prioriterade fågelarter.docx", "A 1190-2026")</f>
        <v/>
      </c>
    </row>
    <row r="70" ht="15" customHeight="1">
      <c r="A70" t="inlineStr">
        <is>
          <t>A 26086-2025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46225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HYPERLINK("https://klasma.github.io/Logging_2280/artfynd/A 26086-2025 artfynd.xlsx", "A 26086-2025")</f>
        <v/>
      </c>
      <c r="X70">
        <f>HYPERLINK("https://klasma.github.io/Logging_2280/kartor/A 26086-2025 karta.png", "A 26086-2025")</f>
        <v/>
      </c>
      <c r="Y70">
        <f>HYPERLINK("https://klasma.github.io/Logging_2280/kartor_geotiff/A 26086-2025 georefererad karta.tif", "A 26086-2025")</f>
        <v/>
      </c>
      <c r="AA70">
        <f>HYPERLINK("https://klasma.github.io/Logging_2280/klagomål/A 26086-2025 FSC-klagomål.docx", "A 26086-2025")</f>
        <v/>
      </c>
      <c r="AB70">
        <f>HYPERLINK("https://klasma.github.io/Logging_2280/klagomålsmail/A 26086-2025 FSC-klagomål mail.docx", "A 26086-2025")</f>
        <v/>
      </c>
      <c r="AC70">
        <f>HYPERLINK("https://klasma.github.io/Logging_2280/tillsyn/A 26086-2025 tillsynsbegäran.docx", "A 26086-2025")</f>
        <v/>
      </c>
      <c r="AD70">
        <f>HYPERLINK("https://klasma.github.io/Logging_2280/tillsynsmail/A 26086-2025 tillsynsbegäran mail.docx", "A 26086-2025")</f>
        <v/>
      </c>
      <c r="AE70">
        <f>HYPERLINK("https://klasma.github.io/Logging_2280/fåglar/A 26086-2025 prioriterade fågelarter.docx", "A 26086-2025")</f>
        <v/>
      </c>
    </row>
    <row r="71" ht="15" customHeight="1">
      <c r="A71" t="inlineStr">
        <is>
          <t>A 26922-2025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45811</v>
      </c>
      <c r="E71" s="1" t="n">
        <v>46225</v>
      </c>
      <c r="F71" t="inlineStr">
        <is>
          <t>VÄSTERNORRLANDS LÄN</t>
        </is>
      </c>
      <c r="G71" t="inlineStr">
        <is>
          <t>HÄRNÖSAND</t>
        </is>
      </c>
      <c r="I71" t="n">
        <v>2.4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Barkticka</t>
        </is>
      </c>
      <c r="W71">
        <f>HYPERLINK("https://klasma.github.io/Logging_2280/artfynd/A 26922-2025 artfynd.xlsx", "A 26922-2025")</f>
        <v/>
      </c>
      <c r="X71">
        <f>HYPERLINK("https://klasma.github.io/Logging_2280/kartor/A 26922-2025 karta.png", "A 26922-2025")</f>
        <v/>
      </c>
      <c r="Y71">
        <f>HYPERLINK("https://klasma.github.io/Logging_2280/kartor_geotiff/A 26922-2025 georefererad karta.tif", "A 26922-2025")</f>
        <v/>
      </c>
      <c r="AA71">
        <f>HYPERLINK("https://klasma.github.io/Logging_2280/klagomål/A 26922-2025 FSC-klagomål.docx", "A 26922-2025")</f>
        <v/>
      </c>
      <c r="AB71">
        <f>HYPERLINK("https://klasma.github.io/Logging_2280/klagomålsmail/A 26922-2025 FSC-klagomål mail.docx", "A 26922-2025")</f>
        <v/>
      </c>
      <c r="AC71">
        <f>HYPERLINK("https://klasma.github.io/Logging_2280/tillsyn/A 26922-2025 tillsynsbegäran.docx", "A 26922-2025")</f>
        <v/>
      </c>
      <c r="AD71">
        <f>HYPERLINK("https://klasma.github.io/Logging_2280/tillsynsmail/A 26922-2025 tillsynsbegäran mail.docx", "A 26922-2025")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46225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18583-2026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46225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Violettgrå tagellav</t>
        </is>
      </c>
      <c r="W73">
        <f>HYPERLINK("https://klasma.github.io/Logging_2280/artfynd/A 18583-2026 artfynd.xlsx", "A 18583-2026")</f>
        <v/>
      </c>
      <c r="X73">
        <f>HYPERLINK("https://klasma.github.io/Logging_2280/kartor/A 18583-2026 karta.png", "A 18583-2026")</f>
        <v/>
      </c>
      <c r="Y73">
        <f>HYPERLINK("https://klasma.github.io/Logging_2280/kartor_geotiff/A 18583-2026 georefererad karta.tif", "A 18583-2026")</f>
        <v/>
      </c>
      <c r="AA73">
        <f>HYPERLINK("https://klasma.github.io/Logging_2280/klagomål/A 18583-2026 FSC-klagomål.docx", "A 18583-2026")</f>
        <v/>
      </c>
      <c r="AB73">
        <f>HYPERLINK("https://klasma.github.io/Logging_2280/klagomålsmail/A 18583-2026 FSC-klagomål mail.docx", "A 18583-2026")</f>
        <v/>
      </c>
      <c r="AC73">
        <f>HYPERLINK("https://klasma.github.io/Logging_2280/tillsyn/A 18583-2026 tillsynsbegäran.docx", "A 18583-2026")</f>
        <v/>
      </c>
      <c r="AD73">
        <f>HYPERLINK("https://klasma.github.io/Logging_2280/tillsynsmail/A 18583-2026 tillsynsbegäran mail.docx", "A 18583-2026")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46225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27457-2026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46225</v>
      </c>
      <c r="F75" t="inlineStr">
        <is>
          <t>VÄSTERNORRLANDS LÄN</t>
        </is>
      </c>
      <c r="G75" t="inlineStr">
        <is>
          <t>HÄRNÖSAND</t>
        </is>
      </c>
      <c r="I75" t="n">
        <v>3.8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Ullticka</t>
        </is>
      </c>
      <c r="W75">
        <f>HYPERLINK("https://klasma.github.io/Logging_2280/artfynd/A 27457-2026 artfynd.xlsx", "A 27457-2026")</f>
        <v/>
      </c>
      <c r="X75">
        <f>HYPERLINK("https://klasma.github.io/Logging_2280/kartor/A 27457-2026 karta.png", "A 27457-2026")</f>
        <v/>
      </c>
      <c r="Y75">
        <f>HYPERLINK("https://klasma.github.io/Logging_2280/kartor_geotiff/A 27457-2026 georefererad karta.tif", "A 27457-2026")</f>
        <v/>
      </c>
      <c r="AA75">
        <f>HYPERLINK("https://klasma.github.io/Logging_2280/klagomål/A 27457-2026 FSC-klagomål.docx", "A 27457-2026")</f>
        <v/>
      </c>
      <c r="AB75">
        <f>HYPERLINK("https://klasma.github.io/Logging_2280/klagomålsmail/A 27457-2026 FSC-klagomål mail.docx", "A 27457-2026")</f>
        <v/>
      </c>
      <c r="AC75">
        <f>HYPERLINK("https://klasma.github.io/Logging_2280/tillsyn/A 27457-2026 tillsynsbegäran.docx", "A 27457-2026")</f>
        <v/>
      </c>
      <c r="AD75">
        <f>HYPERLINK("https://klasma.github.io/Logging_2280/tillsynsmail/A 27457-2026 tillsynsbegäran mail.docx", "A 27457-2026")</f>
        <v/>
      </c>
    </row>
    <row r="76" ht="15" customHeight="1">
      <c r="A76" t="inlineStr">
        <is>
          <t>A 27923-2026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46191</v>
      </c>
      <c r="E76" s="1" t="n">
        <v>46225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9.300000000000001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Veckticka</t>
        </is>
      </c>
      <c r="W76">
        <f>HYPERLINK("https://klasma.github.io/Logging_2280/artfynd/A 27923-2026 artfynd.xlsx", "A 27923-2026")</f>
        <v/>
      </c>
      <c r="X76">
        <f>HYPERLINK("https://klasma.github.io/Logging_2280/kartor/A 27923-2026 karta.png", "A 27923-2026")</f>
        <v/>
      </c>
      <c r="Y76">
        <f>HYPERLINK("https://klasma.github.io/Logging_2280/kartor_geotiff/A 27923-2026 georefererad karta.tif", "A 27923-2026")</f>
        <v/>
      </c>
      <c r="AA76">
        <f>HYPERLINK("https://klasma.github.io/Logging_2280/klagomål/A 27923-2026 FSC-klagomål.docx", "A 27923-2026")</f>
        <v/>
      </c>
      <c r="AB76">
        <f>HYPERLINK("https://klasma.github.io/Logging_2280/klagomålsmail/A 27923-2026 FSC-klagomål mail.docx", "A 27923-2026")</f>
        <v/>
      </c>
      <c r="AC76">
        <f>HYPERLINK("https://klasma.github.io/Logging_2280/tillsyn/A 27923-2026 tillsynsbegäran.docx", "A 27923-2026")</f>
        <v/>
      </c>
      <c r="AD76">
        <f>HYPERLINK("https://klasma.github.io/Logging_2280/tillsynsmail/A 27923-2026 tillsynsbegäran mail.docx", "A 27923-2026")</f>
        <v/>
      </c>
    </row>
    <row r="77" ht="15" customHeight="1">
      <c r="A77" t="inlineStr">
        <is>
          <t>A 13984-2023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46225</v>
      </c>
      <c r="F77" t="inlineStr">
        <is>
          <t>VÄSTERNORRLANDS LÄN</t>
        </is>
      </c>
      <c r="G77" t="inlineStr">
        <is>
          <t>HÄRNÖSAND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HYPERLINK("https://klasma.github.io/Logging_2280/artfynd/A 13984-2023 artfynd.xlsx", "A 13984-2023")</f>
        <v/>
      </c>
      <c r="X77">
        <f>HYPERLINK("https://klasma.github.io/Logging_2280/kartor/A 13984-2023 karta.png", "A 13984-2023")</f>
        <v/>
      </c>
      <c r="Y77">
        <f>HYPERLINK("https://klasma.github.io/Logging_2280/kartor_geotiff/A 13984-2023 georefererad karta.tif", "A 13984-2023")</f>
        <v/>
      </c>
      <c r="AA77">
        <f>HYPERLINK("https://klasma.github.io/Logging_2280/klagomål/A 13984-2023 FSC-klagomål.docx", "A 13984-2023")</f>
        <v/>
      </c>
      <c r="AB77">
        <f>HYPERLINK("https://klasma.github.io/Logging_2280/klagomålsmail/A 13984-2023 FSC-klagomål mail.docx", "A 13984-2023")</f>
        <v/>
      </c>
      <c r="AC77">
        <f>HYPERLINK("https://klasma.github.io/Logging_2280/tillsyn/A 13984-2023 tillsynsbegäran.docx", "A 13984-2023")</f>
        <v/>
      </c>
      <c r="AD77">
        <f>HYPERLINK("https://klasma.github.io/Logging_2280/tillsynsmail/A 13984-2023 tillsynsbegäran mail.docx", "A 13984-2023")</f>
        <v/>
      </c>
    </row>
    <row r="78" ht="15" customHeight="1">
      <c r="A78" t="inlineStr">
        <is>
          <t>A 43541-2022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44837</v>
      </c>
      <c r="E78" s="1" t="n">
        <v>46225</v>
      </c>
      <c r="F78" t="inlineStr">
        <is>
          <t>VÄSTERNORRLANDS LÄN</t>
        </is>
      </c>
      <c r="G78" t="inlineStr">
        <is>
          <t>HÄRNÖSAND</t>
        </is>
      </c>
      <c r="I78" t="n">
        <v>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Sötgräs</t>
        </is>
      </c>
      <c r="W78">
        <f>HYPERLINK("https://klasma.github.io/Logging_2280/artfynd/A 43541-2022 artfynd.xlsx", "A 43541-2022")</f>
        <v/>
      </c>
      <c r="X78">
        <f>HYPERLINK("https://klasma.github.io/Logging_2280/kartor/A 43541-2022 karta.png", "A 43541-2022")</f>
        <v/>
      </c>
      <c r="Y78">
        <f>HYPERLINK("https://klasma.github.io/Logging_2280/kartor_geotiff/A 43541-2022 georefererad karta.tif", "A 43541-2022")</f>
        <v/>
      </c>
      <c r="AA78">
        <f>HYPERLINK("https://klasma.github.io/Logging_2280/klagomål/A 43541-2022 FSC-klagomål.docx", "A 43541-2022")</f>
        <v/>
      </c>
      <c r="AB78">
        <f>HYPERLINK("https://klasma.github.io/Logging_2280/klagomålsmail/A 43541-2022 FSC-klagomål mail.docx", "A 43541-2022")</f>
        <v/>
      </c>
      <c r="AC78">
        <f>HYPERLINK("https://klasma.github.io/Logging_2280/tillsyn/A 43541-2022 tillsynsbegäran.docx", "A 43541-2022")</f>
        <v/>
      </c>
      <c r="AD78">
        <f>HYPERLINK("https://klasma.github.io/Logging_2280/tillsynsmail/A 43541-2022 tillsynsbegäran mail.docx", "A 43541-2022")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46225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63724-2023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45276</v>
      </c>
      <c r="E80" s="1" t="n">
        <v>46225</v>
      </c>
      <c r="F80" t="inlineStr">
        <is>
          <t>VÄSTERNORRLANDS LÄN</t>
        </is>
      </c>
      <c r="G80" t="inlineStr">
        <is>
          <t>HÄRNÖSAND</t>
        </is>
      </c>
      <c r="I80" t="n">
        <v>10.1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Älg</t>
        </is>
      </c>
      <c r="W80">
        <f>HYPERLINK("https://klasma.github.io/Logging_2280/artfynd/A 63724-2023 artfynd.xlsx", "A 63724-2023")</f>
        <v/>
      </c>
      <c r="X80">
        <f>HYPERLINK("https://klasma.github.io/Logging_2280/kartor/A 63724-2023 karta.png", "A 63724-2023")</f>
        <v/>
      </c>
      <c r="Y80">
        <f>HYPERLINK("https://klasma.github.io/Logging_2280/kartor_geotiff/A 63724-2023 georefererad karta.tif", "A 63724-2023")</f>
        <v/>
      </c>
      <c r="AA80">
        <f>HYPERLINK("https://klasma.github.io/Logging_2280/klagomål/A 63724-2023 FSC-klagomål.docx", "A 63724-2023")</f>
        <v/>
      </c>
      <c r="AB80">
        <f>HYPERLINK("https://klasma.github.io/Logging_2280/klagomålsmail/A 63724-2023 FSC-klagomål mail.docx", "A 63724-2023")</f>
        <v/>
      </c>
      <c r="AC80">
        <f>HYPERLINK("https://klasma.github.io/Logging_2280/tillsyn/A 63724-2023 tillsynsbegäran.docx", "A 63724-2023")</f>
        <v/>
      </c>
      <c r="AD80">
        <f>HYPERLINK("https://klasma.github.io/Logging_2280/tillsynsmail/A 63724-2023 tillsynsbegäran mail.docx", "A 63724-2023")</f>
        <v/>
      </c>
    </row>
    <row r="81" ht="15" customHeight="1">
      <c r="A81" t="inlineStr">
        <is>
          <t>A 25340-2026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46225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Garnlav</t>
        </is>
      </c>
      <c r="W81">
        <f>HYPERLINK("https://klasma.github.io/Logging_2280/artfynd/A 25340-2026 artfynd.xlsx", "A 25340-2026")</f>
        <v/>
      </c>
      <c r="X81">
        <f>HYPERLINK("https://klasma.github.io/Logging_2280/kartor/A 25340-2026 karta.png", "A 25340-2026")</f>
        <v/>
      </c>
      <c r="Y81">
        <f>HYPERLINK("https://klasma.github.io/Logging_2280/kartor_geotiff/A 25340-2026 georefererad karta.tif", "A 25340-2026")</f>
        <v/>
      </c>
      <c r="AA81">
        <f>HYPERLINK("https://klasma.github.io/Logging_2280/klagomål/A 25340-2026 FSC-klagomål.docx", "A 25340-2026")</f>
        <v/>
      </c>
      <c r="AB81">
        <f>HYPERLINK("https://klasma.github.io/Logging_2280/klagomålsmail/A 25340-2026 FSC-klagomål mail.docx", "A 25340-2026")</f>
        <v/>
      </c>
      <c r="AC81">
        <f>HYPERLINK("https://klasma.github.io/Logging_2280/tillsyn/A 25340-2026 tillsynsbegäran.docx", "A 25340-2026")</f>
        <v/>
      </c>
      <c r="AD81">
        <f>HYPERLINK("https://klasma.github.io/Logging_2280/tillsynsmail/A 25340-2026 tillsynsbegäran mail.docx", "A 25340-2026")</f>
        <v/>
      </c>
    </row>
    <row r="82" ht="15" customHeight="1">
      <c r="A82" t="inlineStr">
        <is>
          <t>A 26664-2026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46225</v>
      </c>
      <c r="F82" t="inlineStr">
        <is>
          <t>VÄSTERNORRLANDS LÄN</t>
        </is>
      </c>
      <c r="G82" t="inlineStr">
        <is>
          <t>HÄRNÖSAND</t>
        </is>
      </c>
      <c r="I82" t="n">
        <v>4.8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Duvhök</t>
        </is>
      </c>
      <c r="W82">
        <f>HYPERLINK("https://klasma.github.io/Logging_2280/artfynd/A 26664-2026 artfynd.xlsx", "A 26664-2026")</f>
        <v/>
      </c>
      <c r="X82">
        <f>HYPERLINK("https://klasma.github.io/Logging_2280/kartor/A 26664-2026 karta.png", "A 26664-2026")</f>
        <v/>
      </c>
      <c r="Y82">
        <f>HYPERLINK("https://klasma.github.io/Logging_2280/kartor_geotiff/A 26664-2026 georefererad karta.tif", "A 26664-2026")</f>
        <v/>
      </c>
      <c r="AA82">
        <f>HYPERLINK("https://klasma.github.io/Logging_2280/klagomål/A 26664-2026 FSC-klagomål.docx", "A 26664-2026")</f>
        <v/>
      </c>
      <c r="AB82">
        <f>HYPERLINK("https://klasma.github.io/Logging_2280/klagomålsmail/A 26664-2026 FSC-klagomål mail.docx", "A 26664-2026")</f>
        <v/>
      </c>
      <c r="AC82">
        <f>HYPERLINK("https://klasma.github.io/Logging_2280/tillsyn/A 26664-2026 tillsynsbegäran.docx", "A 26664-2026")</f>
        <v/>
      </c>
      <c r="AD82">
        <f>HYPERLINK("https://klasma.github.io/Logging_2280/tillsynsmail/A 26664-2026 tillsynsbegäran mail.docx", "A 26664-2026")</f>
        <v/>
      </c>
      <c r="AE82">
        <f>HYPERLINK("https://klasma.github.io/Logging_2280/fåglar/A 26664-2026 prioriterade fågelarter.docx", "A 26664-2026")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46225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8921-2024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45355</v>
      </c>
      <c r="E84" s="1" t="n">
        <v>46225</v>
      </c>
      <c r="F84" t="inlineStr">
        <is>
          <t>VÄSTERNORRLANDS LÄN</t>
        </is>
      </c>
      <c r="G84" t="inlineStr">
        <is>
          <t>HÄRNÖSAND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Apelsinticka</t>
        </is>
      </c>
      <c r="W84">
        <f>HYPERLINK("https://klasma.github.io/Logging_2280/artfynd/A 8921-2024 artfynd.xlsx", "A 8921-2024")</f>
        <v/>
      </c>
      <c r="X84">
        <f>HYPERLINK("https://klasma.github.io/Logging_2280/kartor/A 8921-2024 karta.png", "A 8921-2024")</f>
        <v/>
      </c>
      <c r="Y84">
        <f>HYPERLINK("https://klasma.github.io/Logging_2280/kartor_geotiff/A 8921-2024 georefererad karta.tif", "A 8921-2024")</f>
        <v/>
      </c>
      <c r="AA84">
        <f>HYPERLINK("https://klasma.github.io/Logging_2280/klagomål/A 8921-2024 FSC-klagomål.docx", "A 8921-2024")</f>
        <v/>
      </c>
      <c r="AB84">
        <f>HYPERLINK("https://klasma.github.io/Logging_2280/klagomålsmail/A 8921-2024 FSC-klagomål mail.docx", "A 8921-2024")</f>
        <v/>
      </c>
      <c r="AC84">
        <f>HYPERLINK("https://klasma.github.io/Logging_2280/tillsyn/A 8921-2024 tillsynsbegäran.docx", "A 8921-2024")</f>
        <v/>
      </c>
      <c r="AD84">
        <f>HYPERLINK("https://klasma.github.io/Logging_2280/tillsynsmail/A 8921-2024 tillsynsbegäran mail.docx", "A 8921-2024")</f>
        <v/>
      </c>
    </row>
    <row r="85" ht="15" customHeight="1">
      <c r="A85" t="inlineStr">
        <is>
          <t>A 7853-2024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46225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4.1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Igelkott</t>
        </is>
      </c>
      <c r="W85">
        <f>HYPERLINK("https://klasma.github.io/Logging_2280/artfynd/A 7853-2024 artfynd.xlsx", "A 7853-2024")</f>
        <v/>
      </c>
      <c r="X85">
        <f>HYPERLINK("https://klasma.github.io/Logging_2280/kartor/A 7853-2024 karta.png", "A 7853-2024")</f>
        <v/>
      </c>
      <c r="Y85">
        <f>HYPERLINK("https://klasma.github.io/Logging_2280/kartor_geotiff/A 7853-2024 georefererad karta.tif", "A 7853-2024")</f>
        <v/>
      </c>
      <c r="AA85">
        <f>HYPERLINK("https://klasma.github.io/Logging_2280/klagomål/A 7853-2024 FSC-klagomål.docx", "A 7853-2024")</f>
        <v/>
      </c>
      <c r="AB85">
        <f>HYPERLINK("https://klasma.github.io/Logging_2280/klagomålsmail/A 7853-2024 FSC-klagomål mail.docx", "A 7853-2024")</f>
        <v/>
      </c>
      <c r="AC85">
        <f>HYPERLINK("https://klasma.github.io/Logging_2280/tillsyn/A 7853-2024 tillsynsbegäran.docx", "A 7853-2024")</f>
        <v/>
      </c>
      <c r="AD85">
        <f>HYPERLINK("https://klasma.github.io/Logging_2280/tillsynsmail/A 7853-2024 tillsynsbegäran mail.docx", "A 7853-2024")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46225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24202-2024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45456</v>
      </c>
      <c r="E87" s="1" t="n">
        <v>46225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2.2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Garnlav</t>
        </is>
      </c>
      <c r="W87">
        <f>HYPERLINK("https://klasma.github.io/Logging_2280/artfynd/A 24202-2024 artfynd.xlsx", "A 24202-2024")</f>
        <v/>
      </c>
      <c r="X87">
        <f>HYPERLINK("https://klasma.github.io/Logging_2280/kartor/A 24202-2024 karta.png", "A 24202-2024")</f>
        <v/>
      </c>
      <c r="Y87">
        <f>HYPERLINK("https://klasma.github.io/Logging_2280/kartor_geotiff/A 24202-2024 georefererad karta.tif", "A 24202-2024")</f>
        <v/>
      </c>
      <c r="AA87">
        <f>HYPERLINK("https://klasma.github.io/Logging_2280/klagomål/A 24202-2024 FSC-klagomål.docx", "A 24202-2024")</f>
        <v/>
      </c>
      <c r="AB87">
        <f>HYPERLINK("https://klasma.github.io/Logging_2280/klagomålsmail/A 24202-2024 FSC-klagomål mail.docx", "A 24202-2024")</f>
        <v/>
      </c>
      <c r="AC87">
        <f>HYPERLINK("https://klasma.github.io/Logging_2280/tillsyn/A 24202-2024 tillsynsbegäran.docx", "A 24202-2024")</f>
        <v/>
      </c>
      <c r="AD87">
        <f>HYPERLINK("https://klasma.github.io/Logging_2280/tillsynsmail/A 24202-2024 tillsynsbegäran mail.docx", "A 24202-2024")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46225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46225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46225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46225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46225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46225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46225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46225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46225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46225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46225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46225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46225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46225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46225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46225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46225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46225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46225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46225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46225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46225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46225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46225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46225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46225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46225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46225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46225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46225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46225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46225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46225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46225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46225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46225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46225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46225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46225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46225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46225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46225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46225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46225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46225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46225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46225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46225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46225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46225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46225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46225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46225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46225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46225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45409</v>
      </c>
      <c r="E143" s="1" t="n">
        <v>46225</v>
      </c>
      <c r="F143" t="inlineStr">
        <is>
          <t>VÄSTERNORRLANDS LÄN</t>
        </is>
      </c>
      <c r="G143" t="inlineStr">
        <is>
          <t>HÄRNÖSAND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46225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46225</v>
      </c>
      <c r="F145" t="inlineStr">
        <is>
          <t>VÄSTERNORRLANDS LÄN</t>
        </is>
      </c>
      <c r="G145" t="inlineStr">
        <is>
          <t>HÄRNÖSAND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46225</v>
      </c>
      <c r="F146" t="inlineStr">
        <is>
          <t>VÄSTERNORRLANDS LÄN</t>
        </is>
      </c>
      <c r="G146" t="inlineStr">
        <is>
          <t>HÄRNÖSAND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44806</v>
      </c>
      <c r="E147" s="1" t="n">
        <v>46225</v>
      </c>
      <c r="F147" t="inlineStr">
        <is>
          <t>VÄSTERNORRLANDS LÄN</t>
        </is>
      </c>
      <c r="G147" t="inlineStr">
        <is>
          <t>HÄRNÖSAND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46225</v>
      </c>
      <c r="F148" t="inlineStr">
        <is>
          <t>VÄSTERNORRLANDS LÄN</t>
        </is>
      </c>
      <c r="G148" t="inlineStr">
        <is>
          <t>HÄRNÖSAND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46225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46225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46225</v>
      </c>
      <c r="F151" t="inlineStr">
        <is>
          <t>VÄSTERNORRLANDS LÄN</t>
        </is>
      </c>
      <c r="G151" t="inlineStr">
        <is>
          <t>HÄRNÖSAND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46225</v>
      </c>
      <c r="F152" t="inlineStr">
        <is>
          <t>VÄSTERNORRLANDS LÄN</t>
        </is>
      </c>
      <c r="G152" t="inlineStr">
        <is>
          <t>HÄRNÖSAND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46225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46225</v>
      </c>
      <c r="F154" t="inlineStr">
        <is>
          <t>VÄSTERNORRLANDS LÄN</t>
        </is>
      </c>
      <c r="G154" t="inlineStr">
        <is>
          <t>HÄRNÖSAND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56680-2023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46225</v>
      </c>
      <c r="F155" t="inlineStr">
        <is>
          <t>VÄSTERNORRLANDS LÄN</t>
        </is>
      </c>
      <c r="G155" t="inlineStr">
        <is>
          <t>HÄRNÖSAND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46225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50338-2022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44865</v>
      </c>
      <c r="E157" s="1" t="n">
        <v>46225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32180-2024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45511</v>
      </c>
      <c r="E158" s="1" t="n">
        <v>46225</v>
      </c>
      <c r="F158" t="inlineStr">
        <is>
          <t>VÄSTERNORRLANDS LÄN</t>
        </is>
      </c>
      <c r="G158" t="inlineStr">
        <is>
          <t>HÄRNÖSAND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46023</v>
      </c>
      <c r="E159" s="1" t="n">
        <v>46225</v>
      </c>
      <c r="F159" t="inlineStr">
        <is>
          <t>VÄSTERNORRLANDS LÄN</t>
        </is>
      </c>
      <c r="G159" t="inlineStr">
        <is>
          <t>HÄRNÖSAND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46225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46023</v>
      </c>
      <c r="E161" s="1" t="n">
        <v>46225</v>
      </c>
      <c r="F161" t="inlineStr">
        <is>
          <t>VÄSTERNORRLANDS LÄN</t>
        </is>
      </c>
      <c r="G161" t="inlineStr">
        <is>
          <t>HÄRNÖSAND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46024</v>
      </c>
      <c r="E162" s="1" t="n">
        <v>46225</v>
      </c>
      <c r="F162" t="inlineStr">
        <is>
          <t>VÄSTERNORRLANDS LÄN</t>
        </is>
      </c>
      <c r="G162" t="inlineStr">
        <is>
          <t>HÄRNÖSAND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46225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46026</v>
      </c>
      <c r="E164" s="1" t="n">
        <v>46225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780-2026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46029</v>
      </c>
      <c r="E165" s="1" t="n">
        <v>46225</v>
      </c>
      <c r="F165" t="inlineStr">
        <is>
          <t>VÄSTERNORRLANDS LÄN</t>
        </is>
      </c>
      <c r="G165" t="inlineStr">
        <is>
          <t>HÄRNÖSAND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46225</v>
      </c>
      <c r="F166" t="inlineStr">
        <is>
          <t>VÄSTERNORRLANDS LÄN</t>
        </is>
      </c>
      <c r="G166" t="inlineStr">
        <is>
          <t>HÄRNÖSAND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46225</v>
      </c>
      <c r="F167" t="inlineStr">
        <is>
          <t>VÄSTERNORRLANDS LÄN</t>
        </is>
      </c>
      <c r="G167" t="inlineStr">
        <is>
          <t>HÄRNÖSAND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46225</v>
      </c>
      <c r="F168" t="inlineStr">
        <is>
          <t>VÄSTERNORRLANDS LÄN</t>
        </is>
      </c>
      <c r="G168" t="inlineStr">
        <is>
          <t>HÄRNÖSAND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46225</v>
      </c>
      <c r="F169" t="inlineStr">
        <is>
          <t>VÄSTERNORRLANDS LÄN</t>
        </is>
      </c>
      <c r="G169" t="inlineStr">
        <is>
          <t>HÄRNÖSAND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46225</v>
      </c>
      <c r="F170" t="inlineStr">
        <is>
          <t>VÄSTERNORRLANDS LÄN</t>
        </is>
      </c>
      <c r="G170" t="inlineStr">
        <is>
          <t>HÄRNÖSAND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46225</v>
      </c>
      <c r="F171" t="inlineStr">
        <is>
          <t>VÄSTERNORRLANDS LÄN</t>
        </is>
      </c>
      <c r="G171" t="inlineStr">
        <is>
          <t>HÄRNÖSAND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46225</v>
      </c>
      <c r="F172" t="inlineStr">
        <is>
          <t>VÄSTERNORRLANDS LÄN</t>
        </is>
      </c>
      <c r="G172" t="inlineStr">
        <is>
          <t>HÄRNÖSAND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46225</v>
      </c>
      <c r="F173" t="inlineStr">
        <is>
          <t>VÄSTERNORRLANDS LÄN</t>
        </is>
      </c>
      <c r="G173" t="inlineStr">
        <is>
          <t>HÄRNÖSAND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45681-2021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46225</v>
      </c>
      <c r="F174" t="inlineStr">
        <is>
          <t>VÄSTERNORRLANDS LÄN</t>
        </is>
      </c>
      <c r="G174" t="inlineStr">
        <is>
          <t>HÄRNÖSAND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46225</v>
      </c>
      <c r="F175" t="inlineStr">
        <is>
          <t>VÄSTERNORRLANDS LÄN</t>
        </is>
      </c>
      <c r="G175" t="inlineStr">
        <is>
          <t>HÄRNÖSAND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46225</v>
      </c>
      <c r="F176" t="inlineStr">
        <is>
          <t>VÄSTERNORRLANDS LÄN</t>
        </is>
      </c>
      <c r="G176" t="inlineStr">
        <is>
          <t>HÄRNÖSAND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46225</v>
      </c>
      <c r="F177" t="inlineStr">
        <is>
          <t>VÄSTERNORRLANDS LÄN</t>
        </is>
      </c>
      <c r="G177" t="inlineStr">
        <is>
          <t>HÄRNÖSAND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46225</v>
      </c>
      <c r="F178" t="inlineStr">
        <is>
          <t>VÄSTERNORRLANDS LÄN</t>
        </is>
      </c>
      <c r="G178" t="inlineStr">
        <is>
          <t>HÄRNÖSAND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46225</v>
      </c>
      <c r="F179" t="inlineStr">
        <is>
          <t>VÄSTERNORRLANDS LÄN</t>
        </is>
      </c>
      <c r="G179" t="inlineStr">
        <is>
          <t>HÄRNÖSAND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46225</v>
      </c>
      <c r="F180" t="inlineStr">
        <is>
          <t>VÄSTERNORRLANDS LÄN</t>
        </is>
      </c>
      <c r="G180" t="inlineStr">
        <is>
          <t>HÄRNÖSAND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45205</v>
      </c>
      <c r="E181" s="1" t="n">
        <v>46225</v>
      </c>
      <c r="F181" t="inlineStr">
        <is>
          <t>VÄSTERNORRLANDS LÄN</t>
        </is>
      </c>
      <c r="G181" t="inlineStr">
        <is>
          <t>HÄRNÖSAND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46225</v>
      </c>
      <c r="F182" t="inlineStr">
        <is>
          <t>VÄSTERNORRLANDS LÄN</t>
        </is>
      </c>
      <c r="G182" t="inlineStr">
        <is>
          <t>HÄRNÖSAND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46225</v>
      </c>
      <c r="F183" t="inlineStr">
        <is>
          <t>VÄSTERNORRLANDS LÄN</t>
        </is>
      </c>
      <c r="G183" t="inlineStr">
        <is>
          <t>HÄRNÖSAND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46225</v>
      </c>
      <c r="F184" t="inlineStr">
        <is>
          <t>VÄSTERNORRLANDS LÄN</t>
        </is>
      </c>
      <c r="G184" t="inlineStr">
        <is>
          <t>HÄRNÖSAND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46225</v>
      </c>
      <c r="F185" t="inlineStr">
        <is>
          <t>VÄSTERNORRLANDS LÄN</t>
        </is>
      </c>
      <c r="G185" t="inlineStr">
        <is>
          <t>HÄRNÖSAND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46225</v>
      </c>
      <c r="F186" t="inlineStr">
        <is>
          <t>VÄSTERNORRLANDS LÄN</t>
        </is>
      </c>
      <c r="G186" t="inlineStr">
        <is>
          <t>HÄRNÖSAND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46225</v>
      </c>
      <c r="F187" t="inlineStr">
        <is>
          <t>VÄSTERNORRLANDS LÄN</t>
        </is>
      </c>
      <c r="G187" t="inlineStr">
        <is>
          <t>HÄRNÖSAND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46225</v>
      </c>
      <c r="F188" t="inlineStr">
        <is>
          <t>VÄSTERNORRLANDS LÄN</t>
        </is>
      </c>
      <c r="G188" t="inlineStr">
        <is>
          <t>HÄRNÖSAND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46225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45761</v>
      </c>
      <c r="E190" s="1" t="n">
        <v>46225</v>
      </c>
      <c r="F190" t="inlineStr">
        <is>
          <t>VÄSTERNORRLANDS LÄN</t>
        </is>
      </c>
      <c r="G190" t="inlineStr">
        <is>
          <t>HÄRNÖSAND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46225</v>
      </c>
      <c r="F191" t="inlineStr">
        <is>
          <t>VÄSTERNORRLANDS LÄN</t>
        </is>
      </c>
      <c r="G191" t="inlineStr">
        <is>
          <t>HÄRNÖSAND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45890</v>
      </c>
      <c r="E192" s="1" t="n">
        <v>46225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46225</v>
      </c>
      <c r="F193" t="inlineStr">
        <is>
          <t>VÄSTERNORRLANDS LÄN</t>
        </is>
      </c>
      <c r="G193" t="inlineStr">
        <is>
          <t>HÄRNÖSAND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46225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46225</v>
      </c>
      <c r="F195" t="inlineStr">
        <is>
          <t>VÄSTERNORRLANDS LÄN</t>
        </is>
      </c>
      <c r="G195" t="inlineStr">
        <is>
          <t>HÄRNÖSAND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46225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46225</v>
      </c>
      <c r="F197" t="inlineStr">
        <is>
          <t>VÄSTERNORRLANDS LÄN</t>
        </is>
      </c>
      <c r="G197" t="inlineStr">
        <is>
          <t>HÄRNÖSAND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46225</v>
      </c>
      <c r="F198" t="inlineStr">
        <is>
          <t>VÄSTERNORRLANDS LÄN</t>
        </is>
      </c>
      <c r="G198" t="inlineStr">
        <is>
          <t>HÄRNÖSAND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46225</v>
      </c>
      <c r="F199" t="inlineStr">
        <is>
          <t>VÄSTERNORRLANDS LÄN</t>
        </is>
      </c>
      <c r="G199" t="inlineStr">
        <is>
          <t>HÄRNÖSAND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46225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46225</v>
      </c>
      <c r="F201" t="inlineStr">
        <is>
          <t>VÄSTERNORRLANDS LÄN</t>
        </is>
      </c>
      <c r="G201" t="inlineStr">
        <is>
          <t>HÄRNÖSAND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46225</v>
      </c>
      <c r="F202" t="inlineStr">
        <is>
          <t>VÄSTERNORRLANDS LÄN</t>
        </is>
      </c>
      <c r="G202" t="inlineStr">
        <is>
          <t>HÄRNÖSAND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46225</v>
      </c>
      <c r="F203" t="inlineStr">
        <is>
          <t>VÄSTERNORRLANDS LÄN</t>
        </is>
      </c>
      <c r="G203" t="inlineStr">
        <is>
          <t>HÄRNÖSAND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46225</v>
      </c>
      <c r="F204" t="inlineStr">
        <is>
          <t>VÄSTERNORRLANDS LÄN</t>
        </is>
      </c>
      <c r="G204" t="inlineStr">
        <is>
          <t>HÄRNÖSAND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46225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Kyrkan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46225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30084-2025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46225</v>
      </c>
      <c r="F207" t="inlineStr">
        <is>
          <t>VÄSTERNORRLANDS LÄN</t>
        </is>
      </c>
      <c r="G207" t="inlineStr">
        <is>
          <t>HÄRNÖSAND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61102-2021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46225</v>
      </c>
      <c r="F208" t="inlineStr">
        <is>
          <t>VÄSTERNORRLANDS LÄN</t>
        </is>
      </c>
      <c r="G208" t="inlineStr">
        <is>
          <t>HÄRNÖSAND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46054</v>
      </c>
      <c r="E209" s="1" t="n">
        <v>46225</v>
      </c>
      <c r="F209" t="inlineStr">
        <is>
          <t>VÄSTERNORRLANDS LÄN</t>
        </is>
      </c>
      <c r="G209" t="inlineStr">
        <is>
          <t>HÄRNÖSAND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46225</v>
      </c>
      <c r="F210" t="inlineStr">
        <is>
          <t>VÄSTERNORRLANDS LÄN</t>
        </is>
      </c>
      <c r="G210" t="inlineStr">
        <is>
          <t>HÄRNÖSAND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46225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46225</v>
      </c>
      <c r="F212" t="inlineStr">
        <is>
          <t>VÄSTERNORRLANDS LÄN</t>
        </is>
      </c>
      <c r="G212" t="inlineStr">
        <is>
          <t>HÄRNÖSAND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46225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32.5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41562-2025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45901</v>
      </c>
      <c r="E214" s="1" t="n">
        <v>46225</v>
      </c>
      <c r="F214" t="inlineStr">
        <is>
          <t>VÄSTERNORRLANDS LÄN</t>
        </is>
      </c>
      <c r="G214" t="inlineStr">
        <is>
          <t>HÄRNÖSAND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46225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46225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46225</v>
      </c>
      <c r="F217" t="inlineStr">
        <is>
          <t>VÄSTERNORRLANDS LÄN</t>
        </is>
      </c>
      <c r="G217" t="inlineStr">
        <is>
          <t>HÄRNÖSAND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46225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46225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46225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44853</v>
      </c>
      <c r="E221" s="1" t="n">
        <v>46225</v>
      </c>
      <c r="F221" t="inlineStr">
        <is>
          <t>VÄSTERNORRLANDS LÄN</t>
        </is>
      </c>
      <c r="G221" t="inlineStr">
        <is>
          <t>HÄRNÖSAND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46225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46225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46060</v>
      </c>
      <c r="E224" s="1" t="n">
        <v>46225</v>
      </c>
      <c r="F224" t="inlineStr">
        <is>
          <t>VÄSTERNORRLANDS LÄN</t>
        </is>
      </c>
      <c r="G224" t="inlineStr">
        <is>
          <t>HÄRNÖSAND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45803</v>
      </c>
      <c r="E225" s="1" t="n">
        <v>46225</v>
      </c>
      <c r="F225" t="inlineStr">
        <is>
          <t>VÄSTERNORRLANDS LÄN</t>
        </is>
      </c>
      <c r="G225" t="inlineStr">
        <is>
          <t>HÄRNÖSAND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46225</v>
      </c>
      <c r="F226" t="inlineStr">
        <is>
          <t>VÄSTERNORRLANDS LÄN</t>
        </is>
      </c>
      <c r="G226" t="inlineStr">
        <is>
          <t>HÄRNÖSAND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46225</v>
      </c>
      <c r="F227" t="inlineStr">
        <is>
          <t>VÄSTERNORRLANDS LÄN</t>
        </is>
      </c>
      <c r="G227" t="inlineStr">
        <is>
          <t>HÄRNÖSAND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46063</v>
      </c>
      <c r="E228" s="1" t="n">
        <v>46225</v>
      </c>
      <c r="F228" t="inlineStr">
        <is>
          <t>VÄSTERNORRLANDS LÄN</t>
        </is>
      </c>
      <c r="G228" t="inlineStr">
        <is>
          <t>HÄRNÖSAND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45837</v>
      </c>
      <c r="E229" s="1" t="n">
        <v>46225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46065</v>
      </c>
      <c r="E230" s="1" t="n">
        <v>46225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Kyrkan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46225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Kyrkan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46065</v>
      </c>
      <c r="E232" s="1" t="n">
        <v>46225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46225</v>
      </c>
      <c r="F233" t="inlineStr">
        <is>
          <t>VÄSTERNORRLANDS LÄN</t>
        </is>
      </c>
      <c r="G233" t="inlineStr">
        <is>
          <t>HÄRNÖSAND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46225</v>
      </c>
      <c r="F234" t="inlineStr">
        <is>
          <t>VÄSTERNORRLANDS LÄN</t>
        </is>
      </c>
      <c r="G234" t="inlineStr">
        <is>
          <t>HÄRNÖSAND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46225</v>
      </c>
      <c r="F235" t="inlineStr">
        <is>
          <t>VÄSTERNORRLANDS LÄN</t>
        </is>
      </c>
      <c r="G235" t="inlineStr">
        <is>
          <t>HÄRNÖSAND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46225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46070</v>
      </c>
      <c r="E237" s="1" t="n">
        <v>46225</v>
      </c>
      <c r="F237" t="inlineStr">
        <is>
          <t>VÄSTERNORRLANDS LÄN</t>
        </is>
      </c>
      <c r="G237" t="inlineStr">
        <is>
          <t>HÄRNÖSAND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46225</v>
      </c>
      <c r="F238" t="inlineStr">
        <is>
          <t>VÄSTERNORRLANDS LÄN</t>
        </is>
      </c>
      <c r="G238" t="inlineStr">
        <is>
          <t>HÄRNÖSAND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46225</v>
      </c>
      <c r="F239" t="inlineStr">
        <is>
          <t>VÄSTERNORRLANDS LÄN</t>
        </is>
      </c>
      <c r="G239" t="inlineStr">
        <is>
          <t>HÄRNÖSAND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46225</v>
      </c>
      <c r="F240" t="inlineStr">
        <is>
          <t>VÄSTERNORRLANDS LÄN</t>
        </is>
      </c>
      <c r="G240" t="inlineStr">
        <is>
          <t>HÄRNÖSAND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46225</v>
      </c>
      <c r="F241" t="inlineStr">
        <is>
          <t>VÄSTERNORRLANDS LÄN</t>
        </is>
      </c>
      <c r="G241" t="inlineStr">
        <is>
          <t>HÄRNÖSAND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46225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46225</v>
      </c>
      <c r="F243" t="inlineStr">
        <is>
          <t>VÄSTERNORRLANDS LÄN</t>
        </is>
      </c>
      <c r="G243" t="inlineStr">
        <is>
          <t>HÄRNÖSAND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46225</v>
      </c>
      <c r="F244" t="inlineStr">
        <is>
          <t>VÄSTERNORRLANDS LÄN</t>
        </is>
      </c>
      <c r="G244" t="inlineStr">
        <is>
          <t>HÄRNÖSAND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46225</v>
      </c>
      <c r="F245" t="inlineStr">
        <is>
          <t>VÄSTERNORRLANDS LÄN</t>
        </is>
      </c>
      <c r="G245" t="inlineStr">
        <is>
          <t>HÄRNÖSAND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46225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45848</v>
      </c>
      <c r="E247" s="1" t="n">
        <v>46225</v>
      </c>
      <c r="F247" t="inlineStr">
        <is>
          <t>VÄSTERNORRLANDS LÄN</t>
        </is>
      </c>
      <c r="G247" t="inlineStr">
        <is>
          <t>HÄRNÖSAND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34751-2025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45848</v>
      </c>
      <c r="E248" s="1" t="n">
        <v>46225</v>
      </c>
      <c r="F248" t="inlineStr">
        <is>
          <t>VÄSTERNORRLANDS LÄN</t>
        </is>
      </c>
      <c r="G248" t="inlineStr">
        <is>
          <t>HÄRNÖSAND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46225</v>
      </c>
      <c r="F249" t="inlineStr">
        <is>
          <t>VÄSTERNORRLANDS LÄN</t>
        </is>
      </c>
      <c r="G249" t="inlineStr">
        <is>
          <t>HÄRNÖSAND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46077</v>
      </c>
      <c r="E250" s="1" t="n">
        <v>46225</v>
      </c>
      <c r="F250" t="inlineStr">
        <is>
          <t>VÄSTERNORRLANDS LÄN</t>
        </is>
      </c>
      <c r="G250" t="inlineStr">
        <is>
          <t>HÄRNÖSAND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46225</v>
      </c>
      <c r="F251" t="inlineStr">
        <is>
          <t>VÄSTERNORRLANDS LÄN</t>
        </is>
      </c>
      <c r="G251" t="inlineStr">
        <is>
          <t>HÄRNÖSAND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45063-2025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45919</v>
      </c>
      <c r="E252" s="1" t="n">
        <v>46225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46225</v>
      </c>
      <c r="F253" t="inlineStr">
        <is>
          <t>VÄSTERNORRLANDS LÄN</t>
        </is>
      </c>
      <c r="G253" t="inlineStr">
        <is>
          <t>HÄRNÖSAND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46225</v>
      </c>
      <c r="F254" t="inlineStr">
        <is>
          <t>VÄSTERNORRLANDS LÄN</t>
        </is>
      </c>
      <c r="G254" t="inlineStr">
        <is>
          <t>HÄRNÖSAND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11202-2026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46080</v>
      </c>
      <c r="E255" s="1" t="n">
        <v>46225</v>
      </c>
      <c r="F255" t="inlineStr">
        <is>
          <t>VÄSTERNORRLANDS LÄN</t>
        </is>
      </c>
      <c r="G255" t="inlineStr">
        <is>
          <t>HÄRNÖSAND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46225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46225</v>
      </c>
      <c r="F257" t="inlineStr">
        <is>
          <t>VÄSTERNORRLANDS LÄN</t>
        </is>
      </c>
      <c r="G257" t="inlineStr">
        <is>
          <t>HÄRNÖSAND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46225</v>
      </c>
      <c r="F258" t="inlineStr">
        <is>
          <t>VÄSTERNORRLANDS LÄN</t>
        </is>
      </c>
      <c r="G258" t="inlineStr">
        <is>
          <t>HÄRNÖSAND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46225</v>
      </c>
      <c r="F259" t="inlineStr">
        <is>
          <t>VÄSTERNORRLANDS LÄN</t>
        </is>
      </c>
      <c r="G259" t="inlineStr">
        <is>
          <t>HÄRNÖSAND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45853</v>
      </c>
      <c r="E260" s="1" t="n">
        <v>46225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46225</v>
      </c>
      <c r="F261" t="inlineStr">
        <is>
          <t>VÄSTERNORRLANDS LÄN</t>
        </is>
      </c>
      <c r="G261" t="inlineStr">
        <is>
          <t>HÄRNÖSAND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45924</v>
      </c>
      <c r="E262" s="1" t="n">
        <v>46225</v>
      </c>
      <c r="F262" t="inlineStr">
        <is>
          <t>VÄSTERNORRLANDS LÄN</t>
        </is>
      </c>
      <c r="G262" t="inlineStr">
        <is>
          <t>HÄRNÖSAND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46225</v>
      </c>
      <c r="F263" t="inlineStr">
        <is>
          <t>VÄSTERNORRLANDS LÄN</t>
        </is>
      </c>
      <c r="G263" t="inlineStr">
        <is>
          <t>HÄRNÖSAND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46225</v>
      </c>
      <c r="F264" t="inlineStr">
        <is>
          <t>VÄSTERNORRLANDS LÄN</t>
        </is>
      </c>
      <c r="G264" t="inlineStr">
        <is>
          <t>HÄRNÖSAND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45293</v>
      </c>
      <c r="E265" s="1" t="n">
        <v>46225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46225</v>
      </c>
      <c r="F266" t="inlineStr">
        <is>
          <t>VÄSTERNORRLANDS LÄN</t>
        </is>
      </c>
      <c r="G266" t="inlineStr">
        <is>
          <t>HÄRNÖSAND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46225</v>
      </c>
      <c r="F267" t="inlineStr">
        <is>
          <t>VÄSTERNORRLANDS LÄN</t>
        </is>
      </c>
      <c r="G267" t="inlineStr">
        <is>
          <t>HÄRNÖSAND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46225</v>
      </c>
      <c r="F268" t="inlineStr">
        <is>
          <t>VÄSTERNORRLANDS LÄN</t>
        </is>
      </c>
      <c r="G268" t="inlineStr">
        <is>
          <t>HÄRNÖSAND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46225</v>
      </c>
      <c r="F269" t="inlineStr">
        <is>
          <t>VÄSTERNORRLANDS LÄN</t>
        </is>
      </c>
      <c r="G269" t="inlineStr">
        <is>
          <t>HÄRNÖSAND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46225</v>
      </c>
      <c r="F270" t="inlineStr">
        <is>
          <t>VÄSTERNORRLANDS LÄN</t>
        </is>
      </c>
      <c r="G270" t="inlineStr">
        <is>
          <t>HÄRNÖSAND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46086</v>
      </c>
      <c r="E271" s="1" t="n">
        <v>46225</v>
      </c>
      <c r="F271" t="inlineStr">
        <is>
          <t>VÄSTERNORRLANDS LÄN</t>
        </is>
      </c>
      <c r="G271" t="inlineStr">
        <is>
          <t>HÄRNÖSAND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46087</v>
      </c>
      <c r="E272" s="1" t="n">
        <v>46225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Övriga statliga verk och myndigheter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46225</v>
      </c>
      <c r="F273" t="inlineStr">
        <is>
          <t>VÄSTERNORRLANDS LÄN</t>
        </is>
      </c>
      <c r="G273" t="inlineStr">
        <is>
          <t>HÄRNÖSAND</t>
        </is>
      </c>
      <c r="I273" t="n">
        <v>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12650-2026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46091</v>
      </c>
      <c r="E274" s="1" t="n">
        <v>46225</v>
      </c>
      <c r="F274" t="inlineStr">
        <is>
          <t>VÄSTERNORRLANDS LÄN</t>
        </is>
      </c>
      <c r="G274" t="inlineStr">
        <is>
          <t>HÄRNÖSAND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45741</v>
      </c>
      <c r="E275" s="1" t="n">
        <v>46225</v>
      </c>
      <c r="F275" t="inlineStr">
        <is>
          <t>VÄSTERNORRLANDS LÄN</t>
        </is>
      </c>
      <c r="G275" t="inlineStr">
        <is>
          <t>HÄRNÖSAND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46091</v>
      </c>
      <c r="E276" s="1" t="n">
        <v>46225</v>
      </c>
      <c r="F276" t="inlineStr">
        <is>
          <t>VÄSTERNORRLANDS LÄN</t>
        </is>
      </c>
      <c r="G276" t="inlineStr">
        <is>
          <t>HÄRNÖSAND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12637-2026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46225</v>
      </c>
      <c r="F277" t="inlineStr">
        <is>
          <t>VÄSTERNORRLANDS LÄN</t>
        </is>
      </c>
      <c r="G277" t="inlineStr">
        <is>
          <t>HÄRNÖSAND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46225</v>
      </c>
      <c r="F278" t="inlineStr">
        <is>
          <t>VÄSTERNORRLANDS LÄN</t>
        </is>
      </c>
      <c r="G278" t="inlineStr">
        <is>
          <t>HÄRNÖSAND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46091</v>
      </c>
      <c r="E279" s="1" t="n">
        <v>46225</v>
      </c>
      <c r="F279" t="inlineStr">
        <is>
          <t>VÄSTERNORRLANDS LÄN</t>
        </is>
      </c>
      <c r="G279" t="inlineStr">
        <is>
          <t>HÄRNÖSAND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46225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46225</v>
      </c>
      <c r="F281" t="inlineStr">
        <is>
          <t>VÄSTERNORRLANDS LÄN</t>
        </is>
      </c>
      <c r="G281" t="inlineStr">
        <is>
          <t>HÄRNÖSAND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46225</v>
      </c>
      <c r="F282" t="inlineStr">
        <is>
          <t>VÄSTERNORRLANDS LÄN</t>
        </is>
      </c>
      <c r="G282" t="inlineStr">
        <is>
          <t>HÄRNÖSAND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46225</v>
      </c>
      <c r="F283" t="inlineStr">
        <is>
          <t>VÄSTERNORRLANDS LÄN</t>
        </is>
      </c>
      <c r="G283" t="inlineStr">
        <is>
          <t>HÄRNÖSAND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46225</v>
      </c>
      <c r="F284" t="inlineStr">
        <is>
          <t>VÄSTERNORRLANDS LÄN</t>
        </is>
      </c>
      <c r="G284" t="inlineStr">
        <is>
          <t>HÄRNÖSAND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46225</v>
      </c>
      <c r="F285" t="inlineStr">
        <is>
          <t>VÄSTERNORRLANDS LÄN</t>
        </is>
      </c>
      <c r="G285" t="inlineStr">
        <is>
          <t>HÄRNÖSAND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46225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46225</v>
      </c>
      <c r="F287" t="inlineStr">
        <is>
          <t>VÄSTERNORRLANDS LÄN</t>
        </is>
      </c>
      <c r="G287" t="inlineStr">
        <is>
          <t>HÄRNÖSAND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46225</v>
      </c>
      <c r="F288" t="inlineStr">
        <is>
          <t>VÄSTERNORRLANDS LÄN</t>
        </is>
      </c>
      <c r="G288" t="inlineStr">
        <is>
          <t>HÄRNÖSAND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46225</v>
      </c>
      <c r="F289" t="inlineStr">
        <is>
          <t>VÄSTERNORRLANDS LÄN</t>
        </is>
      </c>
      <c r="G289" t="inlineStr">
        <is>
          <t>HÄRNÖSAND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46225</v>
      </c>
      <c r="F290" t="inlineStr">
        <is>
          <t>VÄSTERNORRLANDS LÄN</t>
        </is>
      </c>
      <c r="G290" t="inlineStr">
        <is>
          <t>HÄRNÖSAND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46225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46225</v>
      </c>
      <c r="F292" t="inlineStr">
        <is>
          <t>VÄSTERNORRLANDS LÄN</t>
        </is>
      </c>
      <c r="G292" t="inlineStr">
        <is>
          <t>HÄRNÖSAND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49625-2025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46225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46225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14936-2026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46225</v>
      </c>
      <c r="F295" t="inlineStr">
        <is>
          <t>VÄSTERNORRLANDS LÄN</t>
        </is>
      </c>
      <c r="G295" t="inlineStr">
        <is>
          <t>HÄRNÖSAND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69269-2021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46225</v>
      </c>
      <c r="F296" t="inlineStr">
        <is>
          <t>VÄSTERNORRLANDS LÄN</t>
        </is>
      </c>
      <c r="G296" t="inlineStr">
        <is>
          <t>HÄRNÖSAND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46225</v>
      </c>
      <c r="F297" t="inlineStr">
        <is>
          <t>VÄSTERNORRLANDS LÄN</t>
        </is>
      </c>
      <c r="G297" t="inlineStr">
        <is>
          <t>HÄRNÖSAND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46225</v>
      </c>
      <c r="F298" t="inlineStr">
        <is>
          <t>VÄSTERNORRLANDS LÄN</t>
        </is>
      </c>
      <c r="G298" t="inlineStr">
        <is>
          <t>HÄRNÖSAND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46225</v>
      </c>
      <c r="F299" t="inlineStr">
        <is>
          <t>VÄSTERNORRLANDS LÄN</t>
        </is>
      </c>
      <c r="G299" t="inlineStr">
        <is>
          <t>HÄRNÖSAND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46225</v>
      </c>
      <c r="F300" t="inlineStr">
        <is>
          <t>VÄSTERNORRLANDS LÄN</t>
        </is>
      </c>
      <c r="G300" t="inlineStr">
        <is>
          <t>HÄRNÖSAND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46225</v>
      </c>
      <c r="F301" t="inlineStr">
        <is>
          <t>VÄSTERNORRLANDS LÄN</t>
        </is>
      </c>
      <c r="G301" t="inlineStr">
        <is>
          <t>HÄRNÖSAND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46225</v>
      </c>
      <c r="F302" t="inlineStr">
        <is>
          <t>VÄSTERNORRLANDS LÄN</t>
        </is>
      </c>
      <c r="G302" t="inlineStr">
        <is>
          <t>HÄRNÖSAND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46107</v>
      </c>
      <c r="E303" s="1" t="n">
        <v>46225</v>
      </c>
      <c r="F303" t="inlineStr">
        <is>
          <t>VÄSTERNORRLANDS LÄN</t>
        </is>
      </c>
      <c r="G303" t="inlineStr">
        <is>
          <t>HÄRNÖSAND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46225</v>
      </c>
      <c r="F304" t="inlineStr">
        <is>
          <t>VÄSTERNORRLANDS LÄN</t>
        </is>
      </c>
      <c r="G304" t="inlineStr">
        <is>
          <t>HÄRNÖSAND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46225</v>
      </c>
      <c r="F305" t="inlineStr">
        <is>
          <t>VÄSTERNORRLANDS LÄN</t>
        </is>
      </c>
      <c r="G305" t="inlineStr">
        <is>
          <t>HÄRNÖSAND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46225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46225</v>
      </c>
      <c r="F307" t="inlineStr">
        <is>
          <t>VÄSTERNORRLANDS LÄN</t>
        </is>
      </c>
      <c r="G307" t="inlineStr">
        <is>
          <t>HÄRNÖSAND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46225</v>
      </c>
      <c r="F308" t="inlineStr">
        <is>
          <t>VÄSTERNORRLANDS LÄN</t>
        </is>
      </c>
      <c r="G308" t="inlineStr">
        <is>
          <t>HÄRNÖSAND</t>
        </is>
      </c>
      <c r="I308" t="n">
        <v>10.8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46225</v>
      </c>
      <c r="F309" t="inlineStr">
        <is>
          <t>VÄSTERNORRLANDS LÄN</t>
        </is>
      </c>
      <c r="G309" t="inlineStr">
        <is>
          <t>HÄRNÖSAND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46225</v>
      </c>
      <c r="F310" t="inlineStr">
        <is>
          <t>VÄSTERNORRLANDS LÄN</t>
        </is>
      </c>
      <c r="G310" t="inlineStr">
        <is>
          <t>HÄRNÖSAND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49039-2023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45209</v>
      </c>
      <c r="E311" s="1" t="n">
        <v>46225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46225</v>
      </c>
      <c r="F312" t="inlineStr">
        <is>
          <t>VÄSTERNORRLANDS LÄN</t>
        </is>
      </c>
      <c r="G312" t="inlineStr">
        <is>
          <t>HÄRNÖSAND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46225</v>
      </c>
      <c r="F313" t="inlineStr">
        <is>
          <t>VÄSTERNORRLANDS LÄN</t>
        </is>
      </c>
      <c r="G313" t="inlineStr">
        <is>
          <t>HÄRNÖSAND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59073-2022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44897</v>
      </c>
      <c r="E314" s="1" t="n">
        <v>46225</v>
      </c>
      <c r="F314" t="inlineStr">
        <is>
          <t>VÄSTERNORRLANDS LÄN</t>
        </is>
      </c>
      <c r="G314" t="inlineStr">
        <is>
          <t>HÄRNÖSAND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46225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31.9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46225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46225</v>
      </c>
      <c r="F317" t="inlineStr">
        <is>
          <t>VÄSTERNORRLANDS LÄN</t>
        </is>
      </c>
      <c r="G317" t="inlineStr">
        <is>
          <t>HÄRNÖSAND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46225</v>
      </c>
      <c r="F318" t="inlineStr">
        <is>
          <t>VÄSTERNORRLANDS LÄN</t>
        </is>
      </c>
      <c r="G318" t="inlineStr">
        <is>
          <t>HÄRNÖSAND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45793</v>
      </c>
      <c r="E319" s="1" t="n">
        <v>46225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46225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46225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46225</v>
      </c>
      <c r="F322" t="inlineStr">
        <is>
          <t>VÄSTERNORRLANDS LÄN</t>
        </is>
      </c>
      <c r="G322" t="inlineStr">
        <is>
          <t>HÄRNÖSAND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46225</v>
      </c>
      <c r="F323" t="inlineStr">
        <is>
          <t>VÄSTERNORRLANDS LÄN</t>
        </is>
      </c>
      <c r="G323" t="inlineStr">
        <is>
          <t>HÄRNÖSAND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46225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46225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54251-2022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44881</v>
      </c>
      <c r="E326" s="1" t="n">
        <v>46225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46225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45979</v>
      </c>
      <c r="E328" s="1" t="n">
        <v>46225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57033-2025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46225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46225</v>
      </c>
      <c r="F330" t="inlineStr">
        <is>
          <t>VÄSTERNORRLANDS LÄN</t>
        </is>
      </c>
      <c r="G330" t="inlineStr">
        <is>
          <t>HÄRNÖSAND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46225</v>
      </c>
      <c r="F331" t="inlineStr">
        <is>
          <t>VÄSTERNORRLANDS LÄN</t>
        </is>
      </c>
      <c r="G331" t="inlineStr">
        <is>
          <t>HÄRNÖSAND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46225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46225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46225</v>
      </c>
      <c r="F334" t="inlineStr">
        <is>
          <t>VÄSTERNORRLANDS LÄN</t>
        </is>
      </c>
      <c r="G334" t="inlineStr">
        <is>
          <t>HÄRNÖSAND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46225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46225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58588-2022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44894</v>
      </c>
      <c r="E337" s="1" t="n">
        <v>46225</v>
      </c>
      <c r="F337" t="inlineStr">
        <is>
          <t>VÄSTERNORRLANDS LÄN</t>
        </is>
      </c>
      <c r="G337" t="inlineStr">
        <is>
          <t>HÄRNÖSAND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46225</v>
      </c>
      <c r="F338" t="inlineStr">
        <is>
          <t>VÄSTERNORRLANDS LÄN</t>
        </is>
      </c>
      <c r="G338" t="inlineStr">
        <is>
          <t>HÄRNÖSAND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8220-2022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44609</v>
      </c>
      <c r="E339" s="1" t="n">
        <v>46225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Övriga statliga verk och myndigheter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45576</v>
      </c>
      <c r="E340" s="1" t="n">
        <v>46225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45987</v>
      </c>
      <c r="E341" s="1" t="n">
        <v>46225</v>
      </c>
      <c r="F341" t="inlineStr">
        <is>
          <t>VÄSTERNORRLANDS LÄN</t>
        </is>
      </c>
      <c r="G341" t="inlineStr">
        <is>
          <t>HÄRNÖSAND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46225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46065</v>
      </c>
      <c r="E343" s="1" t="n">
        <v>46225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Kyrkan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46225</v>
      </c>
      <c r="F344" t="inlineStr">
        <is>
          <t>VÄSTERNORRLANDS LÄN</t>
        </is>
      </c>
      <c r="G344" t="inlineStr">
        <is>
          <t>HÄRNÖSAND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46225</v>
      </c>
      <c r="F345" t="inlineStr">
        <is>
          <t>VÄSTERNORRLANDS LÄN</t>
        </is>
      </c>
      <c r="G345" t="inlineStr">
        <is>
          <t>HÄRNÖSAND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45126</v>
      </c>
      <c r="E346" s="1" t="n">
        <v>46225</v>
      </c>
      <c r="F346" t="inlineStr">
        <is>
          <t>VÄSTERNORRLANDS LÄN</t>
        </is>
      </c>
      <c r="G346" t="inlineStr">
        <is>
          <t>HÄRNÖSAND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46225</v>
      </c>
      <c r="F347" t="inlineStr">
        <is>
          <t>VÄSTERNORRLANDS LÄN</t>
        </is>
      </c>
      <c r="G347" t="inlineStr">
        <is>
          <t>HÄRNÖSAND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46225</v>
      </c>
      <c r="F348" t="inlineStr">
        <is>
          <t>VÄSTERNORRLANDS LÄN</t>
        </is>
      </c>
      <c r="G348" t="inlineStr">
        <is>
          <t>HÄRNÖSAND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46225</v>
      </c>
      <c r="F349" t="inlineStr">
        <is>
          <t>VÄSTERNORRLANDS LÄN</t>
        </is>
      </c>
      <c r="G349" t="inlineStr">
        <is>
          <t>HÄRNÖSAND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46000</v>
      </c>
      <c r="E350" s="1" t="n">
        <v>46225</v>
      </c>
      <c r="F350" t="inlineStr">
        <is>
          <t>VÄSTERNORRLANDS LÄN</t>
        </is>
      </c>
      <c r="G350" t="inlineStr">
        <is>
          <t>HÄRNÖSAND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46225</v>
      </c>
      <c r="F351" t="inlineStr">
        <is>
          <t>VÄSTERNORRLANDS LÄN</t>
        </is>
      </c>
      <c r="G351" t="inlineStr">
        <is>
          <t>HÄRNÖSAND</t>
        </is>
      </c>
      <c r="I351" t="n">
        <v>12.5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46225</v>
      </c>
      <c r="F352" t="inlineStr">
        <is>
          <t>VÄSTERNORRLANDS LÄN</t>
        </is>
      </c>
      <c r="G352" t="inlineStr">
        <is>
          <t>HÄRNÖSAND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46225</v>
      </c>
      <c r="F353" t="inlineStr">
        <is>
          <t>VÄSTERNORRLANDS LÄN</t>
        </is>
      </c>
      <c r="G353" t="inlineStr">
        <is>
          <t>HÄRNÖSAND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45523</v>
      </c>
      <c r="E354" s="1" t="n">
        <v>46225</v>
      </c>
      <c r="F354" t="inlineStr">
        <is>
          <t>VÄSTERNORRLANDS LÄN</t>
        </is>
      </c>
      <c r="G354" t="inlineStr">
        <is>
          <t>HÄRNÖSAND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46225</v>
      </c>
      <c r="F355" t="inlineStr">
        <is>
          <t>VÄSTERNORRLANDS LÄN</t>
        </is>
      </c>
      <c r="G355" t="inlineStr">
        <is>
          <t>HÄRNÖSAND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45701</v>
      </c>
      <c r="E356" s="1" t="n">
        <v>46225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64107-2025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46013</v>
      </c>
      <c r="E357" s="1" t="n">
        <v>46225</v>
      </c>
      <c r="F357" t="inlineStr">
        <is>
          <t>VÄSTERNORRLANDS LÄN</t>
        </is>
      </c>
      <c r="G357" t="inlineStr">
        <is>
          <t>HÄRNÖSAND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46225</v>
      </c>
      <c r="F358" t="inlineStr">
        <is>
          <t>VÄSTERNORRLANDS LÄN</t>
        </is>
      </c>
      <c r="G358" t="inlineStr">
        <is>
          <t>HÄRNÖSAND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45757</v>
      </c>
      <c r="E359" s="1" t="n">
        <v>46225</v>
      </c>
      <c r="F359" t="inlineStr">
        <is>
          <t>VÄSTERNORRLANDS LÄN</t>
        </is>
      </c>
      <c r="G359" t="inlineStr">
        <is>
          <t>HÄRNÖSAND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45390</v>
      </c>
      <c r="E360" s="1" t="n">
        <v>46225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46225</v>
      </c>
      <c r="F361" t="inlineStr">
        <is>
          <t>VÄSTERNORRLANDS LÄN</t>
        </is>
      </c>
      <c r="G361" t="inlineStr">
        <is>
          <t>HÄRNÖSAND</t>
        </is>
      </c>
      <c r="I361" t="n">
        <v>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46225</v>
      </c>
      <c r="F362" t="inlineStr">
        <is>
          <t>VÄSTERNORRLANDS LÄN</t>
        </is>
      </c>
      <c r="G362" t="inlineStr">
        <is>
          <t>HÄRNÖSAND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46225</v>
      </c>
      <c r="F363" t="inlineStr">
        <is>
          <t>VÄSTERNORRLANDS LÄN</t>
        </is>
      </c>
      <c r="G363" t="inlineStr">
        <is>
          <t>HÄRNÖSAND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46023</v>
      </c>
      <c r="E364" s="1" t="n">
        <v>46225</v>
      </c>
      <c r="F364" t="inlineStr">
        <is>
          <t>VÄSTERNORRLANDS LÄN</t>
        </is>
      </c>
      <c r="G364" t="inlineStr">
        <is>
          <t>HÄRNÖSAND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46225</v>
      </c>
      <c r="F365" t="inlineStr">
        <is>
          <t>VÄSTERNORRLANDS LÄN</t>
        </is>
      </c>
      <c r="G365" t="inlineStr">
        <is>
          <t>HÄRNÖSAND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46023</v>
      </c>
      <c r="E366" s="1" t="n">
        <v>46225</v>
      </c>
      <c r="F366" t="inlineStr">
        <is>
          <t>VÄSTERNORRLANDS LÄN</t>
        </is>
      </c>
      <c r="G366" t="inlineStr">
        <is>
          <t>HÄRNÖSAND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45505</v>
      </c>
      <c r="E367" s="1" t="n">
        <v>46225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46225</v>
      </c>
      <c r="F368" t="inlineStr">
        <is>
          <t>VÄSTERNORRLANDS LÄN</t>
        </is>
      </c>
      <c r="G368" t="inlineStr">
        <is>
          <t>HÄRNÖSAND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46225</v>
      </c>
      <c r="F369" t="inlineStr">
        <is>
          <t>VÄSTERNORRLANDS LÄN</t>
        </is>
      </c>
      <c r="G369" t="inlineStr">
        <is>
          <t>HÄRNÖSAND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29813-2022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44755</v>
      </c>
      <c r="E370" s="1" t="n">
        <v>46225</v>
      </c>
      <c r="F370" t="inlineStr">
        <is>
          <t>VÄSTERNORRLANDS LÄN</t>
        </is>
      </c>
      <c r="G370" t="inlineStr">
        <is>
          <t>HÄRNÖSAND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20845-2026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46225</v>
      </c>
      <c r="F371" t="inlineStr">
        <is>
          <t>VÄSTERNORRLANDS LÄN</t>
        </is>
      </c>
      <c r="G371" t="inlineStr">
        <is>
          <t>HÄRNÖSAND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20863-2026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46142</v>
      </c>
      <c r="E372" s="1" t="n">
        <v>46225</v>
      </c>
      <c r="F372" t="inlineStr">
        <is>
          <t>VÄSTERNORRLANDS LÄN</t>
        </is>
      </c>
      <c r="G372" t="inlineStr">
        <is>
          <t>HÄRNÖSAND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45229</v>
      </c>
      <c r="E373" s="1" t="n">
        <v>46225</v>
      </c>
      <c r="F373" t="inlineStr">
        <is>
          <t>VÄSTERNORRLANDS LÄN</t>
        </is>
      </c>
      <c r="G373" t="inlineStr">
        <is>
          <t>HÄRNÖSAND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28325-2022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44747</v>
      </c>
      <c r="E374" s="1" t="n">
        <v>46225</v>
      </c>
      <c r="F374" t="inlineStr">
        <is>
          <t>VÄSTERNORRLANDS LÄN</t>
        </is>
      </c>
      <c r="G374" t="inlineStr">
        <is>
          <t>HÄRNÖSAND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46225</v>
      </c>
      <c r="F375" t="inlineStr">
        <is>
          <t>VÄSTERNORRLANDS LÄN</t>
        </is>
      </c>
      <c r="G375" t="inlineStr">
        <is>
          <t>HÄRNÖSAND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46225</v>
      </c>
      <c r="F376" t="inlineStr">
        <is>
          <t>VÄSTERNORRLANDS LÄN</t>
        </is>
      </c>
      <c r="G376" t="inlineStr">
        <is>
          <t>HÄRNÖSAND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46225</v>
      </c>
      <c r="F377" t="inlineStr">
        <is>
          <t>VÄSTERNORRLANDS LÄN</t>
        </is>
      </c>
      <c r="G377" t="inlineStr">
        <is>
          <t>HÄRNÖSAND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25430-2022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44732</v>
      </c>
      <c r="E378" s="1" t="n">
        <v>46225</v>
      </c>
      <c r="F378" t="inlineStr">
        <is>
          <t>VÄSTERNORRLANDS LÄN</t>
        </is>
      </c>
      <c r="G378" t="inlineStr">
        <is>
          <t>HÄRNÖSAND</t>
        </is>
      </c>
      <c r="I378" t="n">
        <v>18.7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27453-2026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46225</v>
      </c>
      <c r="F379" t="inlineStr">
        <is>
          <t>VÄSTERNORRLANDS LÄN</t>
        </is>
      </c>
      <c r="G379" t="inlineStr">
        <is>
          <t>HÄRNÖSAND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46189</v>
      </c>
      <c r="E380" s="1" t="n">
        <v>46225</v>
      </c>
      <c r="F380" t="inlineStr">
        <is>
          <t>VÄSTERNORRLANDS LÄN</t>
        </is>
      </c>
      <c r="G380" t="inlineStr">
        <is>
          <t>HÄRNÖSAND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46189</v>
      </c>
      <c r="E381" s="1" t="n">
        <v>46225</v>
      </c>
      <c r="F381" t="inlineStr">
        <is>
          <t>VÄSTERNORRLANDS LÄN</t>
        </is>
      </c>
      <c r="G381" t="inlineStr">
        <is>
          <t>HÄRNÖSAND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45293</v>
      </c>
      <c r="E382" s="1" t="n">
        <v>46225</v>
      </c>
      <c r="F382" t="inlineStr">
        <is>
          <t>VÄSTERNORRLANDS LÄN</t>
        </is>
      </c>
      <c r="G382" t="inlineStr">
        <is>
          <t>HÄRNÖSAND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46225</v>
      </c>
      <c r="F383" t="inlineStr">
        <is>
          <t>VÄSTERNORRLANDS LÄN</t>
        </is>
      </c>
      <c r="G383" t="inlineStr">
        <is>
          <t>HÄRNÖSAND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46225</v>
      </c>
      <c r="F384" t="inlineStr">
        <is>
          <t>VÄSTERNORRLANDS LÄN</t>
        </is>
      </c>
      <c r="G384" t="inlineStr">
        <is>
          <t>HÄRNÖSAND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56395-2022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44890</v>
      </c>
      <c r="E385" s="1" t="n">
        <v>46225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Kyrkan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46225</v>
      </c>
      <c r="F386" t="inlineStr">
        <is>
          <t>VÄSTERNORRLANDS LÄN</t>
        </is>
      </c>
      <c r="G386" t="inlineStr">
        <is>
          <t>HÄRNÖSAND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14874-2023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45015</v>
      </c>
      <c r="E387" s="1" t="n">
        <v>46225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45314</v>
      </c>
      <c r="E388" s="1" t="n">
        <v>46225</v>
      </c>
      <c r="F388" t="inlineStr">
        <is>
          <t>VÄSTERNORRLANDS LÄN</t>
        </is>
      </c>
      <c r="G388" t="inlineStr">
        <is>
          <t>HÄRNÖSAND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46225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46225</v>
      </c>
      <c r="F390" t="inlineStr">
        <is>
          <t>VÄSTERNORRLANDS LÄN</t>
        </is>
      </c>
      <c r="G390" t="inlineStr">
        <is>
          <t>HÄRNÖSAND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46225</v>
      </c>
      <c r="F391" t="inlineStr">
        <is>
          <t>VÄSTERNORRLANDS LÄN</t>
        </is>
      </c>
      <c r="G391" t="inlineStr">
        <is>
          <t>HÄRNÖSAND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46225</v>
      </c>
      <c r="F392" t="inlineStr">
        <is>
          <t>VÄSTERNORRLANDS LÄN</t>
        </is>
      </c>
      <c r="G392" t="inlineStr">
        <is>
          <t>HÄRNÖSAND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46225</v>
      </c>
      <c r="F393" t="inlineStr">
        <is>
          <t>VÄSTERNORRLANDS LÄN</t>
        </is>
      </c>
      <c r="G393" t="inlineStr">
        <is>
          <t>HÄRNÖSAND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46225</v>
      </c>
      <c r="F394" t="inlineStr">
        <is>
          <t>VÄSTERNORRLANDS LÄN</t>
        </is>
      </c>
      <c r="G394" t="inlineStr">
        <is>
          <t>HÄRNÖSAND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44971</v>
      </c>
      <c r="E395" s="1" t="n">
        <v>46225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46225</v>
      </c>
      <c r="F396" t="inlineStr">
        <is>
          <t>VÄSTERNORRLANDS LÄN</t>
        </is>
      </c>
      <c r="G396" t="inlineStr">
        <is>
          <t>HÄRNÖSAND</t>
        </is>
      </c>
      <c r="I396" t="n">
        <v>16.7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46225</v>
      </c>
      <c r="F397" t="inlineStr">
        <is>
          <t>VÄSTERNORRLANDS LÄN</t>
        </is>
      </c>
      <c r="G397" t="inlineStr">
        <is>
          <t>HÄRNÖSAND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59408-2024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45638</v>
      </c>
      <c r="E398" s="1" t="n">
        <v>46225</v>
      </c>
      <c r="F398" t="inlineStr">
        <is>
          <t>VÄSTERNORRLANDS LÄN</t>
        </is>
      </c>
      <c r="G398" t="inlineStr">
        <is>
          <t>HÄRNÖSAND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46225</v>
      </c>
      <c r="F399" t="inlineStr">
        <is>
          <t>VÄSTERNORRLANDS LÄN</t>
        </is>
      </c>
      <c r="G399" t="inlineStr">
        <is>
          <t>HÄRNÖSAND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44743</v>
      </c>
      <c r="E400" s="1" t="n">
        <v>46225</v>
      </c>
      <c r="F400" t="inlineStr">
        <is>
          <t>VÄSTERNORRLANDS LÄN</t>
        </is>
      </c>
      <c r="G400" t="inlineStr">
        <is>
          <t>HÄRNÖSAND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46225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Kyrkan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46155</v>
      </c>
      <c r="E402" s="1" t="n">
        <v>46225</v>
      </c>
      <c r="F402" t="inlineStr">
        <is>
          <t>VÄSTERNORRLANDS LÄN</t>
        </is>
      </c>
      <c r="G402" t="inlineStr">
        <is>
          <t>HÄRNÖSAND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45930</v>
      </c>
      <c r="E403" s="1" t="n">
        <v>46225</v>
      </c>
      <c r="F403" t="inlineStr">
        <is>
          <t>VÄSTERNORRLANDS LÄN</t>
        </is>
      </c>
      <c r="G403" t="inlineStr">
        <is>
          <t>HÄRNÖSAND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45667</v>
      </c>
      <c r="E404" s="1" t="n">
        <v>46225</v>
      </c>
      <c r="F404" t="inlineStr">
        <is>
          <t>VÄSTERNORRLANDS LÄN</t>
        </is>
      </c>
      <c r="G404" t="inlineStr">
        <is>
          <t>HÄRNÖSAND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22990-2026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46160</v>
      </c>
      <c r="E405" s="1" t="n">
        <v>46225</v>
      </c>
      <c r="F405" t="inlineStr">
        <is>
          <t>VÄSTERNORRLANDS LÄN</t>
        </is>
      </c>
      <c r="G405" t="inlineStr">
        <is>
          <t>HÄRNÖSAND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46225</v>
      </c>
      <c r="F406" t="inlineStr">
        <is>
          <t>VÄSTERNORRLANDS LÄN</t>
        </is>
      </c>
      <c r="G406" t="inlineStr">
        <is>
          <t>HÄRNÖSAND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40452-2023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45168</v>
      </c>
      <c r="E407" s="1" t="n">
        <v>46225</v>
      </c>
      <c r="F407" t="inlineStr">
        <is>
          <t>VÄSTERNORRLANDS LÄN</t>
        </is>
      </c>
      <c r="G407" t="inlineStr">
        <is>
          <t>HÄRNÖSAND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47939-2022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46225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34619-2023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45138</v>
      </c>
      <c r="E409" s="1" t="n">
        <v>46225</v>
      </c>
      <c r="F409" t="inlineStr">
        <is>
          <t>VÄSTERNORRLANDS LÄN</t>
        </is>
      </c>
      <c r="G409" t="inlineStr">
        <is>
          <t>HÄRNÖSAND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46225</v>
      </c>
      <c r="F410" t="inlineStr">
        <is>
          <t>VÄSTERNORRLANDS LÄN</t>
        </is>
      </c>
      <c r="G410" t="inlineStr">
        <is>
          <t>HÄRNÖSAND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46225</v>
      </c>
      <c r="F411" t="inlineStr">
        <is>
          <t>VÄSTERNORRLANDS LÄN</t>
        </is>
      </c>
      <c r="G411" t="inlineStr">
        <is>
          <t>HÄRNÖSAND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46225</v>
      </c>
      <c r="F412" t="inlineStr">
        <is>
          <t>VÄSTERNORRLANDS LÄN</t>
        </is>
      </c>
      <c r="G412" t="inlineStr">
        <is>
          <t>HÄRNÖSAND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46225</v>
      </c>
      <c r="F413" t="inlineStr">
        <is>
          <t>VÄSTERNORRLANDS LÄN</t>
        </is>
      </c>
      <c r="G413" t="inlineStr">
        <is>
          <t>HÄRNÖSAND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46225</v>
      </c>
      <c r="F414" t="inlineStr">
        <is>
          <t>VÄSTERNORRLANDS LÄN</t>
        </is>
      </c>
      <c r="G414" t="inlineStr">
        <is>
          <t>HÄRNÖSAND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46225</v>
      </c>
      <c r="F415" t="inlineStr">
        <is>
          <t>VÄSTERNORRLANDS LÄN</t>
        </is>
      </c>
      <c r="G415" t="inlineStr">
        <is>
          <t>HÄRNÖSAND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46225</v>
      </c>
      <c r="F416" t="inlineStr">
        <is>
          <t>VÄSTERNORRLANDS LÄN</t>
        </is>
      </c>
      <c r="G416" t="inlineStr">
        <is>
          <t>HÄRNÖSAND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46225</v>
      </c>
      <c r="F417" t="inlineStr">
        <is>
          <t>VÄSTERNORRLANDS LÄN</t>
        </is>
      </c>
      <c r="G417" t="inlineStr">
        <is>
          <t>HÄRNÖSAND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46225</v>
      </c>
      <c r="F418" t="inlineStr">
        <is>
          <t>VÄSTERNORRLANDS LÄN</t>
        </is>
      </c>
      <c r="G418" t="inlineStr">
        <is>
          <t>HÄRNÖSAND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46225</v>
      </c>
      <c r="F419" t="inlineStr">
        <is>
          <t>VÄSTERNORRLANDS LÄN</t>
        </is>
      </c>
      <c r="G419" t="inlineStr">
        <is>
          <t>HÄRNÖSAND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46225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46225</v>
      </c>
      <c r="F421" t="inlineStr">
        <is>
          <t>VÄSTERNORRLANDS LÄN</t>
        </is>
      </c>
      <c r="G421" t="inlineStr">
        <is>
          <t>HÄRNÖSAND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46225</v>
      </c>
      <c r="F422" t="inlineStr">
        <is>
          <t>VÄSTERNORRLANDS LÄN</t>
        </is>
      </c>
      <c r="G422" t="inlineStr">
        <is>
          <t>HÄRNÖSAND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45786</v>
      </c>
      <c r="E423" s="1" t="n">
        <v>46225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31.8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45813</v>
      </c>
      <c r="E424" s="1" t="n">
        <v>46225</v>
      </c>
      <c r="F424" t="inlineStr">
        <is>
          <t>VÄSTERNORRLANDS LÄN</t>
        </is>
      </c>
      <c r="G424" t="inlineStr">
        <is>
          <t>HÄRNÖSAND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46162</v>
      </c>
      <c r="E425" s="1" t="n">
        <v>46225</v>
      </c>
      <c r="F425" t="inlineStr">
        <is>
          <t>VÄSTERNORRLANDS LÄN</t>
        </is>
      </c>
      <c r="G425" t="inlineStr">
        <is>
          <t>HÄRNÖSAND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38146-2024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45545</v>
      </c>
      <c r="E426" s="1" t="n">
        <v>46225</v>
      </c>
      <c r="F426" t="inlineStr">
        <is>
          <t>VÄSTERNORRLANDS LÄN</t>
        </is>
      </c>
      <c r="G426" t="inlineStr">
        <is>
          <t>HÄRNÖSAND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46225</v>
      </c>
      <c r="F427" t="inlineStr">
        <is>
          <t>VÄSTERNORRLANDS LÄN</t>
        </is>
      </c>
      <c r="G427" t="inlineStr">
        <is>
          <t>HÄRNÖSAND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46225</v>
      </c>
      <c r="F428" t="inlineStr">
        <is>
          <t>VÄSTERNORRLANDS LÄN</t>
        </is>
      </c>
      <c r="G428" t="inlineStr">
        <is>
          <t>HÄRNÖSAND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46225</v>
      </c>
      <c r="F429" t="inlineStr">
        <is>
          <t>VÄSTERNORRLANDS LÄN</t>
        </is>
      </c>
      <c r="G429" t="inlineStr">
        <is>
          <t>HÄRNÖSAND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44980</v>
      </c>
      <c r="E430" s="1" t="n">
        <v>46225</v>
      </c>
      <c r="F430" t="inlineStr">
        <is>
          <t>VÄSTERNORRLANDS LÄN</t>
        </is>
      </c>
      <c r="G430" t="inlineStr">
        <is>
          <t>HÄRNÖSAND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45790</v>
      </c>
      <c r="E431" s="1" t="n">
        <v>46225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31.8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46225</v>
      </c>
      <c r="F432" t="inlineStr">
        <is>
          <t>VÄSTERNORRLANDS LÄN</t>
        </is>
      </c>
      <c r="G432" t="inlineStr">
        <is>
          <t>HÄRNÖSAND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46225</v>
      </c>
      <c r="F433" t="inlineStr">
        <is>
          <t>VÄSTERNORRLANDS LÄN</t>
        </is>
      </c>
      <c r="G433" t="inlineStr">
        <is>
          <t>HÄRNÖSAND</t>
        </is>
      </c>
      <c r="I433" t="n">
        <v>9.199999999999999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46225</v>
      </c>
      <c r="F434" t="inlineStr">
        <is>
          <t>VÄSTERNORRLANDS LÄN</t>
        </is>
      </c>
      <c r="G434" t="inlineStr">
        <is>
          <t>HÄRNÖSAND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46225</v>
      </c>
      <c r="F435" t="inlineStr">
        <is>
          <t>VÄSTERNORRLANDS LÄN</t>
        </is>
      </c>
      <c r="G435" t="inlineStr">
        <is>
          <t>HÄRNÖSAND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46203</v>
      </c>
      <c r="E436" s="1" t="n">
        <v>46225</v>
      </c>
      <c r="F436" t="inlineStr">
        <is>
          <t>VÄSTERNORRLANDS LÄN</t>
        </is>
      </c>
      <c r="G436" t="inlineStr">
        <is>
          <t>HÄRNÖSAND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46225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46225</v>
      </c>
      <c r="F438" t="inlineStr">
        <is>
          <t>VÄSTERNORRLANDS LÄN</t>
        </is>
      </c>
      <c r="G438" t="inlineStr">
        <is>
          <t>HÄRNÖSAND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46225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46225</v>
      </c>
      <c r="F440" t="inlineStr">
        <is>
          <t>VÄSTERNORRLANDS LÄN</t>
        </is>
      </c>
      <c r="G440" t="inlineStr">
        <is>
          <t>HÄRNÖSAND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46225</v>
      </c>
      <c r="F441" t="inlineStr">
        <is>
          <t>VÄSTERNORRLANDS LÄN</t>
        </is>
      </c>
      <c r="G441" t="inlineStr">
        <is>
          <t>HÄRNÖSAND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44971</v>
      </c>
      <c r="E442" s="1" t="n">
        <v>46225</v>
      </c>
      <c r="F442" t="inlineStr">
        <is>
          <t>VÄSTERNORRLANDS LÄN</t>
        </is>
      </c>
      <c r="G442" t="inlineStr">
        <is>
          <t>HÄRNÖSAND</t>
        </is>
      </c>
      <c r="H442" t="inlineStr">
        <is>
          <t>SCA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46225</v>
      </c>
      <c r="F443" t="inlineStr">
        <is>
          <t>VÄSTERNORRLANDS LÄN</t>
        </is>
      </c>
      <c r="G443" t="inlineStr">
        <is>
          <t>HÄRNÖSAND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44936</v>
      </c>
      <c r="E444" s="1" t="n">
        <v>46225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30216-2026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46225</v>
      </c>
      <c r="F445" t="inlineStr">
        <is>
          <t>VÄSTERNORRLANDS LÄN</t>
        </is>
      </c>
      <c r="G445" t="inlineStr">
        <is>
          <t>HÄRNÖSAND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45769</v>
      </c>
      <c r="E446" s="1" t="n">
        <v>46225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46225</v>
      </c>
      <c r="F447" t="inlineStr">
        <is>
          <t>VÄSTERNORRLANDS LÄN</t>
        </is>
      </c>
      <c r="G447" t="inlineStr">
        <is>
          <t>HÄRNÖSAND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46225</v>
      </c>
      <c r="F448" t="inlineStr">
        <is>
          <t>VÄSTERNORRLANDS LÄN</t>
        </is>
      </c>
      <c r="G448" t="inlineStr">
        <is>
          <t>HÄRNÖSAND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45685</v>
      </c>
      <c r="E449" s="1" t="n">
        <v>46225</v>
      </c>
      <c r="F449" t="inlineStr">
        <is>
          <t>VÄSTERNORRLANDS LÄN</t>
        </is>
      </c>
      <c r="G449" t="inlineStr">
        <is>
          <t>HÄRNÖSAND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46205</v>
      </c>
      <c r="E450" s="1" t="n">
        <v>46225</v>
      </c>
      <c r="F450" t="inlineStr">
        <is>
          <t>VÄSTERNORRLANDS LÄN</t>
        </is>
      </c>
      <c r="G450" t="inlineStr">
        <is>
          <t>HÄRNÖSAND</t>
        </is>
      </c>
      <c r="I450" t="n">
        <v>14.6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45749</v>
      </c>
      <c r="E451" s="1" t="n">
        <v>46225</v>
      </c>
      <c r="F451" t="inlineStr">
        <is>
          <t>VÄSTERNORRLANDS LÄN</t>
        </is>
      </c>
      <c r="G451" t="inlineStr">
        <is>
          <t>HÄRNÖSAND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46225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46225</v>
      </c>
      <c r="F453" t="inlineStr">
        <is>
          <t>VÄSTERNORRLANDS LÄN</t>
        </is>
      </c>
      <c r="G453" t="inlineStr">
        <is>
          <t>HÄRNÖSAND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46225</v>
      </c>
      <c r="F454" t="inlineStr">
        <is>
          <t>VÄSTERNORRLANDS LÄN</t>
        </is>
      </c>
      <c r="G454" t="inlineStr">
        <is>
          <t>HÄRNÖSAND</t>
        </is>
      </c>
      <c r="I454" t="n">
        <v>12.3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16009-2025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45749</v>
      </c>
      <c r="E455" s="1" t="n">
        <v>46225</v>
      </c>
      <c r="F455" t="inlineStr">
        <is>
          <t>VÄSTERNORRLANDS LÄN</t>
        </is>
      </c>
      <c r="G455" t="inlineStr">
        <is>
          <t>HÄRNÖSAND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46225</v>
      </c>
      <c r="F456" t="inlineStr">
        <is>
          <t>VÄSTERNORRLANDS LÄN</t>
        </is>
      </c>
      <c r="G456" t="inlineStr">
        <is>
          <t>HÄRNÖSAND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44603</v>
      </c>
      <c r="E457" s="1" t="n">
        <v>46225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47702-2021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44448</v>
      </c>
      <c r="E458" s="1" t="n">
        <v>46225</v>
      </c>
      <c r="F458" t="inlineStr">
        <is>
          <t>VÄSTERNORRLANDS LÄN</t>
        </is>
      </c>
      <c r="G458" t="inlineStr">
        <is>
          <t>HÄRNÖSAND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45638</v>
      </c>
      <c r="E459" s="1" t="n">
        <v>46225</v>
      </c>
      <c r="F459" t="inlineStr">
        <is>
          <t>VÄSTERNORRLANDS LÄN</t>
        </is>
      </c>
      <c r="G459" t="inlineStr">
        <is>
          <t>HÄRNÖSAND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45044</v>
      </c>
      <c r="E460" s="1" t="n">
        <v>46225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46225</v>
      </c>
      <c r="F461" t="inlineStr">
        <is>
          <t>VÄSTERNORRLANDS LÄN</t>
        </is>
      </c>
      <c r="G461" t="inlineStr">
        <is>
          <t>HÄRNÖSAND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46225</v>
      </c>
      <c r="F462" t="inlineStr">
        <is>
          <t>VÄSTERNORRLANDS LÄN</t>
        </is>
      </c>
      <c r="G462" t="inlineStr">
        <is>
          <t>HÄRNÖSAND</t>
        </is>
      </c>
      <c r="I462" t="n">
        <v>13.8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45203</v>
      </c>
      <c r="E463" s="1" t="n">
        <v>46225</v>
      </c>
      <c r="F463" t="inlineStr">
        <is>
          <t>VÄSTERNORRLANDS LÄN</t>
        </is>
      </c>
      <c r="G463" t="inlineStr">
        <is>
          <t>HÄRNÖSAND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46225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46225</v>
      </c>
      <c r="F465" t="inlineStr">
        <is>
          <t>VÄSTERNORRLANDS LÄN</t>
        </is>
      </c>
      <c r="G465" t="inlineStr">
        <is>
          <t>HÄRNÖSAND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46211</v>
      </c>
      <c r="E466" s="1" t="n">
        <v>46225</v>
      </c>
      <c r="F466" t="inlineStr">
        <is>
          <t>VÄSTERNORRLANDS LÄN</t>
        </is>
      </c>
      <c r="G466" t="inlineStr">
        <is>
          <t>HÄRNÖSAND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46211</v>
      </c>
      <c r="E467" s="1" t="n">
        <v>46225</v>
      </c>
      <c r="F467" t="inlineStr">
        <is>
          <t>VÄSTERNORRLANDS LÄN</t>
        </is>
      </c>
      <c r="G467" t="inlineStr">
        <is>
          <t>HÄRNÖSAND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46273-2021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44442</v>
      </c>
      <c r="E468" s="1" t="n">
        <v>46225</v>
      </c>
      <c r="F468" t="inlineStr">
        <is>
          <t>VÄSTERNORRLANDS LÄN</t>
        </is>
      </c>
      <c r="G468" t="inlineStr">
        <is>
          <t>HÄRNÖSAND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46165</v>
      </c>
      <c r="E469" s="1" t="n">
        <v>46225</v>
      </c>
      <c r="F469" t="inlineStr">
        <is>
          <t>VÄSTERNORRLANDS LÄN</t>
        </is>
      </c>
      <c r="G469" t="inlineStr">
        <is>
          <t>HÄRNÖSAND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46170</v>
      </c>
      <c r="E470" s="1" t="n">
        <v>46225</v>
      </c>
      <c r="F470" t="inlineStr">
        <is>
          <t>VÄSTERNORRLANDS LÄN</t>
        </is>
      </c>
      <c r="G470" t="inlineStr">
        <is>
          <t>HÄRNÖSAND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46213</v>
      </c>
      <c r="E471" s="1" t="n">
        <v>46225</v>
      </c>
      <c r="F471" t="inlineStr">
        <is>
          <t>VÄSTERNORRLANDS LÄN</t>
        </is>
      </c>
      <c r="G471" t="inlineStr">
        <is>
          <t>HÄRNÖSAND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46213</v>
      </c>
      <c r="E472" s="1" t="n">
        <v>46225</v>
      </c>
      <c r="F472" t="inlineStr">
        <is>
          <t>VÄSTERNORRLANDS LÄN</t>
        </is>
      </c>
      <c r="G472" t="inlineStr">
        <is>
          <t>HÄRNÖSAND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46225</v>
      </c>
      <c r="F473" t="inlineStr">
        <is>
          <t>VÄSTERNORRLANDS LÄN</t>
        </is>
      </c>
      <c r="G473" t="inlineStr">
        <is>
          <t>HÄRNÖSAND</t>
        </is>
      </c>
      <c r="I473" t="n">
        <v>13.6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46225</v>
      </c>
      <c r="F474" t="inlineStr">
        <is>
          <t>VÄSTERNORRLANDS LÄN</t>
        </is>
      </c>
      <c r="G474" t="inlineStr">
        <is>
          <t>HÄRNÖSAND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44596</v>
      </c>
      <c r="E475" s="1" t="n">
        <v>46225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Övriga statliga verk och myndigheter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45910</v>
      </c>
      <c r="E476" s="1" t="n">
        <v>46225</v>
      </c>
      <c r="F476" t="inlineStr">
        <is>
          <t>VÄSTERNORRLANDS LÄN</t>
        </is>
      </c>
      <c r="G476" t="inlineStr">
        <is>
          <t>HÄRNÖSAND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46213</v>
      </c>
      <c r="E477" s="1" t="n">
        <v>46225</v>
      </c>
      <c r="F477" t="inlineStr">
        <is>
          <t>VÄSTERNORRLANDS LÄN</t>
        </is>
      </c>
      <c r="G477" t="inlineStr">
        <is>
          <t>HÄRNÖSAND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31049-2026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46215</v>
      </c>
      <c r="E478" s="1" t="n">
        <v>46225</v>
      </c>
      <c r="F478" t="inlineStr">
        <is>
          <t>VÄSTERNORRLANDS LÄN</t>
        </is>
      </c>
      <c r="G478" t="inlineStr">
        <is>
          <t>HÄRNÖSAND</t>
        </is>
      </c>
      <c r="I478" t="n">
        <v>12.7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46215</v>
      </c>
      <c r="E479" s="1" t="n">
        <v>46225</v>
      </c>
      <c r="F479" t="inlineStr">
        <is>
          <t>VÄSTERNORRLANDS LÄN</t>
        </is>
      </c>
      <c r="G479" t="inlineStr">
        <is>
          <t>HÄRNÖSAND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46225</v>
      </c>
      <c r="F480" t="inlineStr">
        <is>
          <t>VÄSTERNORRLANDS LÄN</t>
        </is>
      </c>
      <c r="G480" t="inlineStr">
        <is>
          <t>HÄRNÖSAND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46225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46225</v>
      </c>
      <c r="F482" t="inlineStr">
        <is>
          <t>VÄSTERNORRLANDS LÄN</t>
        </is>
      </c>
      <c r="G482" t="inlineStr">
        <is>
          <t>HÄRNÖSAND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46225</v>
      </c>
      <c r="F483" t="inlineStr">
        <is>
          <t>VÄSTERNORRLANDS LÄN</t>
        </is>
      </c>
      <c r="G483" t="inlineStr">
        <is>
          <t>HÄRNÖSAND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46225</v>
      </c>
      <c r="F484" t="inlineStr">
        <is>
          <t>VÄSTERNORRLANDS LÄN</t>
        </is>
      </c>
      <c r="G484" t="inlineStr">
        <is>
          <t>HÄRNÖSAND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45800</v>
      </c>
      <c r="E485" s="1" t="n">
        <v>46225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45800</v>
      </c>
      <c r="E486" s="1" t="n">
        <v>46225</v>
      </c>
      <c r="F486" t="inlineStr">
        <is>
          <t>VÄSTERNORRLANDS LÄN</t>
        </is>
      </c>
      <c r="G486" t="inlineStr">
        <is>
          <t>HÄRNÖSAND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46225</v>
      </c>
      <c r="F487" t="inlineStr">
        <is>
          <t>VÄSTERNORRLANDS LÄN</t>
        </is>
      </c>
      <c r="G487" t="inlineStr">
        <is>
          <t>HÄRNÖSAND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45723</v>
      </c>
      <c r="E488" s="1" t="n">
        <v>46225</v>
      </c>
      <c r="F488" t="inlineStr">
        <is>
          <t>VÄSTERNORRLANDS LÄN</t>
        </is>
      </c>
      <c r="G488" t="inlineStr">
        <is>
          <t>HÄRNÖSAND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46225</v>
      </c>
      <c r="F489" t="inlineStr">
        <is>
          <t>VÄSTERNORRLANDS LÄN</t>
        </is>
      </c>
      <c r="G489" t="inlineStr">
        <is>
          <t>HÄRNÖSAND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46225</v>
      </c>
      <c r="F490" t="inlineStr">
        <is>
          <t>VÄSTERNORRLANDS LÄN</t>
        </is>
      </c>
      <c r="G490" t="inlineStr">
        <is>
          <t>HÄRNÖSAND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46225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46177</v>
      </c>
      <c r="E492" s="1" t="n">
        <v>46225</v>
      </c>
      <c r="F492" t="inlineStr">
        <is>
          <t>VÄSTERNORRLANDS LÄN</t>
        </is>
      </c>
      <c r="G492" t="inlineStr">
        <is>
          <t>HÄRNÖSAND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44991</v>
      </c>
      <c r="E493" s="1" t="n">
        <v>46225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46150</v>
      </c>
      <c r="E494" s="1" t="n">
        <v>46225</v>
      </c>
      <c r="F494" t="inlineStr">
        <is>
          <t>VÄSTERNORRLANDS LÄN</t>
        </is>
      </c>
      <c r="G494" t="inlineStr">
        <is>
          <t>HÄRNÖSAND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46225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10.2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46225</v>
      </c>
      <c r="F496" t="inlineStr">
        <is>
          <t>VÄSTERNORRLANDS LÄN</t>
        </is>
      </c>
      <c r="G496" t="inlineStr">
        <is>
          <t>HÄRNÖSAND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46225</v>
      </c>
      <c r="F497" t="inlineStr">
        <is>
          <t>VÄSTERNORRLANDS LÄN</t>
        </is>
      </c>
      <c r="G497" t="inlineStr">
        <is>
          <t>HÄRNÖSAND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46225</v>
      </c>
      <c r="F498" t="inlineStr">
        <is>
          <t>VÄSTERNORRLANDS LÄN</t>
        </is>
      </c>
      <c r="G498" t="inlineStr">
        <is>
          <t>HÄRNÖSAND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46225</v>
      </c>
      <c r="F499" t="inlineStr">
        <is>
          <t>VÄSTERNORRLANDS LÄN</t>
        </is>
      </c>
      <c r="G499" t="inlineStr">
        <is>
          <t>HÄRNÖSAND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46225</v>
      </c>
      <c r="F500" t="inlineStr">
        <is>
          <t>VÄSTERNORRLANDS LÄN</t>
        </is>
      </c>
      <c r="G500" t="inlineStr">
        <is>
          <t>HÄRNÖSAND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45293</v>
      </c>
      <c r="E501" s="1" t="n">
        <v>46225</v>
      </c>
      <c r="F501" t="inlineStr">
        <is>
          <t>VÄSTERNORRLANDS LÄN</t>
        </is>
      </c>
      <c r="G501" t="inlineStr">
        <is>
          <t>HÄRNÖSAND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46225</v>
      </c>
      <c r="F502" t="inlineStr">
        <is>
          <t>VÄSTERNORRLANDS LÄN</t>
        </is>
      </c>
      <c r="G502" t="inlineStr">
        <is>
          <t>HÄRNÖSAND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61574-2021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44497</v>
      </c>
      <c r="E503" s="1" t="n">
        <v>46225</v>
      </c>
      <c r="F503" t="inlineStr">
        <is>
          <t>VÄSTERNORRLANDS LÄN</t>
        </is>
      </c>
      <c r="G503" t="inlineStr">
        <is>
          <t>HÄRNÖSAND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46219</v>
      </c>
      <c r="E504" s="1" t="n">
        <v>46225</v>
      </c>
      <c r="F504" t="inlineStr">
        <is>
          <t>VÄSTERNORRLANDS LÄN</t>
        </is>
      </c>
      <c r="G504" t="inlineStr">
        <is>
          <t>HÄRNÖSAND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45329</v>
      </c>
      <c r="E505" s="1" t="n">
        <v>46225</v>
      </c>
      <c r="F505" t="inlineStr">
        <is>
          <t>VÄSTERNORRLANDS LÄN</t>
        </is>
      </c>
      <c r="G505" t="inlineStr">
        <is>
          <t>HÄRNÖSAND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46319-2022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44847</v>
      </c>
      <c r="E506" s="1" t="n">
        <v>46225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Kyrkan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46225</v>
      </c>
      <c r="F507" t="inlineStr">
        <is>
          <t>VÄSTERNORRLANDS LÄN</t>
        </is>
      </c>
      <c r="G507" t="inlineStr">
        <is>
          <t>HÄRNÖSAND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46225</v>
      </c>
      <c r="F508" t="inlineStr">
        <is>
          <t>VÄSTERNORRLANDS LÄN</t>
        </is>
      </c>
      <c r="G508" t="inlineStr">
        <is>
          <t>HÄRNÖSAND</t>
        </is>
      </c>
      <c r="I508" t="n">
        <v>8.6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46219</v>
      </c>
      <c r="E509" s="1" t="n">
        <v>46225</v>
      </c>
      <c r="F509" t="inlineStr">
        <is>
          <t>VÄSTERNORRLANDS LÄN</t>
        </is>
      </c>
      <c r="G509" t="inlineStr">
        <is>
          <t>HÄRNÖSAND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45352</v>
      </c>
      <c r="E510" s="1" t="n">
        <v>46225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46219</v>
      </c>
      <c r="E511" s="1" t="n">
        <v>46225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46181</v>
      </c>
      <c r="E512" s="1" t="n">
        <v>46225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46225</v>
      </c>
      <c r="F513" t="inlineStr">
        <is>
          <t>VÄSTERNORRLANDS LÄN</t>
        </is>
      </c>
      <c r="G513" t="inlineStr">
        <is>
          <t>HÄRNÖSAND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46225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45281</v>
      </c>
      <c r="E515" s="1" t="n">
        <v>46225</v>
      </c>
      <c r="F515" t="inlineStr">
        <is>
          <t>VÄSTERNORRLANDS LÄN</t>
        </is>
      </c>
      <c r="G515" t="inlineStr">
        <is>
          <t>HÄRNÖSAND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45409</v>
      </c>
      <c r="E516" s="1" t="n">
        <v>46225</v>
      </c>
      <c r="F516" t="inlineStr">
        <is>
          <t>VÄSTERNORRLANDS LÄN</t>
        </is>
      </c>
      <c r="G516" t="inlineStr">
        <is>
          <t>HÄRNÖSAND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39954-2022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44819</v>
      </c>
      <c r="E517" s="1" t="n">
        <v>46225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64023-2023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45278</v>
      </c>
      <c r="E518" s="1" t="n">
        <v>46225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45502</v>
      </c>
      <c r="E519" s="1" t="n">
        <v>46225</v>
      </c>
      <c r="F519" t="inlineStr">
        <is>
          <t>VÄSTERNORRLANDS LÄN</t>
        </is>
      </c>
      <c r="G519" t="inlineStr">
        <is>
          <t>HÄRNÖSAND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34161-2022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44791</v>
      </c>
      <c r="E520" s="1" t="n">
        <v>46225</v>
      </c>
      <c r="F520" t="inlineStr">
        <is>
          <t>VÄSTERNORRLANDS LÄN</t>
        </is>
      </c>
      <c r="G520" t="inlineStr">
        <is>
          <t>HÄRNÖSAND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45418</v>
      </c>
      <c r="E521" s="1" t="n">
        <v>46225</v>
      </c>
      <c r="F521" t="inlineStr">
        <is>
          <t>VÄSTERNORRLANDS LÄN</t>
        </is>
      </c>
      <c r="G521" t="inlineStr">
        <is>
          <t>HÄRNÖSAND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62333-2021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44502</v>
      </c>
      <c r="E522" s="1" t="n">
        <v>46225</v>
      </c>
      <c r="F522" t="inlineStr">
        <is>
          <t>VÄSTERNORRLANDS LÄN</t>
        </is>
      </c>
      <c r="G522" t="inlineStr">
        <is>
          <t>HÄRNÖSAND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45126</v>
      </c>
      <c r="E523" s="1" t="n">
        <v>46225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53107-2023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45228</v>
      </c>
      <c r="E524" s="1" t="n">
        <v>46225</v>
      </c>
      <c r="F524" t="inlineStr">
        <is>
          <t>VÄSTERNORRLANDS LÄN</t>
        </is>
      </c>
      <c r="G524" t="inlineStr">
        <is>
          <t>HÄRNÖSAND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38379-2023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45161</v>
      </c>
      <c r="E525" s="1" t="n">
        <v>46225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13605-2024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46225</v>
      </c>
      <c r="F526" t="inlineStr">
        <is>
          <t>VÄSTERNORRLANDS LÄN</t>
        </is>
      </c>
      <c r="G526" t="inlineStr">
        <is>
          <t>HÄRNÖSAND</t>
        </is>
      </c>
      <c r="I526" t="n">
        <v>14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45148</v>
      </c>
      <c r="E527" s="1" t="n">
        <v>46225</v>
      </c>
      <c r="F527" t="inlineStr">
        <is>
          <t>VÄSTERNORRLANDS LÄN</t>
        </is>
      </c>
      <c r="G527" t="inlineStr">
        <is>
          <t>HÄRNÖSAND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41147-2023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46225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46225</v>
      </c>
      <c r="F529" t="inlineStr">
        <is>
          <t>VÄSTERNORRLANDS LÄN</t>
        </is>
      </c>
      <c r="G529" t="inlineStr">
        <is>
          <t>HÄRNÖSAND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60970-2021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44496</v>
      </c>
      <c r="E530" s="1" t="n">
        <v>46225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16047-2024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45405</v>
      </c>
      <c r="E531" s="1" t="n">
        <v>46225</v>
      </c>
      <c r="F531" t="inlineStr">
        <is>
          <t>VÄSTERNORRLANDS LÄN</t>
        </is>
      </c>
      <c r="G531" t="inlineStr">
        <is>
          <t>HÄRNÖSAND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16866-2024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45409</v>
      </c>
      <c r="E532" s="1" t="n">
        <v>46225</v>
      </c>
      <c r="F532" t="inlineStr">
        <is>
          <t>VÄSTERNORRLANDS LÄN</t>
        </is>
      </c>
      <c r="G532" t="inlineStr">
        <is>
          <t>HÄRNÖSAND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5609-2024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45334</v>
      </c>
      <c r="E533" s="1" t="n">
        <v>46225</v>
      </c>
      <c r="F533" t="inlineStr">
        <is>
          <t>VÄSTERNORRLANDS LÄN</t>
        </is>
      </c>
      <c r="G533" t="inlineStr">
        <is>
          <t>HÄRNÖSAND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57236-2024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45628</v>
      </c>
      <c r="E534" s="1" t="n">
        <v>46225</v>
      </c>
      <c r="F534" t="inlineStr">
        <is>
          <t>VÄSTERNORRLANDS LÄN</t>
        </is>
      </c>
      <c r="G534" t="inlineStr">
        <is>
          <t>HÄRNÖSAND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46225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45168</v>
      </c>
      <c r="E536" s="1" t="n">
        <v>46225</v>
      </c>
      <c r="F536" t="inlineStr">
        <is>
          <t>VÄSTERNORRLANDS LÄN</t>
        </is>
      </c>
      <c r="G536" t="inlineStr">
        <is>
          <t>HÄRNÖSAND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45512</v>
      </c>
      <c r="E537" s="1" t="n">
        <v>46225</v>
      </c>
      <c r="F537" t="inlineStr">
        <is>
          <t>VÄSTERNORRLANDS LÄN</t>
        </is>
      </c>
      <c r="G537" t="inlineStr">
        <is>
          <t>HÄRNÖSAND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59715-2024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45639</v>
      </c>
      <c r="E538" s="1" t="n">
        <v>46225</v>
      </c>
      <c r="F538" t="inlineStr">
        <is>
          <t>VÄSTERNORRLANDS LÄN</t>
        </is>
      </c>
      <c r="G538" t="inlineStr">
        <is>
          <t>HÄRNÖSAND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35808-2023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45147</v>
      </c>
      <c r="E539" s="1" t="n">
        <v>46225</v>
      </c>
      <c r="F539" t="inlineStr">
        <is>
          <t>VÄSTERNORRLANDS LÄN</t>
        </is>
      </c>
      <c r="G539" t="inlineStr">
        <is>
          <t>HÄRNÖSAND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49346-2024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46225</v>
      </c>
      <c r="F540" t="inlineStr">
        <is>
          <t>VÄSTERNORRLANDS LÄN</t>
        </is>
      </c>
      <c r="G540" t="inlineStr">
        <is>
          <t>HÄRNÖSAND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46225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54091-2024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45616</v>
      </c>
      <c r="E542" s="1" t="n">
        <v>46225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16979-2022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44676</v>
      </c>
      <c r="E543" s="1" t="n">
        <v>46225</v>
      </c>
      <c r="F543" t="inlineStr">
        <is>
          <t>VÄSTERNORRLANDS LÄN</t>
        </is>
      </c>
      <c r="G543" t="inlineStr">
        <is>
          <t>HÄRNÖSAND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19827-2022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44694</v>
      </c>
      <c r="E544" s="1" t="n">
        <v>46225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54560-2024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45617</v>
      </c>
      <c r="E545" s="1" t="n">
        <v>46225</v>
      </c>
      <c r="F545" t="inlineStr">
        <is>
          <t>VÄSTERNORRLANDS LÄN</t>
        </is>
      </c>
      <c r="G545" t="inlineStr">
        <is>
          <t>HÄRNÖSAND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46225</v>
      </c>
      <c r="F546" t="inlineStr">
        <is>
          <t>VÄSTERNORRLANDS LÄN</t>
        </is>
      </c>
      <c r="G546" t="inlineStr">
        <is>
          <t>HÄRNÖSAND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9727-2022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44617</v>
      </c>
      <c r="E547" s="1" t="n">
        <v>46225</v>
      </c>
      <c r="F547" t="inlineStr">
        <is>
          <t>VÄSTERNORRLANDS LÄN</t>
        </is>
      </c>
      <c r="G547" t="inlineStr">
        <is>
          <t>HÄRNÖSAND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45428</v>
      </c>
      <c r="E548" s="1" t="n">
        <v>46225</v>
      </c>
      <c r="F548" t="inlineStr">
        <is>
          <t>VÄSTERNORRLANDS LÄN</t>
        </is>
      </c>
      <c r="G548" t="inlineStr">
        <is>
          <t>HÄRNÖSAND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45163</v>
      </c>
      <c r="E549" s="1" t="n">
        <v>46225</v>
      </c>
      <c r="F549" t="inlineStr">
        <is>
          <t>VÄSTERNORRLANDS LÄN</t>
        </is>
      </c>
      <c r="G549" t="inlineStr">
        <is>
          <t>HÄRNÖSAND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45152</v>
      </c>
      <c r="E550" s="1" t="n">
        <v>46225</v>
      </c>
      <c r="F550" t="inlineStr">
        <is>
          <t>VÄSTERNORRLANDS LÄN</t>
        </is>
      </c>
      <c r="G550" t="inlineStr">
        <is>
          <t>HÄRNÖSAND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49261-2022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44858</v>
      </c>
      <c r="E551" s="1" t="n">
        <v>46225</v>
      </c>
      <c r="F551" t="inlineStr">
        <is>
          <t>VÄSTERNORRLANDS LÄN</t>
        </is>
      </c>
      <c r="G551" t="inlineStr">
        <is>
          <t>HÄRNÖSAND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39433-2023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45163</v>
      </c>
      <c r="E552" s="1" t="n">
        <v>46225</v>
      </c>
      <c r="F552" t="inlineStr">
        <is>
          <t>VÄSTERNORRLANDS LÄN</t>
        </is>
      </c>
      <c r="G552" t="inlineStr">
        <is>
          <t>HÄRNÖSAND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21471-2022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44706</v>
      </c>
      <c r="E553" s="1" t="n">
        <v>46225</v>
      </c>
      <c r="F553" t="inlineStr">
        <is>
          <t>VÄSTERNORRLANDS LÄN</t>
        </is>
      </c>
      <c r="G553" t="inlineStr">
        <is>
          <t>HÄRNÖSAND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24813-2022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44728</v>
      </c>
      <c r="E554" s="1" t="n">
        <v>46225</v>
      </c>
      <c r="F554" t="inlineStr">
        <is>
          <t>VÄSTERNORRLANDS LÄN</t>
        </is>
      </c>
      <c r="G554" t="inlineStr">
        <is>
          <t>HÄRNÖSAND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45181</v>
      </c>
      <c r="E555" s="1" t="n">
        <v>46225</v>
      </c>
      <c r="F555" t="inlineStr">
        <is>
          <t>VÄSTERNORRLANDS LÄN</t>
        </is>
      </c>
      <c r="G555" t="inlineStr">
        <is>
          <t>HÄRNÖSAND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44728</v>
      </c>
      <c r="E556" s="1" t="n">
        <v>46225</v>
      </c>
      <c r="F556" t="inlineStr">
        <is>
          <t>VÄSTERNORRLANDS LÄN</t>
        </is>
      </c>
      <c r="G556" t="inlineStr">
        <is>
          <t>HÄRNÖSAND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45735-2023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45189</v>
      </c>
      <c r="E557" s="1" t="n">
        <v>46225</v>
      </c>
      <c r="F557" t="inlineStr">
        <is>
          <t>VÄSTERNORRLANDS LÄN</t>
        </is>
      </c>
      <c r="G557" t="inlineStr">
        <is>
          <t>HÄRNÖSAND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6390-2025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45699</v>
      </c>
      <c r="E558" s="1" t="n">
        <v>46225</v>
      </c>
      <c r="F558" t="inlineStr">
        <is>
          <t>VÄSTERNORRLANDS LÄN</t>
        </is>
      </c>
      <c r="G558" t="inlineStr">
        <is>
          <t>HÄRNÖSAND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40232-2023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45168</v>
      </c>
      <c r="E559" s="1" t="n">
        <v>46225</v>
      </c>
      <c r="F559" t="inlineStr">
        <is>
          <t>VÄSTERNORRLANDS LÄN</t>
        </is>
      </c>
      <c r="G559" t="inlineStr">
        <is>
          <t>HÄRNÖSAND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44726</v>
      </c>
      <c r="E560" s="1" t="n">
        <v>46225</v>
      </c>
      <c r="F560" t="inlineStr">
        <is>
          <t>VÄSTERNORRLANDS LÄN</t>
        </is>
      </c>
      <c r="G560" t="inlineStr">
        <is>
          <t>HÄRNÖSAND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11078-2025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45723</v>
      </c>
      <c r="E561" s="1" t="n">
        <v>46225</v>
      </c>
      <c r="F561" t="inlineStr">
        <is>
          <t>VÄSTERNORRLANDS LÄN</t>
        </is>
      </c>
      <c r="G561" t="inlineStr">
        <is>
          <t>HÄRNÖSAND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39498-2023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45166</v>
      </c>
      <c r="E562" s="1" t="n">
        <v>46225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59155-2023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45251</v>
      </c>
      <c r="E563" s="1" t="n">
        <v>46225</v>
      </c>
      <c r="F563" t="inlineStr">
        <is>
          <t>VÄSTERNORRLANDS LÄN</t>
        </is>
      </c>
      <c r="G563" t="inlineStr">
        <is>
          <t>HÄRNÖSAND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7852-2024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45350</v>
      </c>
      <c r="E564" s="1" t="n">
        <v>46225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45293</v>
      </c>
      <c r="E565" s="1" t="n">
        <v>46225</v>
      </c>
      <c r="F565" t="inlineStr">
        <is>
          <t>VÄSTERNORRLANDS LÄN</t>
        </is>
      </c>
      <c r="G565" t="inlineStr">
        <is>
          <t>HÄRNÖSAND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45320</v>
      </c>
      <c r="E566" s="1" t="n">
        <v>46225</v>
      </c>
      <c r="F566" t="inlineStr">
        <is>
          <t>VÄSTERNORRLANDS LÄN</t>
        </is>
      </c>
      <c r="G566" t="inlineStr">
        <is>
          <t>HÄRNÖSAND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55276-2023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45231</v>
      </c>
      <c r="E567" s="1" t="n">
        <v>46225</v>
      </c>
      <c r="F567" t="inlineStr">
        <is>
          <t>VÄSTERNORRLANDS LÄN</t>
        </is>
      </c>
      <c r="G567" t="inlineStr">
        <is>
          <t>HÄRNÖSAND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28319-2022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44747</v>
      </c>
      <c r="E568" s="1" t="n">
        <v>46225</v>
      </c>
      <c r="F568" t="inlineStr">
        <is>
          <t>VÄSTERNORRLANDS LÄN</t>
        </is>
      </c>
      <c r="G568" t="inlineStr">
        <is>
          <t>HÄRNÖSAND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45348</v>
      </c>
      <c r="E569" s="1" t="n">
        <v>46225</v>
      </c>
      <c r="F569" t="inlineStr">
        <is>
          <t>VÄSTERNORRLANDS LÄN</t>
        </is>
      </c>
      <c r="G569" t="inlineStr">
        <is>
          <t>HÄRNÖSAND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23547-2023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45072</v>
      </c>
      <c r="E570" s="1" t="n">
        <v>46225</v>
      </c>
      <c r="F570" t="inlineStr">
        <is>
          <t>VÄSTERNORRLANDS LÄN</t>
        </is>
      </c>
      <c r="G570" t="inlineStr">
        <is>
          <t>HÄRNÖSAND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45313</v>
      </c>
      <c r="E571" s="1" t="n">
        <v>46225</v>
      </c>
      <c r="F571" t="inlineStr">
        <is>
          <t>VÄSTERNORRLANDS LÄN</t>
        </is>
      </c>
      <c r="G571" t="inlineStr">
        <is>
          <t>HÄRNÖSAND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45366</v>
      </c>
      <c r="E572" s="1" t="n">
        <v>46225</v>
      </c>
      <c r="F572" t="inlineStr">
        <is>
          <t>VÄSTERNORRLANDS LÄN</t>
        </is>
      </c>
      <c r="G572" t="inlineStr">
        <is>
          <t>HÄRNÖSAND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44853</v>
      </c>
      <c r="E573" s="1" t="n">
        <v>46225</v>
      </c>
      <c r="F573" t="inlineStr">
        <is>
          <t>VÄSTERNORRLANDS LÄN</t>
        </is>
      </c>
      <c r="G573" t="inlineStr">
        <is>
          <t>HÄRNÖSAND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45749</v>
      </c>
      <c r="E574" s="1" t="n">
        <v>46225</v>
      </c>
      <c r="F574" t="inlineStr">
        <is>
          <t>VÄSTERNORRLANDS LÄN</t>
        </is>
      </c>
      <c r="G574" t="inlineStr">
        <is>
          <t>HÄRNÖSAND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45757</v>
      </c>
      <c r="E575" s="1" t="n">
        <v>46225</v>
      </c>
      <c r="F575" t="inlineStr">
        <is>
          <t>VÄSTERNORRLANDS LÄN</t>
        </is>
      </c>
      <c r="G575" t="inlineStr">
        <is>
          <t>HÄRNÖSAND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34513-2022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44792</v>
      </c>
      <c r="E576" s="1" t="n">
        <v>46225</v>
      </c>
      <c r="F576" t="inlineStr">
        <is>
          <t>VÄSTERNORRLANDS LÄN</t>
        </is>
      </c>
      <c r="G576" t="inlineStr">
        <is>
          <t>HÄRNÖSAND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12675-2025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45733</v>
      </c>
      <c r="E577" s="1" t="n">
        <v>46225</v>
      </c>
      <c r="F577" t="inlineStr">
        <is>
          <t>VÄSTERNORRLANDS LÄN</t>
        </is>
      </c>
      <c r="G577" t="inlineStr">
        <is>
          <t>HÄRNÖSAND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45496</v>
      </c>
      <c r="E578" s="1" t="n">
        <v>46225</v>
      </c>
      <c r="F578" t="inlineStr">
        <is>
          <t>VÄSTERNORRLANDS LÄN</t>
        </is>
      </c>
      <c r="G578" t="inlineStr">
        <is>
          <t>HÄRNÖSAND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8411-2024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45352</v>
      </c>
      <c r="E579" s="1" t="n">
        <v>46225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45091</v>
      </c>
      <c r="E580" s="1" t="n">
        <v>46225</v>
      </c>
      <c r="F580" t="inlineStr">
        <is>
          <t>VÄSTERNORRLANDS LÄN</t>
        </is>
      </c>
      <c r="G580" t="inlineStr">
        <is>
          <t>HÄRNÖSAND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64377-2023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45280</v>
      </c>
      <c r="E581" s="1" t="n">
        <v>46225</v>
      </c>
      <c r="F581" t="inlineStr">
        <is>
          <t>VÄSTERNORRLANDS LÄN</t>
        </is>
      </c>
      <c r="G581" t="inlineStr">
        <is>
          <t>HÄRNÖSAND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25116-2024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45462</v>
      </c>
      <c r="E582" s="1" t="n">
        <v>46225</v>
      </c>
      <c r="F582" t="inlineStr">
        <is>
          <t>VÄSTERNORRLANDS LÄN</t>
        </is>
      </c>
      <c r="G582" t="inlineStr">
        <is>
          <t>HÄRNÖSAND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52987-2022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44875</v>
      </c>
      <c r="E583" s="1" t="n">
        <v>46225</v>
      </c>
      <c r="F583" t="inlineStr">
        <is>
          <t>VÄSTERNORRLANDS LÄN</t>
        </is>
      </c>
      <c r="G583" t="inlineStr">
        <is>
          <t>HÄRNÖSAND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29279-2024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45482</v>
      </c>
      <c r="E584" s="1" t="n">
        <v>46225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30762-2024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45496</v>
      </c>
      <c r="E585" s="1" t="n">
        <v>46225</v>
      </c>
      <c r="F585" t="inlineStr">
        <is>
          <t>VÄSTERNORRLANDS LÄN</t>
        </is>
      </c>
      <c r="G585" t="inlineStr">
        <is>
          <t>HÄRNÖSAND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44957</v>
      </c>
      <c r="E586" s="1" t="n">
        <v>46225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59034-2022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44903</v>
      </c>
      <c r="E587" s="1" t="n">
        <v>46225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44945</v>
      </c>
      <c r="E588" s="1" t="n">
        <v>46225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45376</v>
      </c>
      <c r="E589" s="1" t="n">
        <v>46225</v>
      </c>
      <c r="F589" t="inlineStr">
        <is>
          <t>VÄSTERNORRLANDS LÄN</t>
        </is>
      </c>
      <c r="G589" t="inlineStr">
        <is>
          <t>HÄRNÖSAND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56165-2022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44889</v>
      </c>
      <c r="E590" s="1" t="n">
        <v>46225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65224-2023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45289</v>
      </c>
      <c r="E591" s="1" t="n">
        <v>46225</v>
      </c>
      <c r="F591" t="inlineStr">
        <is>
          <t>VÄSTERNORRLANDS LÄN</t>
        </is>
      </c>
      <c r="G591" t="inlineStr">
        <is>
          <t>HÄRNÖSAND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45687-2022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44845</v>
      </c>
      <c r="E592" s="1" t="n">
        <v>46225</v>
      </c>
      <c r="F592" t="inlineStr">
        <is>
          <t>VÄSTERNORRLANDS LÄN</t>
        </is>
      </c>
      <c r="G592" t="inlineStr">
        <is>
          <t>HÄRNÖSAND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22875-2023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45072</v>
      </c>
      <c r="E593" s="1" t="n">
        <v>46225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Kyrkan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46508-2023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45194</v>
      </c>
      <c r="E594" s="1" t="n">
        <v>46225</v>
      </c>
      <c r="F594" t="inlineStr">
        <is>
          <t>VÄSTERNORRLANDS LÄN</t>
        </is>
      </c>
      <c r="G594" t="inlineStr">
        <is>
          <t>HÄRNÖSAND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65222-2023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45289</v>
      </c>
      <c r="E595" s="1" t="n">
        <v>46225</v>
      </c>
      <c r="F595" t="inlineStr">
        <is>
          <t>VÄSTERNORRLANDS LÄN</t>
        </is>
      </c>
      <c r="G595" t="inlineStr">
        <is>
          <t>HÄRNÖSAND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44580</v>
      </c>
      <c r="E596" s="1" t="n">
        <v>46225</v>
      </c>
      <c r="F596" t="inlineStr">
        <is>
          <t>VÄSTERNORRLANDS LÄN</t>
        </is>
      </c>
      <c r="G596" t="inlineStr">
        <is>
          <t>HÄRNÖSAND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45476</v>
      </c>
      <c r="E597" s="1" t="n">
        <v>46225</v>
      </c>
      <c r="F597" t="inlineStr">
        <is>
          <t>VÄSTERNORRLANDS LÄN</t>
        </is>
      </c>
      <c r="G597" t="inlineStr">
        <is>
          <t>HÄRNÖSAND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13611-2023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45006</v>
      </c>
      <c r="E598" s="1" t="n">
        <v>46225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45300</v>
      </c>
      <c r="E599" s="1" t="n">
        <v>46225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45035</v>
      </c>
      <c r="E600" s="1" t="n">
        <v>46225</v>
      </c>
      <c r="F600" t="inlineStr">
        <is>
          <t>VÄSTERNORRLANDS LÄN</t>
        </is>
      </c>
      <c r="G600" t="inlineStr">
        <is>
          <t>HÄRNÖSAND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44987</v>
      </c>
      <c r="E601" s="1" t="n">
        <v>46225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52237-2022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44869</v>
      </c>
      <c r="E602" s="1" t="n">
        <v>46225</v>
      </c>
      <c r="F602" t="inlineStr">
        <is>
          <t>VÄSTERNORRLANDS LÄN</t>
        </is>
      </c>
      <c r="G602" t="inlineStr">
        <is>
          <t>HÄRNÖSAND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14018-2024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46225</v>
      </c>
      <c r="F603" t="inlineStr">
        <is>
          <t>VÄSTERNORRLANDS LÄN</t>
        </is>
      </c>
      <c r="G603" t="inlineStr">
        <is>
          <t>HÄRNÖSAND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45000</v>
      </c>
      <c r="E604" s="1" t="n">
        <v>46225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45000</v>
      </c>
      <c r="E605" s="1" t="n">
        <v>46225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58869-2023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45250</v>
      </c>
      <c r="E606" s="1" t="n">
        <v>46225</v>
      </c>
      <c r="F606" t="inlineStr">
        <is>
          <t>VÄSTERNORRLANDS LÄN</t>
        </is>
      </c>
      <c r="G606" t="inlineStr">
        <is>
          <t>HÄRNÖSAND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45044</v>
      </c>
      <c r="E607" s="1" t="n">
        <v>46225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34226-2023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45126</v>
      </c>
      <c r="E608" s="1" t="n">
        <v>46225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18345-2025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45762</v>
      </c>
      <c r="E609" s="1" t="n">
        <v>46225</v>
      </c>
      <c r="F609" t="inlineStr">
        <is>
          <t>VÄSTERNORRLANDS LÄN</t>
        </is>
      </c>
      <c r="G609" t="inlineStr">
        <is>
          <t>HÄRNÖSAND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43248-2023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45180</v>
      </c>
      <c r="E610" s="1" t="n">
        <v>46225</v>
      </c>
      <c r="F610" t="inlineStr">
        <is>
          <t>VÄSTERNORRLANDS LÄN</t>
        </is>
      </c>
      <c r="G610" t="inlineStr">
        <is>
          <t>HÄRNÖSAND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45580</v>
      </c>
      <c r="E611" s="1" t="n">
        <v>46225</v>
      </c>
      <c r="F611" t="inlineStr">
        <is>
          <t>VÄSTERNORRLANDS LÄN</t>
        </is>
      </c>
      <c r="G611" t="inlineStr">
        <is>
          <t>HÄRNÖSAND</t>
        </is>
      </c>
      <c r="I611" t="n">
        <v>14.2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45147</v>
      </c>
      <c r="E612" s="1" t="n">
        <v>46225</v>
      </c>
      <c r="F612" t="inlineStr">
        <is>
          <t>VÄSTERNORRLANDS LÄN</t>
        </is>
      </c>
      <c r="G612" t="inlineStr">
        <is>
          <t>HÄRNÖSAND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59121-2023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45251</v>
      </c>
      <c r="E613" s="1" t="n">
        <v>46225</v>
      </c>
      <c r="F613" t="inlineStr">
        <is>
          <t>VÄSTERNORRLANDS LÄN</t>
        </is>
      </c>
      <c r="G613" t="inlineStr">
        <is>
          <t>HÄRNÖSAND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29255-2024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45482</v>
      </c>
      <c r="E614" s="1" t="n">
        <v>46225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19167-2025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45769</v>
      </c>
      <c r="E615" s="1" t="n">
        <v>46225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61337-2024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46225</v>
      </c>
      <c r="F616" t="inlineStr">
        <is>
          <t>VÄSTERNORRLANDS LÄN</t>
        </is>
      </c>
      <c r="G616" t="inlineStr">
        <is>
          <t>HÄRNÖSAND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45107</v>
      </c>
      <c r="E617" s="1" t="n">
        <v>46225</v>
      </c>
      <c r="F617" t="inlineStr">
        <is>
          <t>VÄSTERNORRLANDS LÄN</t>
        </is>
      </c>
      <c r="G617" t="inlineStr">
        <is>
          <t>HÄRNÖSAND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11045-2025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45723</v>
      </c>
      <c r="E618" s="1" t="n">
        <v>46225</v>
      </c>
      <c r="F618" t="inlineStr">
        <is>
          <t>VÄSTERNORRLANDS LÄN</t>
        </is>
      </c>
      <c r="G618" t="inlineStr">
        <is>
          <t>HÄRNÖSAND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29104-2023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45097</v>
      </c>
      <c r="E619" s="1" t="n">
        <v>46225</v>
      </c>
      <c r="F619" t="inlineStr">
        <is>
          <t>VÄSTERNORRLANDS LÄN</t>
        </is>
      </c>
      <c r="G619" t="inlineStr">
        <is>
          <t>HÄRNÖSAND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48047-2022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44855</v>
      </c>
      <c r="E620" s="1" t="n">
        <v>46225</v>
      </c>
      <c r="F620" t="inlineStr">
        <is>
          <t>VÄSTERNORRLANDS LÄN</t>
        </is>
      </c>
      <c r="G620" t="inlineStr">
        <is>
          <t>HÄRNÖSAND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46225</v>
      </c>
      <c r="F621" t="inlineStr">
        <is>
          <t>VÄSTERNORRLANDS LÄN</t>
        </is>
      </c>
      <c r="G621" t="inlineStr">
        <is>
          <t>HÄRNÖSAND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46225</v>
      </c>
      <c r="F622" t="inlineStr">
        <is>
          <t>VÄSTERNORRLANDS LÄN</t>
        </is>
      </c>
      <c r="G622" t="inlineStr">
        <is>
          <t>HÄRNÖSAND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45500-2024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45578</v>
      </c>
      <c r="E623" s="1" t="n">
        <v>46225</v>
      </c>
      <c r="F623" t="inlineStr">
        <is>
          <t>VÄSTERNORRLANDS LÄN</t>
        </is>
      </c>
      <c r="G623" t="inlineStr">
        <is>
          <t>HÄRNÖSAND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45578</v>
      </c>
      <c r="E624" s="1" t="n">
        <v>46225</v>
      </c>
      <c r="F624" t="inlineStr">
        <is>
          <t>VÄSTERNORRLANDS LÄN</t>
        </is>
      </c>
      <c r="G624" t="inlineStr">
        <is>
          <t>HÄRNÖSAND</t>
        </is>
      </c>
      <c r="I624" t="n">
        <v>10.3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3897-2023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44951</v>
      </c>
      <c r="E625" s="1" t="n">
        <v>46225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45531</v>
      </c>
      <c r="E626" s="1" t="n">
        <v>46225</v>
      </c>
      <c r="F626" t="inlineStr">
        <is>
          <t>VÄSTERNORRLANDS LÄN</t>
        </is>
      </c>
      <c r="G626" t="inlineStr">
        <is>
          <t>HÄRNÖSAND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32418-2024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45512</v>
      </c>
      <c r="E627" s="1" t="n">
        <v>46225</v>
      </c>
      <c r="F627" t="inlineStr">
        <is>
          <t>VÄSTERNORRLANDS LÄN</t>
        </is>
      </c>
      <c r="G627" t="inlineStr">
        <is>
          <t>HÄRNÖSAND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51001-2022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44867</v>
      </c>
      <c r="E628" s="1" t="n">
        <v>46225</v>
      </c>
      <c r="F628" t="inlineStr">
        <is>
          <t>VÄSTERNORRLANDS LÄN</t>
        </is>
      </c>
      <c r="G628" t="inlineStr">
        <is>
          <t>HÄRNÖSAND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45729</v>
      </c>
      <c r="E629" s="1" t="n">
        <v>46225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45376</v>
      </c>
      <c r="E630" s="1" t="n">
        <v>46225</v>
      </c>
      <c r="F630" t="inlineStr">
        <is>
          <t>VÄSTERNORRLANDS LÄN</t>
        </is>
      </c>
      <c r="G630" t="inlineStr">
        <is>
          <t>HÄRNÖSAND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45730</v>
      </c>
      <c r="E631" s="1" t="n">
        <v>46225</v>
      </c>
      <c r="F631" t="inlineStr">
        <is>
          <t>VÄSTERNORRLANDS LÄN</t>
        </is>
      </c>
      <c r="G631" t="inlineStr">
        <is>
          <t>HÄRNÖSAND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4147-2025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45685</v>
      </c>
      <c r="E632" s="1" t="n">
        <v>46225</v>
      </c>
      <c r="F632" t="inlineStr">
        <is>
          <t>VÄSTERNORRLANDS LÄN</t>
        </is>
      </c>
      <c r="G632" t="inlineStr">
        <is>
          <t>HÄRNÖSAND</t>
        </is>
      </c>
      <c r="I632" t="n">
        <v>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20822-2025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45776</v>
      </c>
      <c r="E633" s="1" t="n">
        <v>46225</v>
      </c>
      <c r="F633" t="inlineStr">
        <is>
          <t>VÄSTERNORRLANDS LÄN</t>
        </is>
      </c>
      <c r="G633" t="inlineStr">
        <is>
          <t>HÄRNÖSAND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45776</v>
      </c>
      <c r="E634" s="1" t="n">
        <v>46225</v>
      </c>
      <c r="F634" t="inlineStr">
        <is>
          <t>VÄSTERNORRLANDS LÄN</t>
        </is>
      </c>
      <c r="G634" t="inlineStr">
        <is>
          <t>HÄRNÖSAND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21484-2025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45782</v>
      </c>
      <c r="E635" s="1" t="n">
        <v>46225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32.1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45782</v>
      </c>
      <c r="E636" s="1" t="n">
        <v>46225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12.3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42343-2024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46225</v>
      </c>
      <c r="F637" t="inlineStr">
        <is>
          <t>VÄSTERNORRLANDS LÄN</t>
        </is>
      </c>
      <c r="G637" t="inlineStr">
        <is>
          <t>HÄRNÖSAND</t>
        </is>
      </c>
      <c r="I637" t="n">
        <v>15.6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45502-2024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45578</v>
      </c>
      <c r="E638" s="1" t="n">
        <v>46225</v>
      </c>
      <c r="F638" t="inlineStr">
        <is>
          <t>VÄSTERNORRLANDS LÄN</t>
        </is>
      </c>
      <c r="G638" t="inlineStr">
        <is>
          <t>HÄRNÖSAND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45791</v>
      </c>
      <c r="E639" s="1" t="n">
        <v>46225</v>
      </c>
      <c r="F639" t="inlineStr">
        <is>
          <t>VÄSTERNORRLANDS LÄN</t>
        </is>
      </c>
      <c r="G639" t="inlineStr">
        <is>
          <t>HÄRNÖSAND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6831-2024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45342</v>
      </c>
      <c r="E640" s="1" t="n">
        <v>46225</v>
      </c>
      <c r="F640" t="inlineStr">
        <is>
          <t>VÄSTERNORRLANDS LÄN</t>
        </is>
      </c>
      <c r="G640" t="inlineStr">
        <is>
          <t>HÄRNÖSAND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44590-2024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45574</v>
      </c>
      <c r="E641" s="1" t="n">
        <v>46225</v>
      </c>
      <c r="F641" t="inlineStr">
        <is>
          <t>VÄSTERNORRLANDS LÄN</t>
        </is>
      </c>
      <c r="G641" t="inlineStr">
        <is>
          <t>HÄRNÖSAND</t>
        </is>
      </c>
      <c r="I641" t="n">
        <v>11.9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45433</v>
      </c>
      <c r="E642" s="1" t="n">
        <v>46225</v>
      </c>
      <c r="F642" t="inlineStr">
        <is>
          <t>VÄSTERNORRLANDS LÄN</t>
        </is>
      </c>
      <c r="G642" t="inlineStr">
        <is>
          <t>HÄRNÖSAND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46225</v>
      </c>
      <c r="F643" t="inlineStr">
        <is>
          <t>VÄSTERNORRLANDS LÄN</t>
        </is>
      </c>
      <c r="G643" t="inlineStr">
        <is>
          <t>HÄRNÖSAND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1088-2022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44571</v>
      </c>
      <c r="E644" s="1" t="n">
        <v>46225</v>
      </c>
      <c r="F644" t="inlineStr">
        <is>
          <t>VÄSTERNORRLANDS LÄN</t>
        </is>
      </c>
      <c r="G644" t="inlineStr">
        <is>
          <t>HÄRNÖSAND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46225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23825-2025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45793</v>
      </c>
      <c r="E646" s="1" t="n">
        <v>46225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45266</v>
      </c>
      <c r="E647" s="1" t="n">
        <v>46225</v>
      </c>
      <c r="F647" t="inlineStr">
        <is>
          <t>VÄSTERNORRLANDS LÄN</t>
        </is>
      </c>
      <c r="G647" t="inlineStr">
        <is>
          <t>HÄRNÖSAND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45516</v>
      </c>
      <c r="E648" s="1" t="n">
        <v>46225</v>
      </c>
      <c r="F648" t="inlineStr">
        <is>
          <t>VÄSTERNORRLANDS LÄN</t>
        </is>
      </c>
      <c r="G648" t="inlineStr">
        <is>
          <t>HÄRNÖSAND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34745-2023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45139</v>
      </c>
      <c r="E649" s="1" t="n">
        <v>46225</v>
      </c>
      <c r="F649" t="inlineStr">
        <is>
          <t>VÄSTERNORRLANDS LÄN</t>
        </is>
      </c>
      <c r="G649" t="inlineStr">
        <is>
          <t>HÄRNÖSAND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55583-2021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44475</v>
      </c>
      <c r="E650" s="1" t="n">
        <v>46225</v>
      </c>
      <c r="F650" t="inlineStr">
        <is>
          <t>VÄSTERNORRLANDS LÄN</t>
        </is>
      </c>
      <c r="G650" t="inlineStr">
        <is>
          <t>HÄRNÖSAND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46225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46225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46225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46225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46225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46225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46225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46225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46225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2026-07-22T01:37:23Z</dcterms:created>
  <dcterms:modified xmlns:dcterms="http://purl.org/dc/terms/" xmlns:xsi="http://www.w3.org/2001/XMLSchema-instance" xsi:type="dcterms:W3CDTF">2026-07-22T01:37:24Z</dcterms:modified>
</cp:coreProperties>
</file>