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34141-2025</t>
        </is>
      </c>
      <c r="B2" s="1" t="n">
        <v>45845.55247685185</v>
      </c>
      <c r="C2" s="1" t="n">
        <v>45996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5.4</v>
      </c>
      <c r="H2" t="n">
        <v>5</v>
      </c>
      <c r="I2" t="n">
        <v>6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2">
        <f>HYPERLINK("https://klasma.github.io/Logging_2280/artfynd/A 34141-2025 artfynd.xlsx", "A 34141-2025")</f>
        <v/>
      </c>
      <c r="T2">
        <f>HYPERLINK("https://klasma.github.io/Logging_2280/kartor/A 34141-2025 karta.png", "A 34141-2025")</f>
        <v/>
      </c>
      <c r="V2">
        <f>HYPERLINK("https://klasma.github.io/Logging_2280/klagomål/A 34141-2025 FSC-klagomål.docx", "A 34141-2025")</f>
        <v/>
      </c>
      <c r="W2">
        <f>HYPERLINK("https://klasma.github.io/Logging_2280/klagomålsmail/A 34141-2025 FSC-klagomål mail.docx", "A 34141-2025")</f>
        <v/>
      </c>
      <c r="X2">
        <f>HYPERLINK("https://klasma.github.io/Logging_2280/tillsyn/A 34141-2025 tillsynsbegäran.docx", "A 34141-2025")</f>
        <v/>
      </c>
      <c r="Y2">
        <f>HYPERLINK("https://klasma.github.io/Logging_2280/tillsynsmail/A 34141-2025 tillsynsbegäran mail.docx", "A 34141-2025")</f>
        <v/>
      </c>
      <c r="Z2">
        <f>HYPERLINK("https://klasma.github.io/Logging_2280/fåglar/A 34141-2025 prioriterade fågelarter.docx", "A 34141-2025")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45996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45996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45996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Leptoporus mollis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45996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45996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45996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45996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34546-2025</t>
        </is>
      </c>
      <c r="B10" s="1" t="n">
        <v>45847.54039351852</v>
      </c>
      <c r="C10" s="1" t="n">
        <v>45996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Kyrkan</t>
        </is>
      </c>
      <c r="G10" t="n">
        <v>6.9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Rosenticka
Tretåig hackspett
Ullticka
Fjällig taggsvamp s.str.
Vedticka
Tjäder
Revlummer</t>
        </is>
      </c>
      <c r="S10">
        <f>HYPERLINK("https://klasma.github.io/Logging_2280/artfynd/A 34546-2025 artfynd.xlsx", "A 34546-2025")</f>
        <v/>
      </c>
      <c r="T10">
        <f>HYPERLINK("https://klasma.github.io/Logging_2280/kartor/A 34546-2025 karta.png", "A 34546-2025")</f>
        <v/>
      </c>
      <c r="V10">
        <f>HYPERLINK("https://klasma.github.io/Logging_2280/klagomål/A 34546-2025 FSC-klagomål.docx", "A 34546-2025")</f>
        <v/>
      </c>
      <c r="W10">
        <f>HYPERLINK("https://klasma.github.io/Logging_2280/klagomålsmail/A 34546-2025 FSC-klagomål mail.docx", "A 34546-2025")</f>
        <v/>
      </c>
      <c r="X10">
        <f>HYPERLINK("https://klasma.github.io/Logging_2280/tillsyn/A 34546-2025 tillsynsbegäran.docx", "A 34546-2025")</f>
        <v/>
      </c>
      <c r="Y10">
        <f>HYPERLINK("https://klasma.github.io/Logging_2280/tillsynsmail/A 34546-2025 tillsynsbegäran mail.docx", "A 34546-2025")</f>
        <v/>
      </c>
      <c r="Z10">
        <f>HYPERLINK("https://klasma.github.io/Logging_2280/fåglar/A 34546-2025 prioriterade fågelarter.docx", "A 34546-2025")</f>
        <v/>
      </c>
    </row>
    <row r="11" ht="15" customHeight="1">
      <c r="A11" t="inlineStr">
        <is>
          <t>A 29686-2024</t>
        </is>
      </c>
      <c r="B11" s="1" t="n">
        <v>45484</v>
      </c>
      <c r="C11" s="1" t="n">
        <v>45996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45996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14582-2024</t>
        </is>
      </c>
      <c r="B13" s="1" t="n">
        <v>45394</v>
      </c>
      <c r="C13" s="1" t="n">
        <v>45996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4.1</v>
      </c>
      <c r="H13" t="n">
        <v>1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Dvärgbägarlav
Garnlav
Kortskaftad ärgspik
Mörk kolflarnlav
Nordtagging
Tretåig hackspett
Ullticka
Vedflamlav
Vedskivlav</t>
        </is>
      </c>
      <c r="S13">
        <f>HYPERLINK("https://klasma.github.io/Logging_2280/artfynd/A 14582-2024 artfynd.xlsx", "A 14582-2024")</f>
        <v/>
      </c>
      <c r="T13">
        <f>HYPERLINK("https://klasma.github.io/Logging_2280/kartor/A 14582-2024 karta.png", "A 14582-2024")</f>
        <v/>
      </c>
      <c r="V13">
        <f>HYPERLINK("https://klasma.github.io/Logging_2280/klagomål/A 14582-2024 FSC-klagomål.docx", "A 14582-2024")</f>
        <v/>
      </c>
      <c r="W13">
        <f>HYPERLINK("https://klasma.github.io/Logging_2280/klagomålsmail/A 14582-2024 FSC-klagomål mail.docx", "A 14582-2024")</f>
        <v/>
      </c>
      <c r="X13">
        <f>HYPERLINK("https://klasma.github.io/Logging_2280/tillsyn/A 14582-2024 tillsynsbegäran.docx", "A 14582-2024")</f>
        <v/>
      </c>
      <c r="Y13">
        <f>HYPERLINK("https://klasma.github.io/Logging_2280/tillsynsmail/A 14582-2024 tillsynsbegäran mail.docx", "A 14582-2024")</f>
        <v/>
      </c>
      <c r="Z13">
        <f>HYPERLINK("https://klasma.github.io/Logging_2280/fåglar/A 14582-2024 prioriterade fågelarter.docx", "A 14582-2024")</f>
        <v/>
      </c>
    </row>
    <row r="14" ht="15" customHeight="1">
      <c r="A14" t="inlineStr">
        <is>
          <t>A 19977-2021</t>
        </is>
      </c>
      <c r="B14" s="1" t="n">
        <v>44313.6724537037</v>
      </c>
      <c r="C14" s="1" t="n">
        <v>45996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18695-2025</t>
        </is>
      </c>
      <c r="B15" s="1" t="n">
        <v>45763.615625</v>
      </c>
      <c r="C15" s="1" t="n">
        <v>45996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2.2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Garnlav
Ullticka
Violettgrå tagellav
Barkticka
Bårdlav
Dvärgtufs
Späd brosklav</t>
        </is>
      </c>
      <c r="S15">
        <f>HYPERLINK("https://klasma.github.io/Logging_2280/artfynd/A 18695-2025 artfynd.xlsx", "A 18695-2025")</f>
        <v/>
      </c>
      <c r="T15">
        <f>HYPERLINK("https://klasma.github.io/Logging_2280/kartor/A 18695-2025 karta.png", "A 18695-2025")</f>
        <v/>
      </c>
      <c r="V15">
        <f>HYPERLINK("https://klasma.github.io/Logging_2280/klagomål/A 18695-2025 FSC-klagomål.docx", "A 18695-2025")</f>
        <v/>
      </c>
      <c r="W15">
        <f>HYPERLINK("https://klasma.github.io/Logging_2280/klagomålsmail/A 18695-2025 FSC-klagomål mail.docx", "A 18695-2025")</f>
        <v/>
      </c>
      <c r="X15">
        <f>HYPERLINK("https://klasma.github.io/Logging_2280/tillsyn/A 18695-2025 tillsynsbegäran.docx", "A 18695-2025")</f>
        <v/>
      </c>
      <c r="Y15">
        <f>HYPERLINK("https://klasma.github.io/Logging_2280/tillsynsmail/A 18695-2025 tillsynsbegäran mail.docx", "A 18695-2025")</f>
        <v/>
      </c>
    </row>
    <row r="16" ht="15" customHeight="1">
      <c r="A16" t="inlineStr">
        <is>
          <t>A 56749-2025</t>
        </is>
      </c>
      <c r="B16" s="1" t="n">
        <v>45978.36513888889</v>
      </c>
      <c r="C16" s="1" t="n">
        <v>45996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7.8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Lappticka
Garnlav
Rosenticka
Talltita
Tretåig hackspett
Ullticka
Trådticka</t>
        </is>
      </c>
      <c r="S16">
        <f>HYPERLINK("https://klasma.github.io/Logging_2280/artfynd/A 56749-2025 artfynd.xlsx", "A 56749-2025")</f>
        <v/>
      </c>
      <c r="T16">
        <f>HYPERLINK("https://klasma.github.io/Logging_2280/kartor/A 56749-2025 karta.png", "A 56749-2025")</f>
        <v/>
      </c>
      <c r="V16">
        <f>HYPERLINK("https://klasma.github.io/Logging_2280/klagomål/A 56749-2025 FSC-klagomål.docx", "A 56749-2025")</f>
        <v/>
      </c>
      <c r="W16">
        <f>HYPERLINK("https://klasma.github.io/Logging_2280/klagomålsmail/A 56749-2025 FSC-klagomål mail.docx", "A 56749-2025")</f>
        <v/>
      </c>
      <c r="X16">
        <f>HYPERLINK("https://klasma.github.io/Logging_2280/tillsyn/A 56749-2025 tillsynsbegäran.docx", "A 56749-2025")</f>
        <v/>
      </c>
      <c r="Y16">
        <f>HYPERLINK("https://klasma.github.io/Logging_2280/tillsynsmail/A 56749-2025 tillsynsbegäran mail.docx", "A 56749-2025")</f>
        <v/>
      </c>
      <c r="Z16">
        <f>HYPERLINK("https://klasma.github.io/Logging_2280/fåglar/A 56749-2025 prioriterade fågelarter.docx", "A 56749-2025")</f>
        <v/>
      </c>
    </row>
    <row r="17" ht="15" customHeight="1">
      <c r="A17" t="inlineStr">
        <is>
          <t>A 2823-2021</t>
        </is>
      </c>
      <c r="B17" s="1" t="n">
        <v>44215</v>
      </c>
      <c r="C17" s="1" t="n">
        <v>45996</v>
      </c>
      <c r="D17" t="inlineStr">
        <is>
          <t>VÄSTERNORRLANDS LÄN</t>
        </is>
      </c>
      <c r="E17" t="inlineStr">
        <is>
          <t>HÄRNÖSAND</t>
        </is>
      </c>
      <c r="G17" t="n">
        <v>6.7</v>
      </c>
      <c r="H17" t="n">
        <v>1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6</v>
      </c>
      <c r="R17" s="2" t="inlineStr">
        <is>
          <t>Doftticka
Rynkskinn
Rosenticka
Ullticka
Vedtrappmossa
Vedticka</t>
        </is>
      </c>
      <c r="S17">
        <f>HYPERLINK("https://klasma.github.io/Logging_2280/artfynd/A 2823-2021 artfynd.xlsx", "A 2823-2021")</f>
        <v/>
      </c>
      <c r="T17">
        <f>HYPERLINK("https://klasma.github.io/Logging_2280/kartor/A 2823-2021 karta.png", "A 2823-2021")</f>
        <v/>
      </c>
      <c r="V17">
        <f>HYPERLINK("https://klasma.github.io/Logging_2280/klagomål/A 2823-2021 FSC-klagomål.docx", "A 2823-2021")</f>
        <v/>
      </c>
      <c r="W17">
        <f>HYPERLINK("https://klasma.github.io/Logging_2280/klagomålsmail/A 2823-2021 FSC-klagomål mail.docx", "A 2823-2021")</f>
        <v/>
      </c>
      <c r="X17">
        <f>HYPERLINK("https://klasma.github.io/Logging_2280/tillsyn/A 2823-2021 tillsynsbegäran.docx", "A 2823-2021")</f>
        <v/>
      </c>
      <c r="Y17">
        <f>HYPERLINK("https://klasma.github.io/Logging_2280/tillsynsmail/A 2823-2021 tillsynsbegäran mail.docx", "A 2823-2021")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45996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8412-2024</t>
        </is>
      </c>
      <c r="B19" s="1" t="n">
        <v>45352</v>
      </c>
      <c r="C19" s="1" t="n">
        <v>45996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1.6</v>
      </c>
      <c r="H19" t="n">
        <v>1</v>
      </c>
      <c r="I19" t="n">
        <v>0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5</v>
      </c>
      <c r="R19" s="2" t="inlineStr">
        <is>
          <t>Aspgelélav
Knärot
Liten aspgelélav
Hapalopilus aurantiacus
Lunglav</t>
        </is>
      </c>
      <c r="S19">
        <f>HYPERLINK("https://klasma.github.io/Logging_2280/artfynd/A 8412-2024 artfynd.xlsx", "A 8412-2024")</f>
        <v/>
      </c>
      <c r="T19">
        <f>HYPERLINK("https://klasma.github.io/Logging_2280/kartor/A 8412-2024 karta.png", "A 8412-2024")</f>
        <v/>
      </c>
      <c r="U19">
        <f>HYPERLINK("https://klasma.github.io/Logging_2280/knärot/A 8412-2024 karta knärot.png", "A 8412-2024")</f>
        <v/>
      </c>
      <c r="V19">
        <f>HYPERLINK("https://klasma.github.io/Logging_2280/klagomål/A 8412-2024 FSC-klagomål.docx", "A 8412-2024")</f>
        <v/>
      </c>
      <c r="W19">
        <f>HYPERLINK("https://klasma.github.io/Logging_2280/klagomålsmail/A 8412-2024 FSC-klagomål mail.docx", "A 8412-2024")</f>
        <v/>
      </c>
      <c r="X19">
        <f>HYPERLINK("https://klasma.github.io/Logging_2280/tillsyn/A 8412-2024 tillsynsbegäran.docx", "A 8412-2024")</f>
        <v/>
      </c>
      <c r="Y19">
        <f>HYPERLINK("https://klasma.github.io/Logging_2280/tillsynsmail/A 8412-2024 tillsynsbegäran mail.docx", "A 8412-2024")</f>
        <v/>
      </c>
    </row>
    <row r="20" ht="15" customHeight="1">
      <c r="A20" t="inlineStr">
        <is>
          <t>A 48831-2024</t>
        </is>
      </c>
      <c r="B20" s="1" t="n">
        <v>45593.7190625</v>
      </c>
      <c r="C20" s="1" t="n">
        <v>45996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7.4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Ullticka
Tvåblad
Blåsippa</t>
        </is>
      </c>
      <c r="S20">
        <f>HYPERLINK("https://klasma.github.io/Logging_2280/artfynd/A 48831-2024 artfynd.xlsx", "A 48831-2024")</f>
        <v/>
      </c>
      <c r="T20">
        <f>HYPERLINK("https://klasma.github.io/Logging_2280/kartor/A 48831-2024 karta.png", "A 48831-2024")</f>
        <v/>
      </c>
      <c r="V20">
        <f>HYPERLINK("https://klasma.github.io/Logging_2280/klagomål/A 48831-2024 FSC-klagomål.docx", "A 48831-2024")</f>
        <v/>
      </c>
      <c r="W20">
        <f>HYPERLINK("https://klasma.github.io/Logging_2280/klagomålsmail/A 48831-2024 FSC-klagomål mail.docx", "A 48831-2024")</f>
        <v/>
      </c>
      <c r="X20">
        <f>HYPERLINK("https://klasma.github.io/Logging_2280/tillsyn/A 48831-2024 tillsynsbegäran.docx", "A 48831-2024")</f>
        <v/>
      </c>
      <c r="Y20">
        <f>HYPERLINK("https://klasma.github.io/Logging_2280/tillsynsmail/A 48831-2024 tillsynsbegäran mail.docx", "A 48831-2024")</f>
        <v/>
      </c>
    </row>
    <row r="21" ht="15" customHeight="1">
      <c r="A21" t="inlineStr">
        <is>
          <t>A 4816-2024</t>
        </is>
      </c>
      <c r="B21" s="1" t="n">
        <v>45328</v>
      </c>
      <c r="C21" s="1" t="n">
        <v>45996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11.6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Granticka
Rosenticka
Tretåig hackspett
Ullticka</t>
        </is>
      </c>
      <c r="S21">
        <f>HYPERLINK("https://klasma.github.io/Logging_2280/artfynd/A 4816-2024 artfynd.xlsx", "A 4816-2024")</f>
        <v/>
      </c>
      <c r="T21">
        <f>HYPERLINK("https://klasma.github.io/Logging_2280/kartor/A 4816-2024 karta.png", "A 4816-2024")</f>
        <v/>
      </c>
      <c r="V21">
        <f>HYPERLINK("https://klasma.github.io/Logging_2280/klagomål/A 4816-2024 FSC-klagomål.docx", "A 4816-2024")</f>
        <v/>
      </c>
      <c r="W21">
        <f>HYPERLINK("https://klasma.github.io/Logging_2280/klagomålsmail/A 4816-2024 FSC-klagomål mail.docx", "A 4816-2024")</f>
        <v/>
      </c>
      <c r="X21">
        <f>HYPERLINK("https://klasma.github.io/Logging_2280/tillsyn/A 4816-2024 tillsynsbegäran.docx", "A 4816-2024")</f>
        <v/>
      </c>
      <c r="Y21">
        <f>HYPERLINK("https://klasma.github.io/Logging_2280/tillsynsmail/A 4816-2024 tillsynsbegäran mail.docx", "A 4816-2024")</f>
        <v/>
      </c>
      <c r="Z21">
        <f>HYPERLINK("https://klasma.github.io/Logging_2280/fåglar/A 4816-2024 prioriterade fågelarter.docx", "A 4816-2024")</f>
        <v/>
      </c>
    </row>
    <row r="22" ht="15" customHeight="1">
      <c r="A22" t="inlineStr">
        <is>
          <t>A 39049-2024</t>
        </is>
      </c>
      <c r="B22" s="1" t="n">
        <v>45548.48994212963</v>
      </c>
      <c r="C22" s="1" t="n">
        <v>45996</v>
      </c>
      <c r="D22" t="inlineStr">
        <is>
          <t>VÄSTERNORRLANDS LÄN</t>
        </is>
      </c>
      <c r="E22" t="inlineStr">
        <is>
          <t>HÄRNÖSAND</t>
        </is>
      </c>
      <c r="G22" t="n">
        <v>12.5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Gränsticka
Leptoporus mollis
Ullticka
Vedticka</t>
        </is>
      </c>
      <c r="S22">
        <f>HYPERLINK("https://klasma.github.io/Logging_2280/artfynd/A 39049-2024 artfynd.xlsx", "A 39049-2024")</f>
        <v/>
      </c>
      <c r="T22">
        <f>HYPERLINK("https://klasma.github.io/Logging_2280/kartor/A 39049-2024 karta.png", "A 39049-2024")</f>
        <v/>
      </c>
      <c r="V22">
        <f>HYPERLINK("https://klasma.github.io/Logging_2280/klagomål/A 39049-2024 FSC-klagomål.docx", "A 39049-2024")</f>
        <v/>
      </c>
      <c r="W22">
        <f>HYPERLINK("https://klasma.github.io/Logging_2280/klagomålsmail/A 39049-2024 FSC-klagomål mail.docx", "A 39049-2024")</f>
        <v/>
      </c>
      <c r="X22">
        <f>HYPERLINK("https://klasma.github.io/Logging_2280/tillsyn/A 39049-2024 tillsynsbegäran.docx", "A 39049-2024")</f>
        <v/>
      </c>
      <c r="Y22">
        <f>HYPERLINK("https://klasma.github.io/Logging_2280/tillsynsmail/A 39049-2024 tillsynsbegäran mail.docx", "A 39049-2024")</f>
        <v/>
      </c>
    </row>
    <row r="23" ht="15" customHeight="1">
      <c r="A23" t="inlineStr">
        <is>
          <t>A 11973-2024</t>
        </is>
      </c>
      <c r="B23" s="1" t="n">
        <v>45376</v>
      </c>
      <c r="C23" s="1" t="n">
        <v>45996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Lunglav
Violettgrå tagellav
Skinnlav</t>
        </is>
      </c>
      <c r="S23">
        <f>HYPERLINK("https://klasma.github.io/Logging_2280/artfynd/A 11973-2024 artfynd.xlsx", "A 11973-2024")</f>
        <v/>
      </c>
      <c r="T23">
        <f>HYPERLINK("https://klasma.github.io/Logging_2280/kartor/A 11973-2024 karta.png", "A 11973-2024")</f>
        <v/>
      </c>
      <c r="V23">
        <f>HYPERLINK("https://klasma.github.io/Logging_2280/klagomål/A 11973-2024 FSC-klagomål.docx", "A 11973-2024")</f>
        <v/>
      </c>
      <c r="W23">
        <f>HYPERLINK("https://klasma.github.io/Logging_2280/klagomålsmail/A 11973-2024 FSC-klagomål mail.docx", "A 11973-2024")</f>
        <v/>
      </c>
      <c r="X23">
        <f>HYPERLINK("https://klasma.github.io/Logging_2280/tillsyn/A 11973-2024 tillsynsbegäran.docx", "A 11973-2024")</f>
        <v/>
      </c>
      <c r="Y23">
        <f>HYPERLINK("https://klasma.github.io/Logging_2280/tillsynsmail/A 11973-2024 tillsynsbegäran mail.docx", "A 11973-2024")</f>
        <v/>
      </c>
    </row>
    <row r="24" ht="15" customHeight="1">
      <c r="A24" t="inlineStr">
        <is>
          <t>A 5881-2024</t>
        </is>
      </c>
      <c r="B24" s="1" t="n">
        <v>45335</v>
      </c>
      <c r="C24" s="1" t="n">
        <v>45996</v>
      </c>
      <c r="D24" t="inlineStr">
        <is>
          <t>VÄSTERNORRLANDS LÄN</t>
        </is>
      </c>
      <c r="E24" t="inlineStr">
        <is>
          <t>HÄRNÖSAND</t>
        </is>
      </c>
      <c r="G24" t="n">
        <v>22.9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Rosenticka
Ullticka
Dropptaggsvamp</t>
        </is>
      </c>
      <c r="S24">
        <f>HYPERLINK("https://klasma.github.io/Logging_2280/artfynd/A 5881-2024 artfynd.xlsx", "A 5881-2024")</f>
        <v/>
      </c>
      <c r="T24">
        <f>HYPERLINK("https://klasma.github.io/Logging_2280/kartor/A 5881-2024 karta.png", "A 5881-2024")</f>
        <v/>
      </c>
      <c r="V24">
        <f>HYPERLINK("https://klasma.github.io/Logging_2280/klagomål/A 5881-2024 FSC-klagomål.docx", "A 5881-2024")</f>
        <v/>
      </c>
      <c r="W24">
        <f>HYPERLINK("https://klasma.github.io/Logging_2280/klagomålsmail/A 5881-2024 FSC-klagomål mail.docx", "A 5881-2024")</f>
        <v/>
      </c>
      <c r="X24">
        <f>HYPERLINK("https://klasma.github.io/Logging_2280/tillsyn/A 5881-2024 tillsynsbegäran.docx", "A 5881-2024")</f>
        <v/>
      </c>
      <c r="Y24">
        <f>HYPERLINK("https://klasma.github.io/Logging_2280/tillsynsmail/A 5881-2024 tillsynsbegäran mail.docx", "A 5881-2024")</f>
        <v/>
      </c>
    </row>
    <row r="25" ht="15" customHeight="1">
      <c r="A25" t="inlineStr">
        <is>
          <t>A 44917-2024</t>
        </is>
      </c>
      <c r="B25" s="1" t="n">
        <v>45575.40046296296</v>
      </c>
      <c r="C25" s="1" t="n">
        <v>45996</v>
      </c>
      <c r="D25" t="inlineStr">
        <is>
          <t>VÄSTERNORRLANDS LÄN</t>
        </is>
      </c>
      <c r="E25" t="inlineStr">
        <is>
          <t>HÄRNÖSAND</t>
        </is>
      </c>
      <c r="G25" t="n">
        <v>10.8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Ullticka
Stor aspticka
Vedticka</t>
        </is>
      </c>
      <c r="S25">
        <f>HYPERLINK("https://klasma.github.io/Logging_2280/artfynd/A 44917-2024 artfynd.xlsx", "A 44917-2024")</f>
        <v/>
      </c>
      <c r="T25">
        <f>HYPERLINK("https://klasma.github.io/Logging_2280/kartor/A 44917-2024 karta.png", "A 44917-2024")</f>
        <v/>
      </c>
      <c r="V25">
        <f>HYPERLINK("https://klasma.github.io/Logging_2280/klagomål/A 44917-2024 FSC-klagomål.docx", "A 44917-2024")</f>
        <v/>
      </c>
      <c r="W25">
        <f>HYPERLINK("https://klasma.github.io/Logging_2280/klagomålsmail/A 44917-2024 FSC-klagomål mail.docx", "A 44917-2024")</f>
        <v/>
      </c>
      <c r="X25">
        <f>HYPERLINK("https://klasma.github.io/Logging_2280/tillsyn/A 44917-2024 tillsynsbegäran.docx", "A 44917-2024")</f>
        <v/>
      </c>
      <c r="Y25">
        <f>HYPERLINK("https://klasma.github.io/Logging_2280/tillsynsmail/A 44917-2024 tillsynsbegäran mail.docx", "A 44917-2024")</f>
        <v/>
      </c>
    </row>
    <row r="26" ht="15" customHeight="1">
      <c r="A26" t="inlineStr">
        <is>
          <t>A 34647-2025</t>
        </is>
      </c>
      <c r="B26" s="1" t="n">
        <v>45848.34471064815</v>
      </c>
      <c r="C26" s="1" t="n">
        <v>45996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4.7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Korallblylav</t>
        </is>
      </c>
      <c r="S26">
        <f>HYPERLINK("https://klasma.github.io/Logging_2280/artfynd/A 34647-2025 artfynd.xlsx", "A 34647-2025")</f>
        <v/>
      </c>
      <c r="T26">
        <f>HYPERLINK("https://klasma.github.io/Logging_2280/kartor/A 34647-2025 karta.png", "A 34647-2025")</f>
        <v/>
      </c>
      <c r="V26">
        <f>HYPERLINK("https://klasma.github.io/Logging_2280/klagomål/A 34647-2025 FSC-klagomål.docx", "A 34647-2025")</f>
        <v/>
      </c>
      <c r="W26">
        <f>HYPERLINK("https://klasma.github.io/Logging_2280/klagomålsmail/A 34647-2025 FSC-klagomål mail.docx", "A 34647-2025")</f>
        <v/>
      </c>
      <c r="X26">
        <f>HYPERLINK("https://klasma.github.io/Logging_2280/tillsyn/A 34647-2025 tillsynsbegäran.docx", "A 34647-2025")</f>
        <v/>
      </c>
      <c r="Y26">
        <f>HYPERLINK("https://klasma.github.io/Logging_2280/tillsynsmail/A 34647-2025 tillsynsbegäran mail.docx", "A 34647-2025")</f>
        <v/>
      </c>
    </row>
    <row r="27" ht="15" customHeight="1">
      <c r="A27" t="inlineStr">
        <is>
          <t>A 41592-2024</t>
        </is>
      </c>
      <c r="B27" s="1" t="n">
        <v>45560</v>
      </c>
      <c r="C27" s="1" t="n">
        <v>45996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6.8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Ullticka
Vedflamlav
Stuplav</t>
        </is>
      </c>
      <c r="S27">
        <f>HYPERLINK("https://klasma.github.io/Logging_2280/artfynd/A 41592-2024 artfynd.xlsx", "A 41592-2024")</f>
        <v/>
      </c>
      <c r="T27">
        <f>HYPERLINK("https://klasma.github.io/Logging_2280/kartor/A 41592-2024 karta.png", "A 41592-2024")</f>
        <v/>
      </c>
      <c r="V27">
        <f>HYPERLINK("https://klasma.github.io/Logging_2280/klagomål/A 41592-2024 FSC-klagomål.docx", "A 41592-2024")</f>
        <v/>
      </c>
      <c r="W27">
        <f>HYPERLINK("https://klasma.github.io/Logging_2280/klagomålsmail/A 41592-2024 FSC-klagomål mail.docx", "A 41592-2024")</f>
        <v/>
      </c>
      <c r="X27">
        <f>HYPERLINK("https://klasma.github.io/Logging_2280/tillsyn/A 41592-2024 tillsynsbegäran.docx", "A 41592-2024")</f>
        <v/>
      </c>
      <c r="Y27">
        <f>HYPERLINK("https://klasma.github.io/Logging_2280/tillsynsmail/A 41592-2024 tillsynsbegäran mail.docx", "A 41592-2024")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45996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48667-2024</t>
        </is>
      </c>
      <c r="B29" s="1" t="n">
        <v>45593.49023148148</v>
      </c>
      <c r="C29" s="1" t="n">
        <v>45996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Gränsticka
Kattfotslav
Skinnlav
Vedticka</t>
        </is>
      </c>
      <c r="S29">
        <f>HYPERLINK("https://klasma.github.io/Logging_2280/artfynd/A 48667-2024 artfynd.xlsx", "A 48667-2024")</f>
        <v/>
      </c>
      <c r="T29">
        <f>HYPERLINK("https://klasma.github.io/Logging_2280/kartor/A 48667-2024 karta.png", "A 48667-2024")</f>
        <v/>
      </c>
      <c r="V29">
        <f>HYPERLINK("https://klasma.github.io/Logging_2280/klagomål/A 48667-2024 FSC-klagomål.docx", "A 48667-2024")</f>
        <v/>
      </c>
      <c r="W29">
        <f>HYPERLINK("https://klasma.github.io/Logging_2280/klagomålsmail/A 48667-2024 FSC-klagomål mail.docx", "A 48667-2024")</f>
        <v/>
      </c>
      <c r="X29">
        <f>HYPERLINK("https://klasma.github.io/Logging_2280/tillsyn/A 48667-2024 tillsynsbegäran.docx", "A 48667-2024")</f>
        <v/>
      </c>
      <c r="Y29">
        <f>HYPERLINK("https://klasma.github.io/Logging_2280/tillsynsmail/A 48667-2024 tillsynsbegäran mail.docx", "A 48667-2024")</f>
        <v/>
      </c>
    </row>
    <row r="30" ht="15" customHeight="1">
      <c r="A30" t="inlineStr">
        <is>
          <t>A 55337-2025</t>
        </is>
      </c>
      <c r="B30" s="1" t="n">
        <v>45971.34467592592</v>
      </c>
      <c r="C30" s="1" t="n">
        <v>45996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2.9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Lunglav
Korallblylav
Skinnlav</t>
        </is>
      </c>
      <c r="S30">
        <f>HYPERLINK("https://klasma.github.io/Logging_2280/artfynd/A 55337-2025 artfynd.xlsx", "A 55337-2025")</f>
        <v/>
      </c>
      <c r="T30">
        <f>HYPERLINK("https://klasma.github.io/Logging_2280/kartor/A 55337-2025 karta.png", "A 55337-2025")</f>
        <v/>
      </c>
      <c r="V30">
        <f>HYPERLINK("https://klasma.github.io/Logging_2280/klagomål/A 55337-2025 FSC-klagomål.docx", "A 55337-2025")</f>
        <v/>
      </c>
      <c r="W30">
        <f>HYPERLINK("https://klasma.github.io/Logging_2280/klagomålsmail/A 55337-2025 FSC-klagomål mail.docx", "A 55337-2025")</f>
        <v/>
      </c>
      <c r="X30">
        <f>HYPERLINK("https://klasma.github.io/Logging_2280/tillsyn/A 55337-2025 tillsynsbegäran.docx", "A 55337-2025")</f>
        <v/>
      </c>
      <c r="Y30">
        <f>HYPERLINK("https://klasma.github.io/Logging_2280/tillsynsmail/A 55337-2025 tillsynsbegäran mail.docx", "A 55337-2025")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45996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8629-2021</t>
        </is>
      </c>
      <c r="B32" s="1" t="n">
        <v>44245</v>
      </c>
      <c r="C32" s="1" t="n">
        <v>45996</v>
      </c>
      <c r="D32" t="inlineStr">
        <is>
          <t>VÄSTERNORRLANDS LÄN</t>
        </is>
      </c>
      <c r="E32" t="inlineStr">
        <is>
          <t>HÄRNÖSAND</t>
        </is>
      </c>
      <c r="G32" t="n">
        <v>8.1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8629-2021 artfynd.xlsx", "A 8629-2021")</f>
        <v/>
      </c>
      <c r="T32">
        <f>HYPERLINK("https://klasma.github.io/Logging_2280/kartor/A 8629-2021 karta.png", "A 8629-2021")</f>
        <v/>
      </c>
      <c r="V32">
        <f>HYPERLINK("https://klasma.github.io/Logging_2280/klagomål/A 8629-2021 FSC-klagomål.docx", "A 8629-2021")</f>
        <v/>
      </c>
      <c r="W32">
        <f>HYPERLINK("https://klasma.github.io/Logging_2280/klagomålsmail/A 8629-2021 FSC-klagomål mail.docx", "A 8629-2021")</f>
        <v/>
      </c>
      <c r="X32">
        <f>HYPERLINK("https://klasma.github.io/Logging_2280/tillsyn/A 8629-2021 tillsynsbegäran.docx", "A 8629-2021")</f>
        <v/>
      </c>
      <c r="Y32">
        <f>HYPERLINK("https://klasma.github.io/Logging_2280/tillsynsmail/A 8629-2021 tillsynsbegäran mail.docx", "A 8629-2021")</f>
        <v/>
      </c>
    </row>
    <row r="33" ht="15" customHeight="1">
      <c r="A33" t="inlineStr">
        <is>
          <t>A 49675-2024</t>
        </is>
      </c>
      <c r="B33" s="1" t="n">
        <v>45596.66052083333</v>
      </c>
      <c r="C33" s="1" t="n">
        <v>45996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7.2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Lappticka
Garnlav
Rosenticka</t>
        </is>
      </c>
      <c r="S33">
        <f>HYPERLINK("https://klasma.github.io/Logging_2280/artfynd/A 49675-2024 artfynd.xlsx", "A 49675-2024")</f>
        <v/>
      </c>
      <c r="T33">
        <f>HYPERLINK("https://klasma.github.io/Logging_2280/kartor/A 49675-2024 karta.png", "A 49675-2024")</f>
        <v/>
      </c>
      <c r="V33">
        <f>HYPERLINK("https://klasma.github.io/Logging_2280/klagomål/A 49675-2024 FSC-klagomål.docx", "A 49675-2024")</f>
        <v/>
      </c>
      <c r="W33">
        <f>HYPERLINK("https://klasma.github.io/Logging_2280/klagomålsmail/A 49675-2024 FSC-klagomål mail.docx", "A 49675-2024")</f>
        <v/>
      </c>
      <c r="X33">
        <f>HYPERLINK("https://klasma.github.io/Logging_2280/tillsyn/A 49675-2024 tillsynsbegäran.docx", "A 49675-2024")</f>
        <v/>
      </c>
      <c r="Y33">
        <f>HYPERLINK("https://klasma.github.io/Logging_2280/tillsynsmail/A 49675-2024 tillsynsbegäran mail.docx", "A 49675-2024")</f>
        <v/>
      </c>
    </row>
    <row r="34" ht="15" customHeight="1">
      <c r="A34" t="inlineStr">
        <is>
          <t>A 16182-2023</t>
        </is>
      </c>
      <c r="B34" s="1" t="n">
        <v>45027</v>
      </c>
      <c r="C34" s="1" t="n">
        <v>45996</v>
      </c>
      <c r="D34" t="inlineStr">
        <is>
          <t>VÄSTERNORRLANDS LÄN</t>
        </is>
      </c>
      <c r="E34" t="inlineStr">
        <is>
          <t>HÄRNÖSAND</t>
        </is>
      </c>
      <c r="G34" t="n">
        <v>16.4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Lunglav
Violettgrå tagellav</t>
        </is>
      </c>
      <c r="S34">
        <f>HYPERLINK("https://klasma.github.io/Logging_2280/artfynd/A 16182-2023 artfynd.xlsx", "A 16182-2023")</f>
        <v/>
      </c>
      <c r="T34">
        <f>HYPERLINK("https://klasma.github.io/Logging_2280/kartor/A 16182-2023 karta.png", "A 16182-2023")</f>
        <v/>
      </c>
      <c r="V34">
        <f>HYPERLINK("https://klasma.github.io/Logging_2280/klagomål/A 16182-2023 FSC-klagomål.docx", "A 16182-2023")</f>
        <v/>
      </c>
      <c r="W34">
        <f>HYPERLINK("https://klasma.github.io/Logging_2280/klagomålsmail/A 16182-2023 FSC-klagomål mail.docx", "A 16182-2023")</f>
        <v/>
      </c>
      <c r="X34">
        <f>HYPERLINK("https://klasma.github.io/Logging_2280/tillsyn/A 16182-2023 tillsynsbegäran.docx", "A 16182-2023")</f>
        <v/>
      </c>
      <c r="Y34">
        <f>HYPERLINK("https://klasma.github.io/Logging_2280/tillsynsmail/A 16182-2023 tillsynsbegäran mail.docx", "A 16182-2023")</f>
        <v/>
      </c>
    </row>
    <row r="35" ht="15" customHeight="1">
      <c r="A35" t="inlineStr">
        <is>
          <t>A 43251-2025</t>
        </is>
      </c>
      <c r="B35" s="1" t="n">
        <v>45910.55276620371</v>
      </c>
      <c r="C35" s="1" t="n">
        <v>45996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4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Garnlav
Granticka</t>
        </is>
      </c>
      <c r="S35">
        <f>HYPERLINK("https://klasma.github.io/Logging_2280/artfynd/A 43251-2025 artfynd.xlsx", "A 43251-2025")</f>
        <v/>
      </c>
      <c r="T35">
        <f>HYPERLINK("https://klasma.github.io/Logging_2280/kartor/A 43251-2025 karta.png", "A 43251-2025")</f>
        <v/>
      </c>
      <c r="V35">
        <f>HYPERLINK("https://klasma.github.io/Logging_2280/klagomål/A 43251-2025 FSC-klagomål.docx", "A 43251-2025")</f>
        <v/>
      </c>
      <c r="W35">
        <f>HYPERLINK("https://klasma.github.io/Logging_2280/klagomålsmail/A 43251-2025 FSC-klagomål mail.docx", "A 43251-2025")</f>
        <v/>
      </c>
      <c r="X35">
        <f>HYPERLINK("https://klasma.github.io/Logging_2280/tillsyn/A 43251-2025 tillsynsbegäran.docx", "A 43251-2025")</f>
        <v/>
      </c>
      <c r="Y35">
        <f>HYPERLINK("https://klasma.github.io/Logging_2280/tillsynsmail/A 43251-2025 tillsynsbegäran mail.docx", "A 43251-2025")</f>
        <v/>
      </c>
    </row>
    <row r="36" ht="15" customHeight="1">
      <c r="A36" t="inlineStr">
        <is>
          <t>A 52865-2025</t>
        </is>
      </c>
      <c r="B36" s="1" t="n">
        <v>45957</v>
      </c>
      <c r="C36" s="1" t="n">
        <v>45996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Violettgrå tagellav
Nästlav</t>
        </is>
      </c>
      <c r="S36">
        <f>HYPERLINK("https://klasma.github.io/Logging_2280/artfynd/A 52865-2025 artfynd.xlsx", "A 52865-2025")</f>
        <v/>
      </c>
      <c r="T36">
        <f>HYPERLINK("https://klasma.github.io/Logging_2280/kartor/A 52865-2025 karta.png", "A 52865-2025")</f>
        <v/>
      </c>
      <c r="V36">
        <f>HYPERLINK("https://klasma.github.io/Logging_2280/klagomål/A 52865-2025 FSC-klagomål.docx", "A 52865-2025")</f>
        <v/>
      </c>
      <c r="W36">
        <f>HYPERLINK("https://klasma.github.io/Logging_2280/klagomålsmail/A 52865-2025 FSC-klagomål mail.docx", "A 52865-2025")</f>
        <v/>
      </c>
      <c r="X36">
        <f>HYPERLINK("https://klasma.github.io/Logging_2280/tillsyn/A 52865-2025 tillsynsbegäran.docx", "A 52865-2025")</f>
        <v/>
      </c>
      <c r="Y36">
        <f>HYPERLINK("https://klasma.github.io/Logging_2280/tillsynsmail/A 52865-2025 tillsynsbegäran mail.docx", "A 52865-2025")</f>
        <v/>
      </c>
    </row>
    <row r="37" ht="15" customHeight="1">
      <c r="A37" t="inlineStr">
        <is>
          <t>A 24202-2024</t>
        </is>
      </c>
      <c r="B37" s="1" t="n">
        <v>45456.9669212963</v>
      </c>
      <c r="C37" s="1" t="n">
        <v>45996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Granticka</t>
        </is>
      </c>
      <c r="S37">
        <f>HYPERLINK("https://klasma.github.io/Logging_2280/artfynd/A 24202-2024 artfynd.xlsx", "A 24202-2024")</f>
        <v/>
      </c>
      <c r="T37">
        <f>HYPERLINK("https://klasma.github.io/Logging_2280/kartor/A 24202-2024 karta.png", "A 24202-2024")</f>
        <v/>
      </c>
      <c r="V37">
        <f>HYPERLINK("https://klasma.github.io/Logging_2280/klagomål/A 24202-2024 FSC-klagomål.docx", "A 24202-2024")</f>
        <v/>
      </c>
      <c r="W37">
        <f>HYPERLINK("https://klasma.github.io/Logging_2280/klagomålsmail/A 24202-2024 FSC-klagomål mail.docx", "A 24202-2024")</f>
        <v/>
      </c>
      <c r="X37">
        <f>HYPERLINK("https://klasma.github.io/Logging_2280/tillsyn/A 24202-2024 tillsynsbegäran.docx", "A 24202-2024")</f>
        <v/>
      </c>
      <c r="Y37">
        <f>HYPERLINK("https://klasma.github.io/Logging_2280/tillsynsmail/A 24202-2024 tillsynsbegäran mail.docx", "A 24202-2024")</f>
        <v/>
      </c>
    </row>
    <row r="38" ht="15" customHeight="1">
      <c r="A38" t="inlineStr">
        <is>
          <t>A 43101-2023</t>
        </is>
      </c>
      <c r="B38" s="1" t="n">
        <v>45182</v>
      </c>
      <c r="C38" s="1" t="n">
        <v>45996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Ullticka
Vedflamlav</t>
        </is>
      </c>
      <c r="S38">
        <f>HYPERLINK("https://klasma.github.io/Logging_2280/artfynd/A 43101-2023 artfynd.xlsx", "A 43101-2023")</f>
        <v/>
      </c>
      <c r="T38">
        <f>HYPERLINK("https://klasma.github.io/Logging_2280/kartor/A 43101-2023 karta.png", "A 43101-2023")</f>
        <v/>
      </c>
      <c r="V38">
        <f>HYPERLINK("https://klasma.github.io/Logging_2280/klagomål/A 43101-2023 FSC-klagomål.docx", "A 43101-2023")</f>
        <v/>
      </c>
      <c r="W38">
        <f>HYPERLINK("https://klasma.github.io/Logging_2280/klagomålsmail/A 43101-2023 FSC-klagomål mail.docx", "A 43101-2023")</f>
        <v/>
      </c>
      <c r="X38">
        <f>HYPERLINK("https://klasma.github.io/Logging_2280/tillsyn/A 43101-2023 tillsynsbegäran.docx", "A 43101-2023")</f>
        <v/>
      </c>
      <c r="Y38">
        <f>HYPERLINK("https://klasma.github.io/Logging_2280/tillsynsmail/A 43101-2023 tillsynsbegäran mail.docx", "A 43101-2023")</f>
        <v/>
      </c>
    </row>
    <row r="39" ht="15" customHeight="1">
      <c r="A39" t="inlineStr">
        <is>
          <t>A 52727-2022</t>
        </is>
      </c>
      <c r="B39" s="1" t="n">
        <v>44874</v>
      </c>
      <c r="C39" s="1" t="n">
        <v>45996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3.4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Korallblylav
Skinnlav</t>
        </is>
      </c>
      <c r="S39">
        <f>HYPERLINK("https://klasma.github.io/Logging_2280/artfynd/A 52727-2022 artfynd.xlsx", "A 52727-2022")</f>
        <v/>
      </c>
      <c r="T39">
        <f>HYPERLINK("https://klasma.github.io/Logging_2280/kartor/A 52727-2022 karta.png", "A 52727-2022")</f>
        <v/>
      </c>
      <c r="V39">
        <f>HYPERLINK("https://klasma.github.io/Logging_2280/klagomål/A 52727-2022 FSC-klagomål.docx", "A 52727-2022")</f>
        <v/>
      </c>
      <c r="W39">
        <f>HYPERLINK("https://klasma.github.io/Logging_2280/klagomålsmail/A 52727-2022 FSC-klagomål mail.docx", "A 52727-2022")</f>
        <v/>
      </c>
      <c r="X39">
        <f>HYPERLINK("https://klasma.github.io/Logging_2280/tillsyn/A 52727-2022 tillsynsbegäran.docx", "A 52727-2022")</f>
        <v/>
      </c>
      <c r="Y39">
        <f>HYPERLINK("https://klasma.github.io/Logging_2280/tillsynsmail/A 52727-2022 tillsynsbegäran mail.docx", "A 52727-2022")</f>
        <v/>
      </c>
    </row>
    <row r="40" ht="15" customHeight="1">
      <c r="A40" t="inlineStr">
        <is>
          <t>A 44401-2023</t>
        </is>
      </c>
      <c r="B40" s="1" t="n">
        <v>45188</v>
      </c>
      <c r="C40" s="1" t="n">
        <v>45996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Ullticka</t>
        </is>
      </c>
      <c r="S40">
        <f>HYPERLINK("https://klasma.github.io/Logging_2280/artfynd/A 44401-2023 artfynd.xlsx", "A 44401-2023")</f>
        <v/>
      </c>
      <c r="T40">
        <f>HYPERLINK("https://klasma.github.io/Logging_2280/kartor/A 44401-2023 karta.png", "A 44401-2023")</f>
        <v/>
      </c>
      <c r="V40">
        <f>HYPERLINK("https://klasma.github.io/Logging_2280/klagomål/A 44401-2023 FSC-klagomål.docx", "A 44401-2023")</f>
        <v/>
      </c>
      <c r="W40">
        <f>HYPERLINK("https://klasma.github.io/Logging_2280/klagomålsmail/A 44401-2023 FSC-klagomål mail.docx", "A 44401-2023")</f>
        <v/>
      </c>
      <c r="X40">
        <f>HYPERLINK("https://klasma.github.io/Logging_2280/tillsyn/A 44401-2023 tillsynsbegäran.docx", "A 44401-2023")</f>
        <v/>
      </c>
      <c r="Y40">
        <f>HYPERLINK("https://klasma.github.io/Logging_2280/tillsynsmail/A 44401-2023 tillsynsbegäran mail.docx", "A 44401-2023")</f>
        <v/>
      </c>
      <c r="Z40">
        <f>HYPERLINK("https://klasma.github.io/Logging_2280/fåglar/A 44401-2023 prioriterade fågelarter.docx", "A 44401-2023")</f>
        <v/>
      </c>
    </row>
    <row r="41" ht="15" customHeight="1">
      <c r="A41" t="inlineStr">
        <is>
          <t>A 54552-2024</t>
        </is>
      </c>
      <c r="B41" s="1" t="n">
        <v>45617.61793981482</v>
      </c>
      <c r="C41" s="1" t="n">
        <v>45996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Rosenticka</t>
        </is>
      </c>
      <c r="S41">
        <f>HYPERLINK("https://klasma.github.io/Logging_2280/artfynd/A 54552-2024 artfynd.xlsx", "A 54552-2024")</f>
        <v/>
      </c>
      <c r="T41">
        <f>HYPERLINK("https://klasma.github.io/Logging_2280/kartor/A 54552-2024 karta.png", "A 54552-2024")</f>
        <v/>
      </c>
      <c r="V41">
        <f>HYPERLINK("https://klasma.github.io/Logging_2280/klagomål/A 54552-2024 FSC-klagomål.docx", "A 54552-2024")</f>
        <v/>
      </c>
      <c r="W41">
        <f>HYPERLINK("https://klasma.github.io/Logging_2280/klagomålsmail/A 54552-2024 FSC-klagomål mail.docx", "A 54552-2024")</f>
        <v/>
      </c>
      <c r="X41">
        <f>HYPERLINK("https://klasma.github.io/Logging_2280/tillsyn/A 54552-2024 tillsynsbegäran.docx", "A 54552-2024")</f>
        <v/>
      </c>
      <c r="Y41">
        <f>HYPERLINK("https://klasma.github.io/Logging_2280/tillsynsmail/A 54552-2024 tillsynsbegäran mail.docx", "A 54552-2024")</f>
        <v/>
      </c>
    </row>
    <row r="42" ht="15" customHeight="1">
      <c r="A42" t="inlineStr">
        <is>
          <t>A 34545-2025</t>
        </is>
      </c>
      <c r="B42" s="1" t="n">
        <v>45847.53387731482</v>
      </c>
      <c r="C42" s="1" t="n">
        <v>45996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Kyrkan</t>
        </is>
      </c>
      <c r="G42" t="n">
        <v>9.699999999999999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Tretåig hackspett
Korallblylav</t>
        </is>
      </c>
      <c r="S42">
        <f>HYPERLINK("https://klasma.github.io/Logging_2280/artfynd/A 34545-2025 artfynd.xlsx", "A 34545-2025")</f>
        <v/>
      </c>
      <c r="T42">
        <f>HYPERLINK("https://klasma.github.io/Logging_2280/kartor/A 34545-2025 karta.png", "A 34545-2025")</f>
        <v/>
      </c>
      <c r="V42">
        <f>HYPERLINK("https://klasma.github.io/Logging_2280/klagomål/A 34545-2025 FSC-klagomål.docx", "A 34545-2025")</f>
        <v/>
      </c>
      <c r="W42">
        <f>HYPERLINK("https://klasma.github.io/Logging_2280/klagomålsmail/A 34545-2025 FSC-klagomål mail.docx", "A 34545-2025")</f>
        <v/>
      </c>
      <c r="X42">
        <f>HYPERLINK("https://klasma.github.io/Logging_2280/tillsyn/A 34545-2025 tillsynsbegäran.docx", "A 34545-2025")</f>
        <v/>
      </c>
      <c r="Y42">
        <f>HYPERLINK("https://klasma.github.io/Logging_2280/tillsynsmail/A 34545-2025 tillsynsbegäran mail.docx", "A 34545-2025")</f>
        <v/>
      </c>
      <c r="Z42">
        <f>HYPERLINK("https://klasma.github.io/Logging_2280/fåglar/A 34545-2025 prioriterade fågelarter.docx", "A 34545-2025")</f>
        <v/>
      </c>
    </row>
    <row r="43" ht="15" customHeight="1">
      <c r="A43" t="inlineStr">
        <is>
          <t>A 47989-2024</t>
        </is>
      </c>
      <c r="B43" s="1" t="n">
        <v>45589.42767361111</v>
      </c>
      <c r="C43" s="1" t="n">
        <v>45996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2.3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Rosenticka
Ullticka</t>
        </is>
      </c>
      <c r="S43">
        <f>HYPERLINK("https://klasma.github.io/Logging_2280/artfynd/A 47989-2024 artfynd.xlsx", "A 47989-2024")</f>
        <v/>
      </c>
      <c r="T43">
        <f>HYPERLINK("https://klasma.github.io/Logging_2280/kartor/A 47989-2024 karta.png", "A 47989-2024")</f>
        <v/>
      </c>
      <c r="V43">
        <f>HYPERLINK("https://klasma.github.io/Logging_2280/klagomål/A 47989-2024 FSC-klagomål.docx", "A 47989-2024")</f>
        <v/>
      </c>
      <c r="W43">
        <f>HYPERLINK("https://klasma.github.io/Logging_2280/klagomålsmail/A 47989-2024 FSC-klagomål mail.docx", "A 47989-2024")</f>
        <v/>
      </c>
      <c r="X43">
        <f>HYPERLINK("https://klasma.github.io/Logging_2280/tillsyn/A 47989-2024 tillsynsbegäran.docx", "A 47989-2024")</f>
        <v/>
      </c>
      <c r="Y43">
        <f>HYPERLINK("https://klasma.github.io/Logging_2280/tillsynsmail/A 47989-2024 tillsynsbegäran mail.docx", "A 47989-2024")</f>
        <v/>
      </c>
    </row>
    <row r="44" ht="15" customHeight="1">
      <c r="A44" t="inlineStr">
        <is>
          <t>A 47711-2024</t>
        </is>
      </c>
      <c r="B44" s="1" t="n">
        <v>45588</v>
      </c>
      <c r="C44" s="1" t="n">
        <v>45996</v>
      </c>
      <c r="D44" t="inlineStr">
        <is>
          <t>VÄSTERNORRLANDS LÄN</t>
        </is>
      </c>
      <c r="E44" t="inlineStr">
        <is>
          <t>HÄRNÖSAND</t>
        </is>
      </c>
      <c r="G44" t="n">
        <v>39.5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Dropptaggsvamp</t>
        </is>
      </c>
      <c r="S44">
        <f>HYPERLINK("https://klasma.github.io/Logging_2280/artfynd/A 47711-2024 artfynd.xlsx", "A 47711-2024")</f>
        <v/>
      </c>
      <c r="T44">
        <f>HYPERLINK("https://klasma.github.io/Logging_2280/kartor/A 47711-2024 karta.png", "A 47711-2024")</f>
        <v/>
      </c>
      <c r="V44">
        <f>HYPERLINK("https://klasma.github.io/Logging_2280/klagomål/A 47711-2024 FSC-klagomål.docx", "A 47711-2024")</f>
        <v/>
      </c>
      <c r="W44">
        <f>HYPERLINK("https://klasma.github.io/Logging_2280/klagomålsmail/A 47711-2024 FSC-klagomål mail.docx", "A 47711-2024")</f>
        <v/>
      </c>
      <c r="X44">
        <f>HYPERLINK("https://klasma.github.io/Logging_2280/tillsyn/A 47711-2024 tillsynsbegäran.docx", "A 47711-2024")</f>
        <v/>
      </c>
      <c r="Y44">
        <f>HYPERLINK("https://klasma.github.io/Logging_2280/tillsynsmail/A 47711-2024 tillsynsbegäran mail.docx", "A 47711-2024")</f>
        <v/>
      </c>
    </row>
    <row r="45" ht="15" customHeight="1">
      <c r="A45" t="inlineStr">
        <is>
          <t>A 54964-2025</t>
        </is>
      </c>
      <c r="B45" s="1" t="n">
        <v>45967.4900462963</v>
      </c>
      <c r="C45" s="1" t="n">
        <v>45996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7.2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Garnlav</t>
        </is>
      </c>
      <c r="S45">
        <f>HYPERLINK("https://klasma.github.io/Logging_2280/artfynd/A 54964-2025 artfynd.xlsx", "A 54964-2025")</f>
        <v/>
      </c>
      <c r="T45">
        <f>HYPERLINK("https://klasma.github.io/Logging_2280/kartor/A 54964-2025 karta.png", "A 54964-2025")</f>
        <v/>
      </c>
      <c r="V45">
        <f>HYPERLINK("https://klasma.github.io/Logging_2280/klagomål/A 54964-2025 FSC-klagomål.docx", "A 54964-2025")</f>
        <v/>
      </c>
      <c r="W45">
        <f>HYPERLINK("https://klasma.github.io/Logging_2280/klagomålsmail/A 54964-2025 FSC-klagomål mail.docx", "A 54964-2025")</f>
        <v/>
      </c>
      <c r="X45">
        <f>HYPERLINK("https://klasma.github.io/Logging_2280/tillsyn/A 54964-2025 tillsynsbegäran.docx", "A 54964-2025")</f>
        <v/>
      </c>
      <c r="Y45">
        <f>HYPERLINK("https://klasma.github.io/Logging_2280/tillsynsmail/A 54964-2025 tillsynsbegäran mail.docx", "A 54964-2025")</f>
        <v/>
      </c>
    </row>
    <row r="46" ht="15" customHeight="1">
      <c r="A46" t="inlineStr">
        <is>
          <t>A 44901-2024</t>
        </is>
      </c>
      <c r="B46" s="1" t="n">
        <v>45575.37862268519</v>
      </c>
      <c r="C46" s="1" t="n">
        <v>45996</v>
      </c>
      <c r="D46" t="inlineStr">
        <is>
          <t>VÄSTERNORRLANDS LÄN</t>
        </is>
      </c>
      <c r="E46" t="inlineStr">
        <is>
          <t>HÄRNÖSAND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Vedticka</t>
        </is>
      </c>
      <c r="S46">
        <f>HYPERLINK("https://klasma.github.io/Logging_2280/artfynd/A 44901-2024 artfynd.xlsx", "A 44901-2024")</f>
        <v/>
      </c>
      <c r="T46">
        <f>HYPERLINK("https://klasma.github.io/Logging_2280/kartor/A 44901-2024 karta.png", "A 44901-2024")</f>
        <v/>
      </c>
      <c r="V46">
        <f>HYPERLINK("https://klasma.github.io/Logging_2280/klagomål/A 44901-2024 FSC-klagomål.docx", "A 44901-2024")</f>
        <v/>
      </c>
      <c r="W46">
        <f>HYPERLINK("https://klasma.github.io/Logging_2280/klagomålsmail/A 44901-2024 FSC-klagomål mail.docx", "A 44901-2024")</f>
        <v/>
      </c>
      <c r="X46">
        <f>HYPERLINK("https://klasma.github.io/Logging_2280/tillsyn/A 44901-2024 tillsynsbegäran.docx", "A 44901-2024")</f>
        <v/>
      </c>
      <c r="Y46">
        <f>HYPERLINK("https://klasma.github.io/Logging_2280/tillsynsmail/A 44901-2024 tillsynsbegäran mail.docx", "A 44901-2024")</f>
        <v/>
      </c>
    </row>
    <row r="47" ht="15" customHeight="1">
      <c r="A47" t="inlineStr">
        <is>
          <t>A 47485-2025</t>
        </is>
      </c>
      <c r="B47" s="1" t="n">
        <v>45930.69866898148</v>
      </c>
      <c r="C47" s="1" t="n">
        <v>45996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10.6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Vedskivlav
Tjäder</t>
        </is>
      </c>
      <c r="S47">
        <f>HYPERLINK("https://klasma.github.io/Logging_2280/artfynd/A 47485-2025 artfynd.xlsx", "A 47485-2025")</f>
        <v/>
      </c>
      <c r="T47">
        <f>HYPERLINK("https://klasma.github.io/Logging_2280/kartor/A 47485-2025 karta.png", "A 47485-2025")</f>
        <v/>
      </c>
      <c r="U47">
        <f>HYPERLINK("https://klasma.github.io/Logging_2280/knärot/A 47485-2025 karta knärot.png", "A 47485-2025")</f>
        <v/>
      </c>
      <c r="V47">
        <f>HYPERLINK("https://klasma.github.io/Logging_2280/klagomål/A 47485-2025 FSC-klagomål.docx", "A 47485-2025")</f>
        <v/>
      </c>
      <c r="W47">
        <f>HYPERLINK("https://klasma.github.io/Logging_2280/klagomålsmail/A 47485-2025 FSC-klagomål mail.docx", "A 47485-2025")</f>
        <v/>
      </c>
      <c r="X47">
        <f>HYPERLINK("https://klasma.github.io/Logging_2280/tillsyn/A 47485-2025 tillsynsbegäran.docx", "A 47485-2025")</f>
        <v/>
      </c>
      <c r="Y47">
        <f>HYPERLINK("https://klasma.github.io/Logging_2280/tillsynsmail/A 47485-2025 tillsynsbegäran mail.docx", "A 47485-2025")</f>
        <v/>
      </c>
      <c r="Z47">
        <f>HYPERLINK("https://klasma.github.io/Logging_2280/fåglar/A 47485-2025 prioriterade fågelarter.docx", "A 47485-2025")</f>
        <v/>
      </c>
    </row>
    <row r="48" ht="15" customHeight="1">
      <c r="A48" t="inlineStr">
        <is>
          <t>A 47484-2025</t>
        </is>
      </c>
      <c r="B48" s="1" t="n">
        <v>45930.6985300926</v>
      </c>
      <c r="C48" s="1" t="n">
        <v>45996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2.7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Ullticka
Vedflamlav</t>
        </is>
      </c>
      <c r="S48">
        <f>HYPERLINK("https://klasma.github.io/Logging_2280/artfynd/A 47484-2025 artfynd.xlsx", "A 47484-2025")</f>
        <v/>
      </c>
      <c r="T48">
        <f>HYPERLINK("https://klasma.github.io/Logging_2280/kartor/A 47484-2025 karta.png", "A 47484-2025")</f>
        <v/>
      </c>
      <c r="V48">
        <f>HYPERLINK("https://klasma.github.io/Logging_2280/klagomål/A 47484-2025 FSC-klagomål.docx", "A 47484-2025")</f>
        <v/>
      </c>
      <c r="W48">
        <f>HYPERLINK("https://klasma.github.io/Logging_2280/klagomålsmail/A 47484-2025 FSC-klagomål mail.docx", "A 47484-2025")</f>
        <v/>
      </c>
      <c r="X48">
        <f>HYPERLINK("https://klasma.github.io/Logging_2280/tillsyn/A 47484-2025 tillsynsbegäran.docx", "A 47484-2025")</f>
        <v/>
      </c>
      <c r="Y48">
        <f>HYPERLINK("https://klasma.github.io/Logging_2280/tillsynsmail/A 47484-2025 tillsynsbegäran mail.docx", "A 47484-2025")</f>
        <v/>
      </c>
    </row>
    <row r="49" ht="15" customHeight="1">
      <c r="A49" t="inlineStr">
        <is>
          <t>A 15846-2022</t>
        </is>
      </c>
      <c r="B49" s="1" t="n">
        <v>44664</v>
      </c>
      <c r="C49" s="1" t="n">
        <v>45996</v>
      </c>
      <c r="D49" t="inlineStr">
        <is>
          <t>VÄSTERNORRLANDS LÄN</t>
        </is>
      </c>
      <c r="E49" t="inlineStr">
        <is>
          <t>HÄRNÖSAND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HYPERLINK("https://klasma.github.io/Logging_2280/artfynd/A 15846-2022 artfynd.xlsx", "A 15846-2022")</f>
        <v/>
      </c>
      <c r="T49">
        <f>HYPERLINK("https://klasma.github.io/Logging_2280/kartor/A 15846-2022 karta.png", "A 15846-2022")</f>
        <v/>
      </c>
      <c r="V49">
        <f>HYPERLINK("https://klasma.github.io/Logging_2280/klagomål/A 15846-2022 FSC-klagomål.docx", "A 15846-2022")</f>
        <v/>
      </c>
      <c r="W49">
        <f>HYPERLINK("https://klasma.github.io/Logging_2280/klagomålsmail/A 15846-2022 FSC-klagomål mail.docx", "A 15846-2022")</f>
        <v/>
      </c>
      <c r="X49">
        <f>HYPERLINK("https://klasma.github.io/Logging_2280/tillsyn/A 15846-2022 tillsynsbegäran.docx", "A 15846-2022")</f>
        <v/>
      </c>
      <c r="Y49">
        <f>HYPERLINK("https://klasma.github.io/Logging_2280/tillsynsmail/A 15846-2022 tillsynsbegäran mail.docx", "A 15846-2022")</f>
        <v/>
      </c>
    </row>
    <row r="50" ht="15" customHeight="1">
      <c r="A50" t="inlineStr">
        <is>
          <t>A 12809-2021</t>
        </is>
      </c>
      <c r="B50" s="1" t="n">
        <v>44270</v>
      </c>
      <c r="C50" s="1" t="n">
        <v>45996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HYPERLINK("https://klasma.github.io/Logging_2280/artfynd/A 12809-2021 artfynd.xlsx", "A 12809-2021")</f>
        <v/>
      </c>
      <c r="T50">
        <f>HYPERLINK("https://klasma.github.io/Logging_2280/kartor/A 12809-2021 karta.png", "A 12809-2021")</f>
        <v/>
      </c>
      <c r="V50">
        <f>HYPERLINK("https://klasma.github.io/Logging_2280/klagomål/A 12809-2021 FSC-klagomål.docx", "A 12809-2021")</f>
        <v/>
      </c>
      <c r="W50">
        <f>HYPERLINK("https://klasma.github.io/Logging_2280/klagomålsmail/A 12809-2021 FSC-klagomål mail.docx", "A 12809-2021")</f>
        <v/>
      </c>
      <c r="X50">
        <f>HYPERLINK("https://klasma.github.io/Logging_2280/tillsyn/A 12809-2021 tillsynsbegäran.docx", "A 12809-2021")</f>
        <v/>
      </c>
      <c r="Y50">
        <f>HYPERLINK("https://klasma.github.io/Logging_2280/tillsynsmail/A 12809-2021 tillsynsbegäran mail.docx", "A 12809-2021")</f>
        <v/>
      </c>
    </row>
    <row r="51" ht="15" customHeight="1">
      <c r="A51" t="inlineStr">
        <is>
          <t>A 13984-2023</t>
        </is>
      </c>
      <c r="B51" s="1" t="n">
        <v>45008</v>
      </c>
      <c r="C51" s="1" t="n">
        <v>45996</v>
      </c>
      <c r="D51" t="inlineStr">
        <is>
          <t>VÄSTERNORRLANDS LÄN</t>
        </is>
      </c>
      <c r="E51" t="inlineStr">
        <is>
          <t>HÄRNÖSAND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HYPERLINK("https://klasma.github.io/Logging_2280/artfynd/A 13984-2023 artfynd.xlsx", "A 13984-2023")</f>
        <v/>
      </c>
      <c r="T51">
        <f>HYPERLINK("https://klasma.github.io/Logging_2280/kartor/A 13984-2023 karta.png", "A 13984-2023")</f>
        <v/>
      </c>
      <c r="V51">
        <f>HYPERLINK("https://klasma.github.io/Logging_2280/klagomål/A 13984-2023 FSC-klagomål.docx", "A 13984-2023")</f>
        <v/>
      </c>
      <c r="W51">
        <f>HYPERLINK("https://klasma.github.io/Logging_2280/klagomålsmail/A 13984-2023 FSC-klagomål mail.docx", "A 13984-2023")</f>
        <v/>
      </c>
      <c r="X51">
        <f>HYPERLINK("https://klasma.github.io/Logging_2280/tillsyn/A 13984-2023 tillsynsbegäran.docx", "A 13984-2023")</f>
        <v/>
      </c>
      <c r="Y51">
        <f>HYPERLINK("https://klasma.github.io/Logging_2280/tillsynsmail/A 13984-2023 tillsynsbegäran mail.docx", "A 13984-2023")</f>
        <v/>
      </c>
    </row>
    <row r="52" ht="15" customHeight="1">
      <c r="A52" t="inlineStr">
        <is>
          <t>A 54894-2024</t>
        </is>
      </c>
      <c r="B52" s="1" t="n">
        <v>45618.63611111111</v>
      </c>
      <c r="C52" s="1" t="n">
        <v>45996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54894-2024 artfynd.xlsx", "A 54894-2024")</f>
        <v/>
      </c>
      <c r="T52">
        <f>HYPERLINK("https://klasma.github.io/Logging_2280/kartor/A 54894-2024 karta.png", "A 54894-2024")</f>
        <v/>
      </c>
      <c r="V52">
        <f>HYPERLINK("https://klasma.github.io/Logging_2280/klagomål/A 54894-2024 FSC-klagomål.docx", "A 54894-2024")</f>
        <v/>
      </c>
      <c r="W52">
        <f>HYPERLINK("https://klasma.github.io/Logging_2280/klagomålsmail/A 54894-2024 FSC-klagomål mail.docx", "A 54894-2024")</f>
        <v/>
      </c>
      <c r="X52">
        <f>HYPERLINK("https://klasma.github.io/Logging_2280/tillsyn/A 54894-2024 tillsynsbegäran.docx", "A 54894-2024")</f>
        <v/>
      </c>
      <c r="Y52">
        <f>HYPERLINK("https://klasma.github.io/Logging_2280/tillsynsmail/A 54894-2024 tillsynsbegäran mail.docx", "A 54894-2024")</f>
        <v/>
      </c>
    </row>
    <row r="53" ht="15" customHeight="1">
      <c r="A53" t="inlineStr">
        <is>
          <t>A 8921-2024</t>
        </is>
      </c>
      <c r="B53" s="1" t="n">
        <v>45355</v>
      </c>
      <c r="C53" s="1" t="n">
        <v>45996</v>
      </c>
      <c r="D53" t="inlineStr">
        <is>
          <t>VÄSTERNORRLANDS LÄN</t>
        </is>
      </c>
      <c r="E53" t="inlineStr">
        <is>
          <t>HÄRNÖSAND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Hapalopilus aurantiacus</t>
        </is>
      </c>
      <c r="S53">
        <f>HYPERLINK("https://klasma.github.io/Logging_2280/artfynd/A 8921-2024 artfynd.xlsx", "A 8921-2024")</f>
        <v/>
      </c>
      <c r="T53">
        <f>HYPERLINK("https://klasma.github.io/Logging_2280/kartor/A 8921-2024 karta.png", "A 8921-2024")</f>
        <v/>
      </c>
      <c r="V53">
        <f>HYPERLINK("https://klasma.github.io/Logging_2280/klagomål/A 8921-2024 FSC-klagomål.docx", "A 8921-2024")</f>
        <v/>
      </c>
      <c r="W53">
        <f>HYPERLINK("https://klasma.github.io/Logging_2280/klagomålsmail/A 8921-2024 FSC-klagomål mail.docx", "A 8921-2024")</f>
        <v/>
      </c>
      <c r="X53">
        <f>HYPERLINK("https://klasma.github.io/Logging_2280/tillsyn/A 8921-2024 tillsynsbegäran.docx", "A 8921-2024")</f>
        <v/>
      </c>
      <c r="Y53">
        <f>HYPERLINK("https://klasma.github.io/Logging_2280/tillsynsmail/A 8921-2024 tillsynsbegäran mail.docx", "A 8921-2024")</f>
        <v/>
      </c>
    </row>
    <row r="54" ht="15" customHeight="1">
      <c r="A54" t="inlineStr">
        <is>
          <t>A 7853-2024</t>
        </is>
      </c>
      <c r="B54" s="1" t="n">
        <v>45350</v>
      </c>
      <c r="C54" s="1" t="n">
        <v>45996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HYPERLINK("https://klasma.github.io/Logging_2280/artfynd/A 7853-2024 artfynd.xlsx", "A 7853-2024")</f>
        <v/>
      </c>
      <c r="T54">
        <f>HYPERLINK("https://klasma.github.io/Logging_2280/kartor/A 7853-2024 karta.png", "A 7853-2024")</f>
        <v/>
      </c>
      <c r="V54">
        <f>HYPERLINK("https://klasma.github.io/Logging_2280/klagomål/A 7853-2024 FSC-klagomål.docx", "A 7853-2024")</f>
        <v/>
      </c>
      <c r="W54">
        <f>HYPERLINK("https://klasma.github.io/Logging_2280/klagomålsmail/A 7853-2024 FSC-klagomål mail.docx", "A 7853-2024")</f>
        <v/>
      </c>
      <c r="X54">
        <f>HYPERLINK("https://klasma.github.io/Logging_2280/tillsyn/A 7853-2024 tillsynsbegäran.docx", "A 7853-2024")</f>
        <v/>
      </c>
      <c r="Y54">
        <f>HYPERLINK("https://klasma.github.io/Logging_2280/tillsynsmail/A 7853-2024 tillsynsbegäran mail.docx", "A 7853-2024")</f>
        <v/>
      </c>
    </row>
    <row r="55" ht="15" customHeight="1">
      <c r="A55" t="inlineStr">
        <is>
          <t>A 62351-2023</t>
        </is>
      </c>
      <c r="B55" s="1" t="n">
        <v>45267</v>
      </c>
      <c r="C55" s="1" t="n">
        <v>45996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HYPERLINK("https://klasma.github.io/Logging_2280/artfynd/A 62351-2023 artfynd.xlsx", "A 62351-2023")</f>
        <v/>
      </c>
      <c r="T55">
        <f>HYPERLINK("https://klasma.github.io/Logging_2280/kartor/A 62351-2023 karta.png", "A 62351-2023")</f>
        <v/>
      </c>
      <c r="V55">
        <f>HYPERLINK("https://klasma.github.io/Logging_2280/klagomål/A 62351-2023 FSC-klagomål.docx", "A 62351-2023")</f>
        <v/>
      </c>
      <c r="W55">
        <f>HYPERLINK("https://klasma.github.io/Logging_2280/klagomålsmail/A 62351-2023 FSC-klagomål mail.docx", "A 62351-2023")</f>
        <v/>
      </c>
      <c r="X55">
        <f>HYPERLINK("https://klasma.github.io/Logging_2280/tillsyn/A 62351-2023 tillsynsbegäran.docx", "A 62351-2023")</f>
        <v/>
      </c>
      <c r="Y55">
        <f>HYPERLINK("https://klasma.github.io/Logging_2280/tillsynsmail/A 62351-2023 tillsynsbegäran mail.docx", "A 62351-2023")</f>
        <v/>
      </c>
    </row>
    <row r="56" ht="15" customHeight="1">
      <c r="A56" t="inlineStr">
        <is>
          <t>A 42961-2024</t>
        </is>
      </c>
      <c r="B56" s="1" t="n">
        <v>45567</v>
      </c>
      <c r="C56" s="1" t="n">
        <v>45996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11.6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42961-2024 artfynd.xlsx", "A 42961-2024")</f>
        <v/>
      </c>
      <c r="T56">
        <f>HYPERLINK("https://klasma.github.io/Logging_2280/kartor/A 42961-2024 karta.png", "A 42961-2024")</f>
        <v/>
      </c>
      <c r="V56">
        <f>HYPERLINK("https://klasma.github.io/Logging_2280/klagomål/A 42961-2024 FSC-klagomål.docx", "A 42961-2024")</f>
        <v/>
      </c>
      <c r="W56">
        <f>HYPERLINK("https://klasma.github.io/Logging_2280/klagomålsmail/A 42961-2024 FSC-klagomål mail.docx", "A 42961-2024")</f>
        <v/>
      </c>
      <c r="X56">
        <f>HYPERLINK("https://klasma.github.io/Logging_2280/tillsyn/A 42961-2024 tillsynsbegäran.docx", "A 42961-2024")</f>
        <v/>
      </c>
      <c r="Y56">
        <f>HYPERLINK("https://klasma.github.io/Logging_2280/tillsynsmail/A 42961-2024 tillsynsbegäran mail.docx", "A 42961-2024")</f>
        <v/>
      </c>
    </row>
    <row r="57" ht="15" customHeight="1">
      <c r="A57" t="inlineStr">
        <is>
          <t>A 74325-2021</t>
        </is>
      </c>
      <c r="B57" s="1" t="n">
        <v>44559</v>
      </c>
      <c r="C57" s="1" t="n">
        <v>45996</v>
      </c>
      <c r="D57" t="inlineStr">
        <is>
          <t>VÄSTERNORRLANDS LÄN</t>
        </is>
      </c>
      <c r="E57" t="inlineStr">
        <is>
          <t>HÄRNÖSAND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HYPERLINK("https://klasma.github.io/Logging_2280/artfynd/A 74325-2021 artfynd.xlsx", "A 74325-2021")</f>
        <v/>
      </c>
      <c r="T57">
        <f>HYPERLINK("https://klasma.github.io/Logging_2280/kartor/A 74325-2021 karta.png", "A 74325-2021")</f>
        <v/>
      </c>
      <c r="V57">
        <f>HYPERLINK("https://klasma.github.io/Logging_2280/klagomål/A 74325-2021 FSC-klagomål.docx", "A 74325-2021")</f>
        <v/>
      </c>
      <c r="W57">
        <f>HYPERLINK("https://klasma.github.io/Logging_2280/klagomålsmail/A 74325-2021 FSC-klagomål mail.docx", "A 74325-2021")</f>
        <v/>
      </c>
      <c r="X57">
        <f>HYPERLINK("https://klasma.github.io/Logging_2280/tillsyn/A 74325-2021 tillsynsbegäran.docx", "A 74325-2021")</f>
        <v/>
      </c>
      <c r="Y57">
        <f>HYPERLINK("https://klasma.github.io/Logging_2280/tillsynsmail/A 74325-2021 tillsynsbegäran mail.docx", "A 74325-2021")</f>
        <v/>
      </c>
    </row>
    <row r="58" ht="15" customHeight="1">
      <c r="A58" t="inlineStr">
        <is>
          <t>A 19827-2022</t>
        </is>
      </c>
      <c r="B58" s="1" t="n">
        <v>44694</v>
      </c>
      <c r="C58" s="1" t="n">
        <v>45996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19827-2022 artfynd.xlsx", "A 19827-2022")</f>
        <v/>
      </c>
      <c r="T58">
        <f>HYPERLINK("https://klasma.github.io/Logging_2280/kartor/A 19827-2022 karta.png", "A 19827-2022")</f>
        <v/>
      </c>
      <c r="V58">
        <f>HYPERLINK("https://klasma.github.io/Logging_2280/klagomål/A 19827-2022 FSC-klagomål.docx", "A 19827-2022")</f>
        <v/>
      </c>
      <c r="W58">
        <f>HYPERLINK("https://klasma.github.io/Logging_2280/klagomålsmail/A 19827-2022 FSC-klagomål mail.docx", "A 19827-2022")</f>
        <v/>
      </c>
      <c r="X58">
        <f>HYPERLINK("https://klasma.github.io/Logging_2280/tillsyn/A 19827-2022 tillsynsbegäran.docx", "A 19827-2022")</f>
        <v/>
      </c>
      <c r="Y58">
        <f>HYPERLINK("https://klasma.github.io/Logging_2280/tillsynsmail/A 19827-2022 tillsynsbegäran mail.docx", "A 19827-2022")</f>
        <v/>
      </c>
    </row>
    <row r="59" ht="15" customHeight="1">
      <c r="A59" t="inlineStr">
        <is>
          <t>A 11546-2024</t>
        </is>
      </c>
      <c r="B59" s="1" t="n">
        <v>45372</v>
      </c>
      <c r="C59" s="1" t="n">
        <v>45996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HYPERLINK("https://klasma.github.io/Logging_2280/artfynd/A 11546-2024 artfynd.xlsx", "A 11546-2024")</f>
        <v/>
      </c>
      <c r="T59">
        <f>HYPERLINK("https://klasma.github.io/Logging_2280/kartor/A 11546-2024 karta.png", "A 11546-2024")</f>
        <v/>
      </c>
      <c r="V59">
        <f>HYPERLINK("https://klasma.github.io/Logging_2280/klagomål/A 11546-2024 FSC-klagomål.docx", "A 11546-2024")</f>
        <v/>
      </c>
      <c r="W59">
        <f>HYPERLINK("https://klasma.github.io/Logging_2280/klagomålsmail/A 11546-2024 FSC-klagomål mail.docx", "A 11546-2024")</f>
        <v/>
      </c>
      <c r="X59">
        <f>HYPERLINK("https://klasma.github.io/Logging_2280/tillsyn/A 11546-2024 tillsynsbegäran.docx", "A 11546-2024")</f>
        <v/>
      </c>
      <c r="Y59">
        <f>HYPERLINK("https://klasma.github.io/Logging_2280/tillsynsmail/A 11546-2024 tillsynsbegäran mail.docx", "A 11546-2024")</f>
        <v/>
      </c>
    </row>
    <row r="60" ht="15" customHeight="1">
      <c r="A60" t="inlineStr">
        <is>
          <t>A 28512-2024</t>
        </is>
      </c>
      <c r="B60" s="1" t="n">
        <v>45477</v>
      </c>
      <c r="C60" s="1" t="n">
        <v>45996</v>
      </c>
      <c r="D60" t="inlineStr">
        <is>
          <t>VÄSTERNORRLANDS LÄN</t>
        </is>
      </c>
      <c r="E60" t="inlineStr">
        <is>
          <t>HÄRNÖSAND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Scharlakansvårskål agg.</t>
        </is>
      </c>
      <c r="S60">
        <f>HYPERLINK("https://klasma.github.io/Logging_2280/artfynd/A 28512-2024 artfynd.xlsx", "A 28512-2024")</f>
        <v/>
      </c>
      <c r="T60">
        <f>HYPERLINK("https://klasma.github.io/Logging_2280/kartor/A 28512-2024 karta.png", "A 28512-2024")</f>
        <v/>
      </c>
      <c r="V60">
        <f>HYPERLINK("https://klasma.github.io/Logging_2280/klagomål/A 28512-2024 FSC-klagomål.docx", "A 28512-2024")</f>
        <v/>
      </c>
      <c r="W60">
        <f>HYPERLINK("https://klasma.github.io/Logging_2280/klagomålsmail/A 28512-2024 FSC-klagomål mail.docx", "A 28512-2024")</f>
        <v/>
      </c>
      <c r="X60">
        <f>HYPERLINK("https://klasma.github.io/Logging_2280/tillsyn/A 28512-2024 tillsynsbegäran.docx", "A 28512-2024")</f>
        <v/>
      </c>
      <c r="Y60">
        <f>HYPERLINK("https://klasma.github.io/Logging_2280/tillsynsmail/A 28512-2024 tillsynsbegäran mail.docx", "A 28512-2024")</f>
        <v/>
      </c>
    </row>
    <row r="61" ht="15" customHeight="1">
      <c r="A61" t="inlineStr">
        <is>
          <t>A 19202-2025</t>
        </is>
      </c>
      <c r="B61" s="1" t="n">
        <v>45769.42828703704</v>
      </c>
      <c r="C61" s="1" t="n">
        <v>45996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6.1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HYPERLINK("https://klasma.github.io/Logging_2280/artfynd/A 19202-2025 artfynd.xlsx", "A 19202-2025")</f>
        <v/>
      </c>
      <c r="T61">
        <f>HYPERLINK("https://klasma.github.io/Logging_2280/kartor/A 19202-2025 karta.png", "A 19202-2025")</f>
        <v/>
      </c>
      <c r="V61">
        <f>HYPERLINK("https://klasma.github.io/Logging_2280/klagomål/A 19202-2025 FSC-klagomål.docx", "A 19202-2025")</f>
        <v/>
      </c>
      <c r="W61">
        <f>HYPERLINK("https://klasma.github.io/Logging_2280/klagomålsmail/A 19202-2025 FSC-klagomål mail.docx", "A 19202-2025")</f>
        <v/>
      </c>
      <c r="X61">
        <f>HYPERLINK("https://klasma.github.io/Logging_2280/tillsyn/A 19202-2025 tillsynsbegäran.docx", "A 19202-2025")</f>
        <v/>
      </c>
      <c r="Y61">
        <f>HYPERLINK("https://klasma.github.io/Logging_2280/tillsynsmail/A 19202-2025 tillsynsbegäran mail.docx", "A 19202-2025")</f>
        <v/>
      </c>
      <c r="Z61">
        <f>HYPERLINK("https://klasma.github.io/Logging_2280/fåglar/A 19202-2025 prioriterade fågelarter.docx", "A 19202-2025")</f>
        <v/>
      </c>
    </row>
    <row r="62" ht="15" customHeight="1">
      <c r="A62" t="inlineStr">
        <is>
          <t>A 21740-2021</t>
        </is>
      </c>
      <c r="B62" s="1" t="n">
        <v>44321</v>
      </c>
      <c r="C62" s="1" t="n">
        <v>45996</v>
      </c>
      <c r="D62" t="inlineStr">
        <is>
          <t>VÄSTERNORRLANDS LÄN</t>
        </is>
      </c>
      <c r="E62" t="inlineStr">
        <is>
          <t>HÄRNÖSAND</t>
        </is>
      </c>
      <c r="G62" t="n">
        <v>12.2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HYPERLINK("https://klasma.github.io/Logging_2280/artfynd/A 21740-2021 artfynd.xlsx", "A 21740-2021")</f>
        <v/>
      </c>
      <c r="T62">
        <f>HYPERLINK("https://klasma.github.io/Logging_2280/kartor/A 21740-2021 karta.png", "A 21740-2021")</f>
        <v/>
      </c>
      <c r="V62">
        <f>HYPERLINK("https://klasma.github.io/Logging_2280/klagomål/A 21740-2021 FSC-klagomål.docx", "A 21740-2021")</f>
        <v/>
      </c>
      <c r="W62">
        <f>HYPERLINK("https://klasma.github.io/Logging_2280/klagomålsmail/A 21740-2021 FSC-klagomål mail.docx", "A 21740-2021")</f>
        <v/>
      </c>
      <c r="X62">
        <f>HYPERLINK("https://klasma.github.io/Logging_2280/tillsyn/A 21740-2021 tillsynsbegäran.docx", "A 21740-2021")</f>
        <v/>
      </c>
      <c r="Y62">
        <f>HYPERLINK("https://klasma.github.io/Logging_2280/tillsynsmail/A 21740-2021 tillsynsbegäran mail.docx", "A 21740-2021")</f>
        <v/>
      </c>
    </row>
    <row r="63" ht="15" customHeight="1">
      <c r="A63" t="inlineStr">
        <is>
          <t>A 34689-2024</t>
        </is>
      </c>
      <c r="B63" s="1" t="n">
        <v>45526</v>
      </c>
      <c r="C63" s="1" t="n">
        <v>45996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2.2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Rynkskinn</t>
        </is>
      </c>
      <c r="S63">
        <f>HYPERLINK("https://klasma.github.io/Logging_2280/artfynd/A 34689-2024 artfynd.xlsx", "A 34689-2024")</f>
        <v/>
      </c>
      <c r="T63">
        <f>HYPERLINK("https://klasma.github.io/Logging_2280/kartor/A 34689-2024 karta.png", "A 34689-2024")</f>
        <v/>
      </c>
      <c r="V63">
        <f>HYPERLINK("https://klasma.github.io/Logging_2280/klagomål/A 34689-2024 FSC-klagomål.docx", "A 34689-2024")</f>
        <v/>
      </c>
      <c r="W63">
        <f>HYPERLINK("https://klasma.github.io/Logging_2280/klagomålsmail/A 34689-2024 FSC-klagomål mail.docx", "A 34689-2024")</f>
        <v/>
      </c>
      <c r="X63">
        <f>HYPERLINK("https://klasma.github.io/Logging_2280/tillsyn/A 34689-2024 tillsynsbegäran.docx", "A 34689-2024")</f>
        <v/>
      </c>
      <c r="Y63">
        <f>HYPERLINK("https://klasma.github.io/Logging_2280/tillsynsmail/A 34689-2024 tillsynsbegäran mail.docx", "A 34689-2024")</f>
        <v/>
      </c>
    </row>
    <row r="64" ht="15" customHeight="1">
      <c r="A64" t="inlineStr">
        <is>
          <t>A 47988-2024</t>
        </is>
      </c>
      <c r="B64" s="1" t="n">
        <v>45589.42753472222</v>
      </c>
      <c r="C64" s="1" t="n">
        <v>45996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0.7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Spindelblomster</t>
        </is>
      </c>
      <c r="S64">
        <f>HYPERLINK("https://klasma.github.io/Logging_2280/artfynd/A 47988-2024 artfynd.xlsx", "A 47988-2024")</f>
        <v/>
      </c>
      <c r="T64">
        <f>HYPERLINK("https://klasma.github.io/Logging_2280/kartor/A 47988-2024 karta.png", "A 47988-2024")</f>
        <v/>
      </c>
      <c r="V64">
        <f>HYPERLINK("https://klasma.github.io/Logging_2280/klagomål/A 47988-2024 FSC-klagomål.docx", "A 47988-2024")</f>
        <v/>
      </c>
      <c r="W64">
        <f>HYPERLINK("https://klasma.github.io/Logging_2280/klagomålsmail/A 47988-2024 FSC-klagomål mail.docx", "A 47988-2024")</f>
        <v/>
      </c>
      <c r="X64">
        <f>HYPERLINK("https://klasma.github.io/Logging_2280/tillsyn/A 47988-2024 tillsynsbegäran.docx", "A 47988-2024")</f>
        <v/>
      </c>
      <c r="Y64">
        <f>HYPERLINK("https://klasma.github.io/Logging_2280/tillsynsmail/A 47988-2024 tillsynsbegäran mail.docx", "A 47988-2024")</f>
        <v/>
      </c>
    </row>
    <row r="65" ht="15" customHeight="1">
      <c r="A65" t="inlineStr">
        <is>
          <t>A 43541-2022</t>
        </is>
      </c>
      <c r="B65" s="1" t="n">
        <v>44837</v>
      </c>
      <c r="C65" s="1" t="n">
        <v>45996</v>
      </c>
      <c r="D65" t="inlineStr">
        <is>
          <t>VÄSTERNORRLANDS LÄN</t>
        </is>
      </c>
      <c r="E65" t="inlineStr">
        <is>
          <t>HÄRNÖSAND</t>
        </is>
      </c>
      <c r="G65" t="n">
        <v>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Sötgräs</t>
        </is>
      </c>
      <c r="S65">
        <f>HYPERLINK("https://klasma.github.io/Logging_2280/artfynd/A 43541-2022 artfynd.xlsx", "A 43541-2022")</f>
        <v/>
      </c>
      <c r="T65">
        <f>HYPERLINK("https://klasma.github.io/Logging_2280/kartor/A 43541-2022 karta.png", "A 43541-2022")</f>
        <v/>
      </c>
      <c r="V65">
        <f>HYPERLINK("https://klasma.github.io/Logging_2280/klagomål/A 43541-2022 FSC-klagomål.docx", "A 43541-2022")</f>
        <v/>
      </c>
      <c r="W65">
        <f>HYPERLINK("https://klasma.github.io/Logging_2280/klagomålsmail/A 43541-2022 FSC-klagomål mail.docx", "A 43541-2022")</f>
        <v/>
      </c>
      <c r="X65">
        <f>HYPERLINK("https://klasma.github.io/Logging_2280/tillsyn/A 43541-2022 tillsynsbegäran.docx", "A 43541-2022")</f>
        <v/>
      </c>
      <c r="Y65">
        <f>HYPERLINK("https://klasma.github.io/Logging_2280/tillsynsmail/A 43541-2022 tillsynsbegäran mail.docx", "A 43541-2022")</f>
        <v/>
      </c>
    </row>
    <row r="66" ht="15" customHeight="1">
      <c r="A66" t="inlineStr">
        <is>
          <t>A 2795-2024</t>
        </is>
      </c>
      <c r="B66" s="1" t="n">
        <v>45314</v>
      </c>
      <c r="C66" s="1" t="n">
        <v>45996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Kyrkan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HYPERLINK("https://klasma.github.io/Logging_2280/artfynd/A 2795-2024 artfynd.xlsx", "A 2795-2024")</f>
        <v/>
      </c>
      <c r="T66">
        <f>HYPERLINK("https://klasma.github.io/Logging_2280/kartor/A 2795-2024 karta.png", "A 2795-2024")</f>
        <v/>
      </c>
      <c r="V66">
        <f>HYPERLINK("https://klasma.github.io/Logging_2280/klagomål/A 2795-2024 FSC-klagomål.docx", "A 2795-2024")</f>
        <v/>
      </c>
      <c r="W66">
        <f>HYPERLINK("https://klasma.github.io/Logging_2280/klagomålsmail/A 2795-2024 FSC-klagomål mail.docx", "A 2795-2024")</f>
        <v/>
      </c>
      <c r="X66">
        <f>HYPERLINK("https://klasma.github.io/Logging_2280/tillsyn/A 2795-2024 tillsynsbegäran.docx", "A 2795-2024")</f>
        <v/>
      </c>
      <c r="Y66">
        <f>HYPERLINK("https://klasma.github.io/Logging_2280/tillsynsmail/A 2795-2024 tillsynsbegäran mail.docx", "A 2795-2024")</f>
        <v/>
      </c>
    </row>
    <row r="67" ht="15" customHeight="1">
      <c r="A67" t="inlineStr">
        <is>
          <t>A 19077-2024</t>
        </is>
      </c>
      <c r="B67" s="1" t="n">
        <v>45428</v>
      </c>
      <c r="C67" s="1" t="n">
        <v>45996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19077-2024 artfynd.xlsx", "A 19077-2024")</f>
        <v/>
      </c>
      <c r="T67">
        <f>HYPERLINK("https://klasma.github.io/Logging_2280/kartor/A 19077-2024 karta.png", "A 19077-2024")</f>
        <v/>
      </c>
      <c r="V67">
        <f>HYPERLINK("https://klasma.github.io/Logging_2280/klagomål/A 19077-2024 FSC-klagomål.docx", "A 19077-2024")</f>
        <v/>
      </c>
      <c r="W67">
        <f>HYPERLINK("https://klasma.github.io/Logging_2280/klagomålsmail/A 19077-2024 FSC-klagomål mail.docx", "A 19077-2024")</f>
        <v/>
      </c>
      <c r="X67">
        <f>HYPERLINK("https://klasma.github.io/Logging_2280/tillsyn/A 19077-2024 tillsynsbegäran.docx", "A 19077-2024")</f>
        <v/>
      </c>
      <c r="Y67">
        <f>HYPERLINK("https://klasma.github.io/Logging_2280/tillsynsmail/A 19077-2024 tillsynsbegäran mail.docx", "A 19077-2024")</f>
        <v/>
      </c>
    </row>
    <row r="68" ht="15" customHeight="1">
      <c r="A68" t="inlineStr">
        <is>
          <t>A 18694-2025</t>
        </is>
      </c>
      <c r="B68" s="1" t="n">
        <v>45763.61552083334</v>
      </c>
      <c r="C68" s="1" t="n">
        <v>45996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10.5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HYPERLINK("https://klasma.github.io/Logging_2280/artfynd/A 18694-2025 artfynd.xlsx", "A 18694-2025")</f>
        <v/>
      </c>
      <c r="T68">
        <f>HYPERLINK("https://klasma.github.io/Logging_2280/kartor/A 18694-2025 karta.png", "A 18694-2025")</f>
        <v/>
      </c>
      <c r="V68">
        <f>HYPERLINK("https://klasma.github.io/Logging_2280/klagomål/A 18694-2025 FSC-klagomål.docx", "A 18694-2025")</f>
        <v/>
      </c>
      <c r="W68">
        <f>HYPERLINK("https://klasma.github.io/Logging_2280/klagomålsmail/A 18694-2025 FSC-klagomål mail.docx", "A 18694-2025")</f>
        <v/>
      </c>
      <c r="X68">
        <f>HYPERLINK("https://klasma.github.io/Logging_2280/tillsyn/A 18694-2025 tillsynsbegäran.docx", "A 18694-2025")</f>
        <v/>
      </c>
      <c r="Y68">
        <f>HYPERLINK("https://klasma.github.io/Logging_2280/tillsynsmail/A 18694-2025 tillsynsbegäran mail.docx", "A 18694-2025")</f>
        <v/>
      </c>
      <c r="Z68">
        <f>HYPERLINK("https://klasma.github.io/Logging_2280/fåglar/A 18694-2025 prioriterade fågelarter.docx", "A 18694-2025")</f>
        <v/>
      </c>
    </row>
    <row r="69" ht="15" customHeight="1">
      <c r="A69" t="inlineStr">
        <is>
          <t>A 48670-2024</t>
        </is>
      </c>
      <c r="B69" s="1" t="n">
        <v>45593.49070601852</v>
      </c>
      <c r="C69" s="1" t="n">
        <v>45996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Spindelblomster</t>
        </is>
      </c>
      <c r="S69">
        <f>HYPERLINK("https://klasma.github.io/Logging_2280/artfynd/A 48670-2024 artfynd.xlsx", "A 48670-2024")</f>
        <v/>
      </c>
      <c r="T69">
        <f>HYPERLINK("https://klasma.github.io/Logging_2280/kartor/A 48670-2024 karta.png", "A 48670-2024")</f>
        <v/>
      </c>
      <c r="V69">
        <f>HYPERLINK("https://klasma.github.io/Logging_2280/klagomål/A 48670-2024 FSC-klagomål.docx", "A 48670-2024")</f>
        <v/>
      </c>
      <c r="W69">
        <f>HYPERLINK("https://klasma.github.io/Logging_2280/klagomålsmail/A 48670-2024 FSC-klagomål mail.docx", "A 48670-2024")</f>
        <v/>
      </c>
      <c r="X69">
        <f>HYPERLINK("https://klasma.github.io/Logging_2280/tillsyn/A 48670-2024 tillsynsbegäran.docx", "A 48670-2024")</f>
        <v/>
      </c>
      <c r="Y69">
        <f>HYPERLINK("https://klasma.github.io/Logging_2280/tillsynsmail/A 48670-2024 tillsynsbegäran mail.docx", "A 48670-2024")</f>
        <v/>
      </c>
    </row>
    <row r="70" ht="15" customHeight="1">
      <c r="A70" t="inlineStr">
        <is>
          <t>A 23825-2025</t>
        </is>
      </c>
      <c r="B70" s="1" t="n">
        <v>45793.59447916667</v>
      </c>
      <c r="C70" s="1" t="n">
        <v>45996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23825-2025 artfynd.xlsx", "A 23825-2025")</f>
        <v/>
      </c>
      <c r="T70">
        <f>HYPERLINK("https://klasma.github.io/Logging_2280/kartor/A 23825-2025 karta.png", "A 23825-2025")</f>
        <v/>
      </c>
      <c r="V70">
        <f>HYPERLINK("https://klasma.github.io/Logging_2280/klagomål/A 23825-2025 FSC-klagomål.docx", "A 23825-2025")</f>
        <v/>
      </c>
      <c r="W70">
        <f>HYPERLINK("https://klasma.github.io/Logging_2280/klagomålsmail/A 23825-2025 FSC-klagomål mail.docx", "A 23825-2025")</f>
        <v/>
      </c>
      <c r="X70">
        <f>HYPERLINK("https://klasma.github.io/Logging_2280/tillsyn/A 23825-2025 tillsynsbegäran.docx", "A 23825-2025")</f>
        <v/>
      </c>
      <c r="Y70">
        <f>HYPERLINK("https://klasma.github.io/Logging_2280/tillsynsmail/A 23825-2025 tillsynsbegäran mail.docx", "A 23825-2025")</f>
        <v/>
      </c>
    </row>
    <row r="71" ht="15" customHeight="1">
      <c r="A71" t="inlineStr">
        <is>
          <t>A 47487-2025</t>
        </is>
      </c>
      <c r="B71" s="1" t="n">
        <v>45930.69878472222</v>
      </c>
      <c r="C71" s="1" t="n">
        <v>45996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HYPERLINK("https://klasma.github.io/Logging_2280/artfynd/A 47487-2025 artfynd.xlsx", "A 47487-2025")</f>
        <v/>
      </c>
      <c r="T71">
        <f>HYPERLINK("https://klasma.github.io/Logging_2280/kartor/A 47487-2025 karta.png", "A 47487-2025")</f>
        <v/>
      </c>
      <c r="V71">
        <f>HYPERLINK("https://klasma.github.io/Logging_2280/klagomål/A 47487-2025 FSC-klagomål.docx", "A 47487-2025")</f>
        <v/>
      </c>
      <c r="W71">
        <f>HYPERLINK("https://klasma.github.io/Logging_2280/klagomålsmail/A 47487-2025 FSC-klagomål mail.docx", "A 47487-2025")</f>
        <v/>
      </c>
      <c r="X71">
        <f>HYPERLINK("https://klasma.github.io/Logging_2280/tillsyn/A 47487-2025 tillsynsbegäran.docx", "A 47487-2025")</f>
        <v/>
      </c>
      <c r="Y71">
        <f>HYPERLINK("https://klasma.github.io/Logging_2280/tillsynsmail/A 47487-2025 tillsynsbegäran mail.docx", "A 47487-2025")</f>
        <v/>
      </c>
      <c r="Z71">
        <f>HYPERLINK("https://klasma.github.io/Logging_2280/fåglar/A 47487-2025 prioriterade fågelarter.docx", "A 47487-2025")</f>
        <v/>
      </c>
    </row>
    <row r="72" ht="15" customHeight="1">
      <c r="A72" t="inlineStr">
        <is>
          <t>A 52700-2022</t>
        </is>
      </c>
      <c r="B72" s="1" t="n">
        <v>44874</v>
      </c>
      <c r="C72" s="1" t="n">
        <v>45996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45996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45996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69017-2020</t>
        </is>
      </c>
      <c r="B75" s="1" t="n">
        <v>44182</v>
      </c>
      <c r="C75" s="1" t="n">
        <v>45996</v>
      </c>
      <c r="D75" t="inlineStr">
        <is>
          <t>VÄSTERNORRLANDS LÄN</t>
        </is>
      </c>
      <c r="E75" t="inlineStr">
        <is>
          <t>HÄRNÖSAND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36810-2021</t>
        </is>
      </c>
      <c r="B76" s="1" t="n">
        <v>44392</v>
      </c>
      <c r="C76" s="1" t="n">
        <v>45996</v>
      </c>
      <c r="D76" t="inlineStr">
        <is>
          <t>VÄSTERNORRLANDS LÄN</t>
        </is>
      </c>
      <c r="E76" t="inlineStr">
        <is>
          <t>HÄRNÖSAND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11362-2021</t>
        </is>
      </c>
      <c r="B77" s="1" t="n">
        <v>44263</v>
      </c>
      <c r="C77" s="1" t="n">
        <v>45996</v>
      </c>
      <c r="D77" t="inlineStr">
        <is>
          <t>VÄSTERNORRLANDS LÄN</t>
        </is>
      </c>
      <c r="E77" t="inlineStr">
        <is>
          <t>HÄRNÖSAND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15895-2022</t>
        </is>
      </c>
      <c r="B78" s="1" t="n">
        <v>44664</v>
      </c>
      <c r="C78" s="1" t="n">
        <v>45996</v>
      </c>
      <c r="D78" t="inlineStr">
        <is>
          <t>VÄSTERNORRLANDS LÄN</t>
        </is>
      </c>
      <c r="E78" t="inlineStr">
        <is>
          <t>HÄRNÖSAND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3820-2021</t>
        </is>
      </c>
      <c r="B79" s="1" t="n">
        <v>44221</v>
      </c>
      <c r="C79" s="1" t="n">
        <v>45996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37149-2022</t>
        </is>
      </c>
      <c r="B80" s="1" t="n">
        <v>44806</v>
      </c>
      <c r="C80" s="1" t="n">
        <v>45996</v>
      </c>
      <c r="D80" t="inlineStr">
        <is>
          <t>VÄSTERNORRLANDS LÄN</t>
        </is>
      </c>
      <c r="E80" t="inlineStr">
        <is>
          <t>HÄRNÖSAND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41482-2021</t>
        </is>
      </c>
      <c r="B81" s="1" t="n">
        <v>44424.92148148148</v>
      </c>
      <c r="C81" s="1" t="n">
        <v>45996</v>
      </c>
      <c r="D81" t="inlineStr">
        <is>
          <t>VÄSTERNORRLANDS LÄN</t>
        </is>
      </c>
      <c r="E81" t="inlineStr">
        <is>
          <t>HÄRNÖSAND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26203-2021</t>
        </is>
      </c>
      <c r="B82" s="1" t="n">
        <v>44347.4090162037</v>
      </c>
      <c r="C82" s="1" t="n">
        <v>45996</v>
      </c>
      <c r="D82" t="inlineStr">
        <is>
          <t>VÄSTERNORRLANDS LÄN</t>
        </is>
      </c>
      <c r="E82" t="inlineStr">
        <is>
          <t>HÄRNÖSAND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26276-2021</t>
        </is>
      </c>
      <c r="B83" s="1" t="n">
        <v>44347</v>
      </c>
      <c r="C83" s="1" t="n">
        <v>45996</v>
      </c>
      <c r="D83" t="inlineStr">
        <is>
          <t>VÄSTERNORRLANDS LÄN</t>
        </is>
      </c>
      <c r="E83" t="inlineStr">
        <is>
          <t>HÄRNÖSAND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46045-2022</t>
        </is>
      </c>
      <c r="B84" s="1" t="n">
        <v>44846</v>
      </c>
      <c r="C84" s="1" t="n">
        <v>45996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52985-2022</t>
        </is>
      </c>
      <c r="B85" s="1" t="n">
        <v>44875.92774305555</v>
      </c>
      <c r="C85" s="1" t="n">
        <v>45996</v>
      </c>
      <c r="D85" t="inlineStr">
        <is>
          <t>VÄSTERNORRLANDS LÄN</t>
        </is>
      </c>
      <c r="E85" t="inlineStr">
        <is>
          <t>HÄRNÖSAND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69929-2021</t>
        </is>
      </c>
      <c r="B86" s="1" t="n">
        <v>44532</v>
      </c>
      <c r="C86" s="1" t="n">
        <v>45996</v>
      </c>
      <c r="D86" t="inlineStr">
        <is>
          <t>VÄSTERNORRLANDS LÄN</t>
        </is>
      </c>
      <c r="E86" t="inlineStr">
        <is>
          <t>HÄRNÖSAND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32103-2021</t>
        </is>
      </c>
      <c r="B87" s="1" t="n">
        <v>44370</v>
      </c>
      <c r="C87" s="1" t="n">
        <v>45996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56004-2021</t>
        </is>
      </c>
      <c r="B88" s="1" t="n">
        <v>44477.43289351852</v>
      </c>
      <c r="C88" s="1" t="n">
        <v>45996</v>
      </c>
      <c r="D88" t="inlineStr">
        <is>
          <t>VÄSTERNORRLANDS LÄN</t>
        </is>
      </c>
      <c r="E88" t="inlineStr">
        <is>
          <t>HÄRNÖSAND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7784-2022</t>
        </is>
      </c>
      <c r="B89" s="1" t="n">
        <v>44608</v>
      </c>
      <c r="C89" s="1" t="n">
        <v>45996</v>
      </c>
      <c r="D89" t="inlineStr">
        <is>
          <t>VÄSTERNORRLANDS LÄN</t>
        </is>
      </c>
      <c r="E89" t="inlineStr">
        <is>
          <t>HÄRNÖSAND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23381-2022</t>
        </is>
      </c>
      <c r="B90" s="1" t="n">
        <v>44720</v>
      </c>
      <c r="C90" s="1" t="n">
        <v>45996</v>
      </c>
      <c r="D90" t="inlineStr">
        <is>
          <t>VÄSTERNORRLANDS LÄN</t>
        </is>
      </c>
      <c r="E90" t="inlineStr">
        <is>
          <t>HÄRNÖSAND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6431-2022</t>
        </is>
      </c>
      <c r="B91" s="1" t="n">
        <v>44600</v>
      </c>
      <c r="C91" s="1" t="n">
        <v>45996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16974-2022</t>
        </is>
      </c>
      <c r="B92" s="1" t="n">
        <v>44676</v>
      </c>
      <c r="C92" s="1" t="n">
        <v>45996</v>
      </c>
      <c r="D92" t="inlineStr">
        <is>
          <t>VÄSTERNORRLANDS LÄN</t>
        </is>
      </c>
      <c r="E92" t="inlineStr">
        <is>
          <t>HÄRNÖSAND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41000-2022</t>
        </is>
      </c>
      <c r="B93" s="1" t="n">
        <v>44824</v>
      </c>
      <c r="C93" s="1" t="n">
        <v>45996</v>
      </c>
      <c r="D93" t="inlineStr">
        <is>
          <t>VÄSTERNORRLANDS LÄN</t>
        </is>
      </c>
      <c r="E93" t="inlineStr">
        <is>
          <t>HÄRNÖSAND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58149-2021</t>
        </is>
      </c>
      <c r="B94" s="1" t="n">
        <v>44487</v>
      </c>
      <c r="C94" s="1" t="n">
        <v>45996</v>
      </c>
      <c r="D94" t="inlineStr">
        <is>
          <t>VÄSTERNORRLANDS LÄN</t>
        </is>
      </c>
      <c r="E94" t="inlineStr">
        <is>
          <t>HÄRNÖSAND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26072-2022</t>
        </is>
      </c>
      <c r="B95" s="1" t="n">
        <v>44734</v>
      </c>
      <c r="C95" s="1" t="n">
        <v>45996</v>
      </c>
      <c r="D95" t="inlineStr">
        <is>
          <t>VÄSTERNORRLANDS LÄN</t>
        </is>
      </c>
      <c r="E95" t="inlineStr">
        <is>
          <t>HÄRNÖSAND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64933-2021</t>
        </is>
      </c>
      <c r="B96" s="1" t="n">
        <v>44512</v>
      </c>
      <c r="C96" s="1" t="n">
        <v>45996</v>
      </c>
      <c r="D96" t="inlineStr">
        <is>
          <t>VÄSTERNORRLANDS LÄN</t>
        </is>
      </c>
      <c r="E96" t="inlineStr">
        <is>
          <t>HÄRNÖSAND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38830-2022</t>
        </is>
      </c>
      <c r="B97" s="1" t="n">
        <v>44816</v>
      </c>
      <c r="C97" s="1" t="n">
        <v>45996</v>
      </c>
      <c r="D97" t="inlineStr">
        <is>
          <t>VÄSTERNORRLANDS LÄN</t>
        </is>
      </c>
      <c r="E97" t="inlineStr">
        <is>
          <t>HÄRNÖSAND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69225-2020</t>
        </is>
      </c>
      <c r="B98" s="1" t="n">
        <v>44192</v>
      </c>
      <c r="C98" s="1" t="n">
        <v>45996</v>
      </c>
      <c r="D98" t="inlineStr">
        <is>
          <t>VÄSTERNORRLANDS LÄN</t>
        </is>
      </c>
      <c r="E98" t="inlineStr">
        <is>
          <t>HÄRNÖSAND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66159-2021</t>
        </is>
      </c>
      <c r="B99" s="1" t="n">
        <v>44517</v>
      </c>
      <c r="C99" s="1" t="n">
        <v>45996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11482-2021</t>
        </is>
      </c>
      <c r="B100" s="1" t="n">
        <v>44263</v>
      </c>
      <c r="C100" s="1" t="n">
        <v>45996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33849-2021</t>
        </is>
      </c>
      <c r="B101" s="1" t="n">
        <v>44378.60858796296</v>
      </c>
      <c r="C101" s="1" t="n">
        <v>45996</v>
      </c>
      <c r="D101" t="inlineStr">
        <is>
          <t>VÄSTERNORRLANDS LÄN</t>
        </is>
      </c>
      <c r="E101" t="inlineStr">
        <is>
          <t>HÄRNÖSAND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25033-2022</t>
        </is>
      </c>
      <c r="B102" s="1" t="n">
        <v>44728.94432870371</v>
      </c>
      <c r="C102" s="1" t="n">
        <v>45996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18070-2021</t>
        </is>
      </c>
      <c r="B103" s="1" t="n">
        <v>44301</v>
      </c>
      <c r="C103" s="1" t="n">
        <v>45996</v>
      </c>
      <c r="D103" t="inlineStr">
        <is>
          <t>VÄSTERNORRLANDS LÄN</t>
        </is>
      </c>
      <c r="E103" t="inlineStr">
        <is>
          <t>HÄRNÖSAND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56008-2021</t>
        </is>
      </c>
      <c r="B104" s="1" t="n">
        <v>44477.43844907408</v>
      </c>
      <c r="C104" s="1" t="n">
        <v>45996</v>
      </c>
      <c r="D104" t="inlineStr">
        <is>
          <t>VÄSTERNORRLANDS LÄN</t>
        </is>
      </c>
      <c r="E104" t="inlineStr">
        <is>
          <t>HÄRNÖSAND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36136-2021</t>
        </is>
      </c>
      <c r="B105" s="1" t="n">
        <v>44386</v>
      </c>
      <c r="C105" s="1" t="n">
        <v>45996</v>
      </c>
      <c r="D105" t="inlineStr">
        <is>
          <t>VÄSTERNORRLANDS LÄN</t>
        </is>
      </c>
      <c r="E105" t="inlineStr">
        <is>
          <t>HÄRNÖSAND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44771-2021</t>
        </is>
      </c>
      <c r="B106" s="1" t="n">
        <v>44438</v>
      </c>
      <c r="C106" s="1" t="n">
        <v>45996</v>
      </c>
      <c r="D106" t="inlineStr">
        <is>
          <t>VÄSTERNORRLANDS LÄN</t>
        </is>
      </c>
      <c r="E106" t="inlineStr">
        <is>
          <t>HÄRNÖSAND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55584-2021</t>
        </is>
      </c>
      <c r="B107" s="1" t="n">
        <v>44475.87886574074</v>
      </c>
      <c r="C107" s="1" t="n">
        <v>45996</v>
      </c>
      <c r="D107" t="inlineStr">
        <is>
          <t>VÄSTERNORRLANDS LÄN</t>
        </is>
      </c>
      <c r="E107" t="inlineStr">
        <is>
          <t>HÄRNÖSAND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37805-2021</t>
        </is>
      </c>
      <c r="B108" s="1" t="n">
        <v>44402.41153935185</v>
      </c>
      <c r="C108" s="1" t="n">
        <v>45996</v>
      </c>
      <c r="D108" t="inlineStr">
        <is>
          <t>VÄSTERNORRLANDS LÄN</t>
        </is>
      </c>
      <c r="E108" t="inlineStr">
        <is>
          <t>HÄRNÖSAND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18049-2021</t>
        </is>
      </c>
      <c r="B109" s="1" t="n">
        <v>44301</v>
      </c>
      <c r="C109" s="1" t="n">
        <v>45996</v>
      </c>
      <c r="D109" t="inlineStr">
        <is>
          <t>VÄSTERNORRLANDS LÄN</t>
        </is>
      </c>
      <c r="E109" t="inlineStr">
        <is>
          <t>HÄRNÖSAND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55790-2021</t>
        </is>
      </c>
      <c r="B110" s="1" t="n">
        <v>44476</v>
      </c>
      <c r="C110" s="1" t="n">
        <v>45996</v>
      </c>
      <c r="D110" t="inlineStr">
        <is>
          <t>VÄSTERNORRLANDS LÄN</t>
        </is>
      </c>
      <c r="E110" t="inlineStr">
        <is>
          <t>HÄRNÖSAND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3531-2022</t>
        </is>
      </c>
      <c r="B111" s="1" t="n">
        <v>44585</v>
      </c>
      <c r="C111" s="1" t="n">
        <v>45996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47547-2021</t>
        </is>
      </c>
      <c r="B112" s="1" t="n">
        <v>44447</v>
      </c>
      <c r="C112" s="1" t="n">
        <v>45996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20005-2022</t>
        </is>
      </c>
      <c r="B113" s="1" t="n">
        <v>44697</v>
      </c>
      <c r="C113" s="1" t="n">
        <v>45996</v>
      </c>
      <c r="D113" t="inlineStr">
        <is>
          <t>VÄSTERNORRLANDS LÄN</t>
        </is>
      </c>
      <c r="E113" t="inlineStr">
        <is>
          <t>HÄRNÖSAND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15849-2022</t>
        </is>
      </c>
      <c r="B114" s="1" t="n">
        <v>44664</v>
      </c>
      <c r="C114" s="1" t="n">
        <v>45996</v>
      </c>
      <c r="D114" t="inlineStr">
        <is>
          <t>VÄSTERNORRLANDS LÄN</t>
        </is>
      </c>
      <c r="E114" t="inlineStr">
        <is>
          <t>HÄRNÖSAND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19207-2022</t>
        </is>
      </c>
      <c r="B115" s="1" t="n">
        <v>44691</v>
      </c>
      <c r="C115" s="1" t="n">
        <v>45996</v>
      </c>
      <c r="D115" t="inlineStr">
        <is>
          <t>VÄSTERNORRLANDS LÄN</t>
        </is>
      </c>
      <c r="E115" t="inlineStr">
        <is>
          <t>HÄRNÖSAND</t>
        </is>
      </c>
      <c r="F115" t="inlineStr">
        <is>
          <t>SCA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36649-2022</t>
        </is>
      </c>
      <c r="B116" s="1" t="n">
        <v>44804</v>
      </c>
      <c r="C116" s="1" t="n">
        <v>45996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68013-2020</t>
        </is>
      </c>
      <c r="B117" s="1" t="n">
        <v>44182</v>
      </c>
      <c r="C117" s="1" t="n">
        <v>45996</v>
      </c>
      <c r="D117" t="inlineStr">
        <is>
          <t>VÄSTERNORRLANDS LÄN</t>
        </is>
      </c>
      <c r="E117" t="inlineStr">
        <is>
          <t>HÄRNÖSAND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35181-2021</t>
        </is>
      </c>
      <c r="B118" s="1" t="n">
        <v>44384</v>
      </c>
      <c r="C118" s="1" t="n">
        <v>45996</v>
      </c>
      <c r="D118" t="inlineStr">
        <is>
          <t>VÄSTERNORRLANDS LÄN</t>
        </is>
      </c>
      <c r="E118" t="inlineStr">
        <is>
          <t>HÄRNÖSAND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34513-2022</t>
        </is>
      </c>
      <c r="B119" s="1" t="n">
        <v>44792</v>
      </c>
      <c r="C119" s="1" t="n">
        <v>45996</v>
      </c>
      <c r="D119" t="inlineStr">
        <is>
          <t>VÄSTERNORRLANDS LÄN</t>
        </is>
      </c>
      <c r="E119" t="inlineStr">
        <is>
          <t>HÄRNÖSAND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15844-2022</t>
        </is>
      </c>
      <c r="B120" s="1" t="n">
        <v>44664</v>
      </c>
      <c r="C120" s="1" t="n">
        <v>45996</v>
      </c>
      <c r="D120" t="inlineStr">
        <is>
          <t>VÄSTERNORRLANDS LÄN</t>
        </is>
      </c>
      <c r="E120" t="inlineStr">
        <is>
          <t>HÄRNÖSAND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21619-2021</t>
        </is>
      </c>
      <c r="B121" s="1" t="n">
        <v>44321</v>
      </c>
      <c r="C121" s="1" t="n">
        <v>45996</v>
      </c>
      <c r="D121" t="inlineStr">
        <is>
          <t>VÄSTERNORRLANDS LÄN</t>
        </is>
      </c>
      <c r="E121" t="inlineStr">
        <is>
          <t>HÄRNÖSAND</t>
        </is>
      </c>
      <c r="G121" t="n">
        <v>45.6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9452-2022</t>
        </is>
      </c>
      <c r="B122" s="1" t="n">
        <v>44616.70839120371</v>
      </c>
      <c r="C122" s="1" t="n">
        <v>45996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28325-2022</t>
        </is>
      </c>
      <c r="B123" s="1" t="n">
        <v>44747.38347222222</v>
      </c>
      <c r="C123" s="1" t="n">
        <v>45996</v>
      </c>
      <c r="D123" t="inlineStr">
        <is>
          <t>VÄSTERNORRLANDS LÄN</t>
        </is>
      </c>
      <c r="E123" t="inlineStr">
        <is>
          <t>HÄRNÖSAND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49261-2022</t>
        </is>
      </c>
      <c r="B124" s="1" t="n">
        <v>44858</v>
      </c>
      <c r="C124" s="1" t="n">
        <v>45996</v>
      </c>
      <c r="D124" t="inlineStr">
        <is>
          <t>VÄSTERNORRLANDS LÄN</t>
        </is>
      </c>
      <c r="E124" t="inlineStr">
        <is>
          <t>HÄRNÖSAND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15855-2022</t>
        </is>
      </c>
      <c r="B125" s="1" t="n">
        <v>44664</v>
      </c>
      <c r="C125" s="1" t="n">
        <v>45996</v>
      </c>
      <c r="D125" t="inlineStr">
        <is>
          <t>VÄSTERNORRLANDS LÄN</t>
        </is>
      </c>
      <c r="E125" t="inlineStr">
        <is>
          <t>HÄRNÖSAND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66017-2020</t>
        </is>
      </c>
      <c r="B126" s="1" t="n">
        <v>44173</v>
      </c>
      <c r="C126" s="1" t="n">
        <v>45996</v>
      </c>
      <c r="D126" t="inlineStr">
        <is>
          <t>VÄSTERNORRLANDS LÄN</t>
        </is>
      </c>
      <c r="E126" t="inlineStr">
        <is>
          <t>HÄRNÖSAND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25115-2024</t>
        </is>
      </c>
      <c r="B127" s="1" t="n">
        <v>45462</v>
      </c>
      <c r="C127" s="1" t="n">
        <v>45996</v>
      </c>
      <c r="D127" t="inlineStr">
        <is>
          <t>VÄSTERNORRLANDS LÄN</t>
        </is>
      </c>
      <c r="E127" t="inlineStr">
        <is>
          <t>HÄRNÖSAND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214-2024</t>
        </is>
      </c>
      <c r="B128" s="1" t="n">
        <v>45293</v>
      </c>
      <c r="C128" s="1" t="n">
        <v>45996</v>
      </c>
      <c r="D128" t="inlineStr">
        <is>
          <t>VÄSTERNORRLANDS LÄN</t>
        </is>
      </c>
      <c r="E128" t="inlineStr">
        <is>
          <t>HÄRNÖSAND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18060-2021</t>
        </is>
      </c>
      <c r="B129" s="1" t="n">
        <v>44301</v>
      </c>
      <c r="C129" s="1" t="n">
        <v>45996</v>
      </c>
      <c r="D129" t="inlineStr">
        <is>
          <t>VÄSTERNORRLANDS LÄN</t>
        </is>
      </c>
      <c r="E129" t="inlineStr">
        <is>
          <t>HÄRNÖSAND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60935-2021</t>
        </is>
      </c>
      <c r="B130" s="1" t="n">
        <v>44496</v>
      </c>
      <c r="C130" s="1" t="n">
        <v>45996</v>
      </c>
      <c r="D130" t="inlineStr">
        <is>
          <t>VÄSTERNORRLANDS LÄN</t>
        </is>
      </c>
      <c r="E130" t="inlineStr">
        <is>
          <t>HÄRNÖSAND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70563-2021</t>
        </is>
      </c>
      <c r="B131" s="1" t="n">
        <v>44532</v>
      </c>
      <c r="C131" s="1" t="n">
        <v>45996</v>
      </c>
      <c r="D131" t="inlineStr">
        <is>
          <t>VÄSTERNORRLANDS LÄN</t>
        </is>
      </c>
      <c r="E131" t="inlineStr">
        <is>
          <t>HÄRNÖSAND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12750-2022</t>
        </is>
      </c>
      <c r="B132" s="1" t="n">
        <v>44641</v>
      </c>
      <c r="C132" s="1" t="n">
        <v>45996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65034-2021</t>
        </is>
      </c>
      <c r="B133" s="1" t="n">
        <v>44512</v>
      </c>
      <c r="C133" s="1" t="n">
        <v>45996</v>
      </c>
      <c r="D133" t="inlineStr">
        <is>
          <t>VÄSTERNORRLANDS LÄN</t>
        </is>
      </c>
      <c r="E133" t="inlineStr">
        <is>
          <t>HÄRNÖSAND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70603-2021</t>
        </is>
      </c>
      <c r="B134" s="1" t="n">
        <v>44536</v>
      </c>
      <c r="C134" s="1" t="n">
        <v>45996</v>
      </c>
      <c r="D134" t="inlineStr">
        <is>
          <t>VÄSTERNORRLANDS LÄN</t>
        </is>
      </c>
      <c r="E134" t="inlineStr">
        <is>
          <t>HÄRNÖSAND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62300-2021</t>
        </is>
      </c>
      <c r="B135" s="1" t="n">
        <v>44503.38335648148</v>
      </c>
      <c r="C135" s="1" t="n">
        <v>45996</v>
      </c>
      <c r="D135" t="inlineStr">
        <is>
          <t>VÄSTERNORRLANDS LÄN</t>
        </is>
      </c>
      <c r="E135" t="inlineStr">
        <is>
          <t>HÄRNÖSAND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67078-2021</t>
        </is>
      </c>
      <c r="B136" s="1" t="n">
        <v>44522</v>
      </c>
      <c r="C136" s="1" t="n">
        <v>45996</v>
      </c>
      <c r="D136" t="inlineStr">
        <is>
          <t>VÄSTERNORRLANDS LÄN</t>
        </is>
      </c>
      <c r="E136" t="inlineStr">
        <is>
          <t>HÄRNÖSAND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7906-2021</t>
        </is>
      </c>
      <c r="B137" s="1" t="n">
        <v>44242</v>
      </c>
      <c r="C137" s="1" t="n">
        <v>45996</v>
      </c>
      <c r="D137" t="inlineStr">
        <is>
          <t>VÄSTERNORRLANDS LÄN</t>
        </is>
      </c>
      <c r="E137" t="inlineStr">
        <is>
          <t>HÄRNÖSAND</t>
        </is>
      </c>
      <c r="G137" t="n">
        <v>20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5609-2024</t>
        </is>
      </c>
      <c r="B138" s="1" t="n">
        <v>45334</v>
      </c>
      <c r="C138" s="1" t="n">
        <v>45996</v>
      </c>
      <c r="D138" t="inlineStr">
        <is>
          <t>VÄSTERNORRLANDS LÄN</t>
        </is>
      </c>
      <c r="E138" t="inlineStr">
        <is>
          <t>HÄRNÖSAND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14597-2022</t>
        </is>
      </c>
      <c r="B139" s="1" t="n">
        <v>44655</v>
      </c>
      <c r="C139" s="1" t="n">
        <v>45996</v>
      </c>
      <c r="D139" t="inlineStr">
        <is>
          <t>VÄSTERNORRLANDS LÄN</t>
        </is>
      </c>
      <c r="E139" t="inlineStr">
        <is>
          <t>HÄRNÖSAND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40265-2024</t>
        </is>
      </c>
      <c r="B140" s="1" t="n">
        <v>45554.63729166667</v>
      </c>
      <c r="C140" s="1" t="n">
        <v>45996</v>
      </c>
      <c r="D140" t="inlineStr">
        <is>
          <t>VÄSTERNORRLANDS LÄN</t>
        </is>
      </c>
      <c r="E140" t="inlineStr">
        <is>
          <t>HÄRNÖSAND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18088-2021</t>
        </is>
      </c>
      <c r="B141" s="1" t="n">
        <v>44301</v>
      </c>
      <c r="C141" s="1" t="n">
        <v>45996</v>
      </c>
      <c r="D141" t="inlineStr">
        <is>
          <t>VÄSTERNORRLANDS LÄN</t>
        </is>
      </c>
      <c r="E141" t="inlineStr">
        <is>
          <t>HÄRNÖSAND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54251-2022</t>
        </is>
      </c>
      <c r="B142" s="1" t="n">
        <v>44881</v>
      </c>
      <c r="C142" s="1" t="n">
        <v>45996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37190-2022</t>
        </is>
      </c>
      <c r="B143" s="1" t="n">
        <v>44806</v>
      </c>
      <c r="C143" s="1" t="n">
        <v>45996</v>
      </c>
      <c r="D143" t="inlineStr">
        <is>
          <t>VÄSTERNORRLANDS LÄN</t>
        </is>
      </c>
      <c r="E143" t="inlineStr">
        <is>
          <t>HÄRNÖSAND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26189-2021</t>
        </is>
      </c>
      <c r="B144" s="1" t="n">
        <v>44347.38006944444</v>
      </c>
      <c r="C144" s="1" t="n">
        <v>45996</v>
      </c>
      <c r="D144" t="inlineStr">
        <is>
          <t>VÄSTERNORRLANDS LÄN</t>
        </is>
      </c>
      <c r="E144" t="inlineStr">
        <is>
          <t>HÄRNÖSAND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22662-2021</t>
        </is>
      </c>
      <c r="B145" s="1" t="n">
        <v>44321</v>
      </c>
      <c r="C145" s="1" t="n">
        <v>45996</v>
      </c>
      <c r="D145" t="inlineStr">
        <is>
          <t>VÄSTERNORRLANDS LÄN</t>
        </is>
      </c>
      <c r="E145" t="inlineStr">
        <is>
          <t>HÄRNÖSAND</t>
        </is>
      </c>
      <c r="G145" t="n">
        <v>12.7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992-2022</t>
        </is>
      </c>
      <c r="B146" s="1" t="n">
        <v>44571</v>
      </c>
      <c r="C146" s="1" t="n">
        <v>45996</v>
      </c>
      <c r="D146" t="inlineStr">
        <is>
          <t>VÄSTERNORRLANDS LÄN</t>
        </is>
      </c>
      <c r="E146" t="inlineStr">
        <is>
          <t>HÄRNÖSAND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64682-2021</t>
        </is>
      </c>
      <c r="B147" s="1" t="n">
        <v>44512</v>
      </c>
      <c r="C147" s="1" t="n">
        <v>45996</v>
      </c>
      <c r="D147" t="inlineStr">
        <is>
          <t>VÄSTERNORRLANDS LÄN</t>
        </is>
      </c>
      <c r="E147" t="inlineStr">
        <is>
          <t>HÄRNÖSAND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49039-2023</t>
        </is>
      </c>
      <c r="B148" s="1" t="n">
        <v>45209</v>
      </c>
      <c r="C148" s="1" t="n">
        <v>45996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3532-2022</t>
        </is>
      </c>
      <c r="B149" s="1" t="n">
        <v>44585.89016203704</v>
      </c>
      <c r="C149" s="1" t="n">
        <v>45996</v>
      </c>
      <c r="D149" t="inlineStr">
        <is>
          <t>VÄSTERNORRLANDS LÄN</t>
        </is>
      </c>
      <c r="E149" t="inlineStr">
        <is>
          <t>HÄRNÖSAND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67191-2020</t>
        </is>
      </c>
      <c r="B150" s="1" t="n">
        <v>44180</v>
      </c>
      <c r="C150" s="1" t="n">
        <v>45996</v>
      </c>
      <c r="D150" t="inlineStr">
        <is>
          <t>VÄSTERNORRLANDS LÄN</t>
        </is>
      </c>
      <c r="E150" t="inlineStr">
        <is>
          <t>HÄRNÖSAND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3476-2024</t>
        </is>
      </c>
      <c r="B151" s="1" t="n">
        <v>45320</v>
      </c>
      <c r="C151" s="1" t="n">
        <v>45996</v>
      </c>
      <c r="D151" t="inlineStr">
        <is>
          <t>VÄSTERNORRLANDS LÄN</t>
        </is>
      </c>
      <c r="E151" t="inlineStr">
        <is>
          <t>HÄRNÖSAND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34011-2024</t>
        </is>
      </c>
      <c r="B152" s="1" t="n">
        <v>45523</v>
      </c>
      <c r="C152" s="1" t="n">
        <v>45996</v>
      </c>
      <c r="D152" t="inlineStr">
        <is>
          <t>VÄSTERNORRLANDS LÄN</t>
        </is>
      </c>
      <c r="E152" t="inlineStr">
        <is>
          <t>HÄRNÖSAND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28911-2021</t>
        </is>
      </c>
      <c r="B153" s="1" t="n">
        <v>44357</v>
      </c>
      <c r="C153" s="1" t="n">
        <v>45996</v>
      </c>
      <c r="D153" t="inlineStr">
        <is>
          <t>VÄSTERNORRLANDS LÄN</t>
        </is>
      </c>
      <c r="E153" t="inlineStr">
        <is>
          <t>HÄRNÖSAND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9212-2024</t>
        </is>
      </c>
      <c r="B154" s="1" t="n">
        <v>45358</v>
      </c>
      <c r="C154" s="1" t="n">
        <v>45996</v>
      </c>
      <c r="D154" t="inlineStr">
        <is>
          <t>VÄSTERNORRLANDS LÄN</t>
        </is>
      </c>
      <c r="E154" t="inlineStr">
        <is>
          <t>HÄRNÖSAND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34612-2024</t>
        </is>
      </c>
      <c r="B155" s="1" t="n">
        <v>45526</v>
      </c>
      <c r="C155" s="1" t="n">
        <v>45996</v>
      </c>
      <c r="D155" t="inlineStr">
        <is>
          <t>VÄSTERNORRLANDS LÄN</t>
        </is>
      </c>
      <c r="E155" t="inlineStr">
        <is>
          <t>HÄRNÖSAND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45585-2024</t>
        </is>
      </c>
      <c r="B156" s="1" t="n">
        <v>45579.40584490741</v>
      </c>
      <c r="C156" s="1" t="n">
        <v>45996</v>
      </c>
      <c r="D156" t="inlineStr">
        <is>
          <t>VÄSTERNORRLANDS LÄN</t>
        </is>
      </c>
      <c r="E156" t="inlineStr">
        <is>
          <t>HÄRNÖSAND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1088-2022</t>
        </is>
      </c>
      <c r="B157" s="1" t="n">
        <v>44571</v>
      </c>
      <c r="C157" s="1" t="n">
        <v>45996</v>
      </c>
      <c r="D157" t="inlineStr">
        <is>
          <t>VÄSTERNORRLANDS LÄN</t>
        </is>
      </c>
      <c r="E157" t="inlineStr">
        <is>
          <t>HÄRNÖSAND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17431-2023</t>
        </is>
      </c>
      <c r="B158" s="1" t="n">
        <v>45035</v>
      </c>
      <c r="C158" s="1" t="n">
        <v>45996</v>
      </c>
      <c r="D158" t="inlineStr">
        <is>
          <t>VÄSTERNORRLANDS LÄN</t>
        </is>
      </c>
      <c r="E158" t="inlineStr">
        <is>
          <t>HÄRNÖSAND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61944-2023</t>
        </is>
      </c>
      <c r="B159" s="1" t="n">
        <v>45266.55423611111</v>
      </c>
      <c r="C159" s="1" t="n">
        <v>45996</v>
      </c>
      <c r="D159" t="inlineStr">
        <is>
          <t>VÄSTERNORRLANDS LÄN</t>
        </is>
      </c>
      <c r="E159" t="inlineStr">
        <is>
          <t>HÄRNÖSAND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47872-2024</t>
        </is>
      </c>
      <c r="B160" s="1" t="n">
        <v>45588</v>
      </c>
      <c r="C160" s="1" t="n">
        <v>45996</v>
      </c>
      <c r="D160" t="inlineStr">
        <is>
          <t>VÄSTERNORRLANDS LÄN</t>
        </is>
      </c>
      <c r="E160" t="inlineStr">
        <is>
          <t>HÄRNÖSAND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39433-2023</t>
        </is>
      </c>
      <c r="B161" s="1" t="n">
        <v>45163</v>
      </c>
      <c r="C161" s="1" t="n">
        <v>45996</v>
      </c>
      <c r="D161" t="inlineStr">
        <is>
          <t>VÄSTERNORRLANDS LÄN</t>
        </is>
      </c>
      <c r="E161" t="inlineStr">
        <is>
          <t>HÄRNÖSAND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1306-2025</t>
        </is>
      </c>
      <c r="B162" s="1" t="n">
        <v>45667.55081018519</v>
      </c>
      <c r="C162" s="1" t="n">
        <v>45996</v>
      </c>
      <c r="D162" t="inlineStr">
        <is>
          <t>VÄSTERNORRLANDS LÄN</t>
        </is>
      </c>
      <c r="E162" t="inlineStr">
        <is>
          <t>HÄRNÖSAND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47552-2022</t>
        </is>
      </c>
      <c r="B163" s="1" t="n">
        <v>44853</v>
      </c>
      <c r="C163" s="1" t="n">
        <v>45996</v>
      </c>
      <c r="D163" t="inlineStr">
        <is>
          <t>VÄSTERNORRLANDS LÄN</t>
        </is>
      </c>
      <c r="E163" t="inlineStr">
        <is>
          <t>HÄRNÖSAND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32790-2024</t>
        </is>
      </c>
      <c r="B164" s="1" t="n">
        <v>45516.53993055555</v>
      </c>
      <c r="C164" s="1" t="n">
        <v>45996</v>
      </c>
      <c r="D164" t="inlineStr">
        <is>
          <t>VÄSTERNORRLANDS LÄN</t>
        </is>
      </c>
      <c r="E164" t="inlineStr">
        <is>
          <t>HÄRNÖSAND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24955-2025</t>
        </is>
      </c>
      <c r="B165" s="1" t="n">
        <v>45799.57399305556</v>
      </c>
      <c r="C165" s="1" t="n">
        <v>45996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34745-2023</t>
        </is>
      </c>
      <c r="B166" s="1" t="n">
        <v>45139</v>
      </c>
      <c r="C166" s="1" t="n">
        <v>45996</v>
      </c>
      <c r="D166" t="inlineStr">
        <is>
          <t>VÄSTERNORRLANDS LÄN</t>
        </is>
      </c>
      <c r="E166" t="inlineStr">
        <is>
          <t>HÄRNÖSAND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34619-2023</t>
        </is>
      </c>
      <c r="B167" s="1" t="n">
        <v>45138</v>
      </c>
      <c r="C167" s="1" t="n">
        <v>45996</v>
      </c>
      <c r="D167" t="inlineStr">
        <is>
          <t>VÄSTERNORRLANDS LÄN</t>
        </is>
      </c>
      <c r="E167" t="inlineStr">
        <is>
          <t>HÄRNÖSAND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9727-2022</t>
        </is>
      </c>
      <c r="B168" s="1" t="n">
        <v>44617.92136574074</v>
      </c>
      <c r="C168" s="1" t="n">
        <v>45996</v>
      </c>
      <c r="D168" t="inlineStr">
        <is>
          <t>VÄSTERNORRLANDS LÄN</t>
        </is>
      </c>
      <c r="E168" t="inlineStr">
        <is>
          <t>HÄRNÖSAND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25363-2025</t>
        </is>
      </c>
      <c r="B169" s="1" t="n">
        <v>45799</v>
      </c>
      <c r="C169" s="1" t="n">
        <v>45996</v>
      </c>
      <c r="D169" t="inlineStr">
        <is>
          <t>VÄSTERNORRLANDS LÄN</t>
        </is>
      </c>
      <c r="E169" t="inlineStr">
        <is>
          <t>HÄRNÖSAND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45413-2024</t>
        </is>
      </c>
      <c r="B170" s="1" t="n">
        <v>45576.59421296296</v>
      </c>
      <c r="C170" s="1" t="n">
        <v>45996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55583-2021</t>
        </is>
      </c>
      <c r="B171" s="1" t="n">
        <v>44475</v>
      </c>
      <c r="C171" s="1" t="n">
        <v>45996</v>
      </c>
      <c r="D171" t="inlineStr">
        <is>
          <t>VÄSTERNORRLANDS LÄN</t>
        </is>
      </c>
      <c r="E171" t="inlineStr">
        <is>
          <t>HÄRNÖSAND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20332-2025</t>
        </is>
      </c>
      <c r="B172" s="1" t="n">
        <v>45775.36451388889</v>
      </c>
      <c r="C172" s="1" t="n">
        <v>45996</v>
      </c>
      <c r="D172" t="inlineStr">
        <is>
          <t>VÄSTERNORRLANDS LÄN</t>
        </is>
      </c>
      <c r="E172" t="inlineStr">
        <is>
          <t>HÄRNÖSAND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35595-2024</t>
        </is>
      </c>
      <c r="B173" s="1" t="n">
        <v>45531</v>
      </c>
      <c r="C173" s="1" t="n">
        <v>45996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51001-2022</t>
        </is>
      </c>
      <c r="B174" s="1" t="n">
        <v>44867.92756944444</v>
      </c>
      <c r="C174" s="1" t="n">
        <v>45996</v>
      </c>
      <c r="D174" t="inlineStr">
        <is>
          <t>VÄSTERNORRLANDS LÄN</t>
        </is>
      </c>
      <c r="E174" t="inlineStr">
        <is>
          <t>HÄRNÖSAND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26398-2022</t>
        </is>
      </c>
      <c r="B175" s="1" t="n">
        <v>44735</v>
      </c>
      <c r="C175" s="1" t="n">
        <v>45996</v>
      </c>
      <c r="D175" t="inlineStr">
        <is>
          <t>VÄSTERNORRLANDS LÄN</t>
        </is>
      </c>
      <c r="E175" t="inlineStr">
        <is>
          <t>HÄRNÖSAND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25541-2025</t>
        </is>
      </c>
      <c r="B176" s="1" t="n">
        <v>45803.42711805556</v>
      </c>
      <c r="C176" s="1" t="n">
        <v>45996</v>
      </c>
      <c r="D176" t="inlineStr">
        <is>
          <t>VÄSTERNORRLANDS LÄN</t>
        </is>
      </c>
      <c r="E176" t="inlineStr">
        <is>
          <t>HÄRNÖSAND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2698-2024</t>
        </is>
      </c>
      <c r="B177" s="1" t="n">
        <v>45314</v>
      </c>
      <c r="C177" s="1" t="n">
        <v>45996</v>
      </c>
      <c r="D177" t="inlineStr">
        <is>
          <t>VÄSTERNORRLANDS LÄN</t>
        </is>
      </c>
      <c r="E177" t="inlineStr">
        <is>
          <t>HÄRNÖSAND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18345-2025</t>
        </is>
      </c>
      <c r="B178" s="1" t="n">
        <v>45762.52707175926</v>
      </c>
      <c r="C178" s="1" t="n">
        <v>45996</v>
      </c>
      <c r="D178" t="inlineStr">
        <is>
          <t>VÄSTERNORRLANDS LÄN</t>
        </is>
      </c>
      <c r="E178" t="inlineStr">
        <is>
          <t>HÄRNÖSAND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18461-2025</t>
        </is>
      </c>
      <c r="B179" s="1" t="n">
        <v>45762</v>
      </c>
      <c r="C179" s="1" t="n">
        <v>45996</v>
      </c>
      <c r="D179" t="inlineStr">
        <is>
          <t>VÄSTERNORRLANDS LÄN</t>
        </is>
      </c>
      <c r="E179" t="inlineStr">
        <is>
          <t>HÄRNÖSAND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18894-2025</t>
        </is>
      </c>
      <c r="B180" s="1" t="n">
        <v>45764.44842592593</v>
      </c>
      <c r="C180" s="1" t="n">
        <v>45996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64563-2023</t>
        </is>
      </c>
      <c r="B181" s="1" t="n">
        <v>45281</v>
      </c>
      <c r="C181" s="1" t="n">
        <v>45996</v>
      </c>
      <c r="D181" t="inlineStr">
        <is>
          <t>VÄSTERNORRLANDS LÄN</t>
        </is>
      </c>
      <c r="E181" t="inlineStr">
        <is>
          <t>HÄRNÖSAND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16047-2024</t>
        </is>
      </c>
      <c r="B182" s="1" t="n">
        <v>45405</v>
      </c>
      <c r="C182" s="1" t="n">
        <v>45996</v>
      </c>
      <c r="D182" t="inlineStr">
        <is>
          <t>VÄSTERNORRLANDS LÄN</t>
        </is>
      </c>
      <c r="E182" t="inlineStr">
        <is>
          <t>HÄRNÖSAND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25355-2025</t>
        </is>
      </c>
      <c r="B183" s="1" t="n">
        <v>45800.61607638889</v>
      </c>
      <c r="C183" s="1" t="n">
        <v>45996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13605-2024</t>
        </is>
      </c>
      <c r="B184" s="1" t="n">
        <v>45390</v>
      </c>
      <c r="C184" s="1" t="n">
        <v>45996</v>
      </c>
      <c r="D184" t="inlineStr">
        <is>
          <t>VÄSTERNORRLANDS LÄN</t>
        </is>
      </c>
      <c r="E184" t="inlineStr">
        <is>
          <t>HÄRNÖSAND</t>
        </is>
      </c>
      <c r="G184" t="n">
        <v>14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2957-2025</t>
        </is>
      </c>
      <c r="B185" s="1" t="n">
        <v>45678.4485300926</v>
      </c>
      <c r="C185" s="1" t="n">
        <v>45996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46837-2022</t>
        </is>
      </c>
      <c r="B186" s="1" t="n">
        <v>44848</v>
      </c>
      <c r="C186" s="1" t="n">
        <v>45996</v>
      </c>
      <c r="D186" t="inlineStr">
        <is>
          <t>VÄSTERNORRLANDS LÄN</t>
        </is>
      </c>
      <c r="E186" t="inlineStr">
        <is>
          <t>HÄRNÖSAND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2786-2022</t>
        </is>
      </c>
      <c r="B187" s="1" t="n">
        <v>44581</v>
      </c>
      <c r="C187" s="1" t="n">
        <v>45996</v>
      </c>
      <c r="D187" t="inlineStr">
        <is>
          <t>VÄSTERNORRLANDS LÄN</t>
        </is>
      </c>
      <c r="E187" t="inlineStr">
        <is>
          <t>HÄRNÖSAND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26086-2025</t>
        </is>
      </c>
      <c r="B188" s="1" t="n">
        <v>45805.34465277778</v>
      </c>
      <c r="C188" s="1" t="n">
        <v>45996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45681-2021</t>
        </is>
      </c>
      <c r="B189" s="1" t="n">
        <v>44441.36515046296</v>
      </c>
      <c r="C189" s="1" t="n">
        <v>45996</v>
      </c>
      <c r="D189" t="inlineStr">
        <is>
          <t>VÄSTERNORRLANDS LÄN</t>
        </is>
      </c>
      <c r="E189" t="inlineStr">
        <is>
          <t>HÄRNÖSAND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26161-2025</t>
        </is>
      </c>
      <c r="B190" s="1" t="n">
        <v>45805.44916666667</v>
      </c>
      <c r="C190" s="1" t="n">
        <v>45996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26174-2025</t>
        </is>
      </c>
      <c r="B191" s="1" t="n">
        <v>45805.46679398148</v>
      </c>
      <c r="C191" s="1" t="n">
        <v>45996</v>
      </c>
      <c r="D191" t="inlineStr">
        <is>
          <t>VÄSTERNORRLANDS LÄN</t>
        </is>
      </c>
      <c r="E191" t="inlineStr">
        <is>
          <t>HÄRNÖSAND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53568-2021</t>
        </is>
      </c>
      <c r="B192" s="1" t="n">
        <v>44469</v>
      </c>
      <c r="C192" s="1" t="n">
        <v>45996</v>
      </c>
      <c r="D192" t="inlineStr">
        <is>
          <t>VÄSTERNORRLANDS LÄN</t>
        </is>
      </c>
      <c r="E192" t="inlineStr">
        <is>
          <t>HÄRNÖSAND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26176-2025</t>
        </is>
      </c>
      <c r="B193" s="1" t="n">
        <v>45805.46865740741</v>
      </c>
      <c r="C193" s="1" t="n">
        <v>45996</v>
      </c>
      <c r="D193" t="inlineStr">
        <is>
          <t>VÄSTERNORRLANDS LÄN</t>
        </is>
      </c>
      <c r="E193" t="inlineStr">
        <is>
          <t>HÄRNÖSAND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20045-2025</t>
        </is>
      </c>
      <c r="B194" s="1" t="n">
        <v>45772.3857175926</v>
      </c>
      <c r="C194" s="1" t="n">
        <v>45996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57685-2024</t>
        </is>
      </c>
      <c r="B195" s="1" t="n">
        <v>45630.64306712963</v>
      </c>
      <c r="C195" s="1" t="n">
        <v>45996</v>
      </c>
      <c r="D195" t="inlineStr">
        <is>
          <t>VÄSTERNORRLANDS LÄN</t>
        </is>
      </c>
      <c r="E195" t="inlineStr">
        <is>
          <t>HÄRNÖSAND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66899-2021</t>
        </is>
      </c>
      <c r="B196" s="1" t="n">
        <v>44522</v>
      </c>
      <c r="C196" s="1" t="n">
        <v>45996</v>
      </c>
      <c r="D196" t="inlineStr">
        <is>
          <t>VÄSTERNORRLANDS LÄN</t>
        </is>
      </c>
      <c r="E196" t="inlineStr">
        <is>
          <t>HÄRNÖSAND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22875-2023</t>
        </is>
      </c>
      <c r="B197" s="1" t="n">
        <v>45072</v>
      </c>
      <c r="C197" s="1" t="n">
        <v>45996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Kyrkan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30762-2024</t>
        </is>
      </c>
      <c r="B198" s="1" t="n">
        <v>45496.92956018518</v>
      </c>
      <c r="C198" s="1" t="n">
        <v>45996</v>
      </c>
      <c r="D198" t="inlineStr">
        <is>
          <t>VÄSTERNORRLANDS LÄN</t>
        </is>
      </c>
      <c r="E198" t="inlineStr">
        <is>
          <t>HÄRNÖSAND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12149-2025</t>
        </is>
      </c>
      <c r="B199" s="1" t="n">
        <v>45729.40671296296</v>
      </c>
      <c r="C199" s="1" t="n">
        <v>45996</v>
      </c>
      <c r="D199" t="inlineStr">
        <is>
          <t>VÄSTERNORRLANDS LÄN</t>
        </is>
      </c>
      <c r="E199" t="inlineStr">
        <is>
          <t>HÄRNÖSAND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16616-2022</t>
        </is>
      </c>
      <c r="B200" s="1" t="n">
        <v>44672</v>
      </c>
      <c r="C200" s="1" t="n">
        <v>45996</v>
      </c>
      <c r="D200" t="inlineStr">
        <is>
          <t>VÄSTERNORRLANDS LÄN</t>
        </is>
      </c>
      <c r="E200" t="inlineStr">
        <is>
          <t>HÄRNÖSAND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14372-2022</t>
        </is>
      </c>
      <c r="B201" s="1" t="n">
        <v>44652</v>
      </c>
      <c r="C201" s="1" t="n">
        <v>45996</v>
      </c>
      <c r="D201" t="inlineStr">
        <is>
          <t>VÄSTERNORRLANDS LÄN</t>
        </is>
      </c>
      <c r="E201" t="inlineStr">
        <is>
          <t>HÄRNÖSAND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26562-2025</t>
        </is>
      </c>
      <c r="B202" s="1" t="n">
        <v>45807</v>
      </c>
      <c r="C202" s="1" t="n">
        <v>45996</v>
      </c>
      <c r="D202" t="inlineStr">
        <is>
          <t>VÄSTERNORRLANDS LÄN</t>
        </is>
      </c>
      <c r="E202" t="inlineStr">
        <is>
          <t>HÄRNÖSAND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16979-2022</t>
        </is>
      </c>
      <c r="B203" s="1" t="n">
        <v>44676</v>
      </c>
      <c r="C203" s="1" t="n">
        <v>45996</v>
      </c>
      <c r="D203" t="inlineStr">
        <is>
          <t>VÄSTERNORRLANDS LÄN</t>
        </is>
      </c>
      <c r="E203" t="inlineStr">
        <is>
          <t>HÄRNÖSAND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65024-2021</t>
        </is>
      </c>
      <c r="B204" s="1" t="n">
        <v>44515.31559027778</v>
      </c>
      <c r="C204" s="1" t="n">
        <v>45996</v>
      </c>
      <c r="D204" t="inlineStr">
        <is>
          <t>VÄSTERNORRLANDS LÄN</t>
        </is>
      </c>
      <c r="E204" t="inlineStr">
        <is>
          <t>HÄRNÖSAND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38926-2025</t>
        </is>
      </c>
      <c r="B205" s="1" t="n">
        <v>45887.63356481482</v>
      </c>
      <c r="C205" s="1" t="n">
        <v>45996</v>
      </c>
      <c r="D205" t="inlineStr">
        <is>
          <t>VÄSTERNORRLANDS LÄN</t>
        </is>
      </c>
      <c r="E205" t="inlineStr">
        <is>
          <t>HÄRNÖSAND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61834-2024</t>
        </is>
      </c>
      <c r="B206" s="1" t="n">
        <v>45649.63103009259</v>
      </c>
      <c r="C206" s="1" t="n">
        <v>45996</v>
      </c>
      <c r="D206" t="inlineStr">
        <is>
          <t>VÄSTERNORRLANDS LÄN</t>
        </is>
      </c>
      <c r="E206" t="inlineStr">
        <is>
          <t>HÄRNÖSAND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49531-2023</t>
        </is>
      </c>
      <c r="B207" s="1" t="n">
        <v>45205</v>
      </c>
      <c r="C207" s="1" t="n">
        <v>45996</v>
      </c>
      <c r="D207" t="inlineStr">
        <is>
          <t>VÄSTERNORRLANDS LÄN</t>
        </is>
      </c>
      <c r="E207" t="inlineStr">
        <is>
          <t>HÄRNÖSAND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26922-2025</t>
        </is>
      </c>
      <c r="B208" s="1" t="n">
        <v>45811.38631944444</v>
      </c>
      <c r="C208" s="1" t="n">
        <v>45996</v>
      </c>
      <c r="D208" t="inlineStr">
        <is>
          <t>VÄSTERNORRLANDS LÄN</t>
        </is>
      </c>
      <c r="E208" t="inlineStr">
        <is>
          <t>HÄRNÖSAND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38920-2025</t>
        </is>
      </c>
      <c r="B209" s="1" t="n">
        <v>45887.626875</v>
      </c>
      <c r="C209" s="1" t="n">
        <v>45996</v>
      </c>
      <c r="D209" t="inlineStr">
        <is>
          <t>VÄSTERNORRLANDS LÄN</t>
        </is>
      </c>
      <c r="E209" t="inlineStr">
        <is>
          <t>HÄRNÖSAND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55276-2023</t>
        </is>
      </c>
      <c r="B210" s="1" t="n">
        <v>45231</v>
      </c>
      <c r="C210" s="1" t="n">
        <v>45996</v>
      </c>
      <c r="D210" t="inlineStr">
        <is>
          <t>VÄSTERNORRLANDS LÄN</t>
        </is>
      </c>
      <c r="E210" t="inlineStr">
        <is>
          <t>HÄRNÖSAND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26918-2025</t>
        </is>
      </c>
      <c r="B211" s="1" t="n">
        <v>45811.37457175926</v>
      </c>
      <c r="C211" s="1" t="n">
        <v>45996</v>
      </c>
      <c r="D211" t="inlineStr">
        <is>
          <t>VÄSTERNORRLANDS LÄN</t>
        </is>
      </c>
      <c r="E211" t="inlineStr">
        <is>
          <t>HÄRNÖSAND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38567-2025</t>
        </is>
      </c>
      <c r="B212" s="1" t="n">
        <v>45884.45579861111</v>
      </c>
      <c r="C212" s="1" t="n">
        <v>45996</v>
      </c>
      <c r="D212" t="inlineStr">
        <is>
          <t>VÄSTERNORRLANDS LÄN</t>
        </is>
      </c>
      <c r="E212" t="inlineStr">
        <is>
          <t>HÄRNÖSAND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14874-2023</t>
        </is>
      </c>
      <c r="B213" s="1" t="n">
        <v>45015</v>
      </c>
      <c r="C213" s="1" t="n">
        <v>45996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46707-2024</t>
        </is>
      </c>
      <c r="B214" s="1" t="n">
        <v>45583.44405092593</v>
      </c>
      <c r="C214" s="1" t="n">
        <v>45996</v>
      </c>
      <c r="D214" t="inlineStr">
        <is>
          <t>VÄSTERNORRLANDS LÄN</t>
        </is>
      </c>
      <c r="E214" t="inlineStr">
        <is>
          <t>HÄRNÖSAND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34185-2023</t>
        </is>
      </c>
      <c r="B215" s="1" t="n">
        <v>45126</v>
      </c>
      <c r="C215" s="1" t="n">
        <v>45996</v>
      </c>
      <c r="D215" t="inlineStr">
        <is>
          <t>VÄSTERNORRLANDS LÄN</t>
        </is>
      </c>
      <c r="E215" t="inlineStr">
        <is>
          <t>HÄRNÖSAND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19203-2025</t>
        </is>
      </c>
      <c r="B216" s="1" t="n">
        <v>45769.42833333334</v>
      </c>
      <c r="C216" s="1" t="n">
        <v>45996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27.2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35270-2023</t>
        </is>
      </c>
      <c r="B217" s="1" t="n">
        <v>45145.95366898148</v>
      </c>
      <c r="C217" s="1" t="n">
        <v>45996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35271-2023</t>
        </is>
      </c>
      <c r="B218" s="1" t="n">
        <v>45145.95372685185</v>
      </c>
      <c r="C218" s="1" t="n">
        <v>45996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27694-2025</t>
        </is>
      </c>
      <c r="B219" s="1" t="n">
        <v>45813</v>
      </c>
      <c r="C219" s="1" t="n">
        <v>45996</v>
      </c>
      <c r="D219" t="inlineStr">
        <is>
          <t>VÄSTERNORRLANDS LÄN</t>
        </is>
      </c>
      <c r="E219" t="inlineStr">
        <is>
          <t>HÄRNÖSAND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16237-2025</t>
        </is>
      </c>
      <c r="B220" s="1" t="n">
        <v>45749</v>
      </c>
      <c r="C220" s="1" t="n">
        <v>45996</v>
      </c>
      <c r="D220" t="inlineStr">
        <is>
          <t>VÄSTERNORRLANDS LÄN</t>
        </is>
      </c>
      <c r="E220" t="inlineStr">
        <is>
          <t>HÄRNÖSAND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27272-2025</t>
        </is>
      </c>
      <c r="B221" s="1" t="n">
        <v>45812.51498842592</v>
      </c>
      <c r="C221" s="1" t="n">
        <v>45996</v>
      </c>
      <c r="D221" t="inlineStr">
        <is>
          <t>VÄSTERNORRLANDS LÄN</t>
        </is>
      </c>
      <c r="E221" t="inlineStr">
        <is>
          <t>HÄRNÖSAND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27273-2025</t>
        </is>
      </c>
      <c r="B222" s="1" t="n">
        <v>45812.51732638889</v>
      </c>
      <c r="C222" s="1" t="n">
        <v>45996</v>
      </c>
      <c r="D222" t="inlineStr">
        <is>
          <t>VÄSTERNORRLANDS LÄN</t>
        </is>
      </c>
      <c r="E222" t="inlineStr">
        <is>
          <t>HÄRNÖSAND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47939-2022</t>
        </is>
      </c>
      <c r="B223" s="1" t="n">
        <v>44853</v>
      </c>
      <c r="C223" s="1" t="n">
        <v>45996</v>
      </c>
      <c r="D223" t="inlineStr">
        <is>
          <t>VÄSTERNORRLANDS LÄN</t>
        </is>
      </c>
      <c r="E223" t="inlineStr">
        <is>
          <t>HÄRNÖSAND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8408-2024</t>
        </is>
      </c>
      <c r="B224" s="1" t="n">
        <v>45352</v>
      </c>
      <c r="C224" s="1" t="n">
        <v>45996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37586-2022</t>
        </is>
      </c>
      <c r="B225" s="1" t="n">
        <v>44809.92577546297</v>
      </c>
      <c r="C225" s="1" t="n">
        <v>45996</v>
      </c>
      <c r="D225" t="inlineStr">
        <is>
          <t>VÄSTERNORRLANDS LÄN</t>
        </is>
      </c>
      <c r="E225" t="inlineStr">
        <is>
          <t>HÄRNÖSAND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17516-2025</t>
        </is>
      </c>
      <c r="B226" s="1" t="n">
        <v>45757</v>
      </c>
      <c r="C226" s="1" t="n">
        <v>45996</v>
      </c>
      <c r="D226" t="inlineStr">
        <is>
          <t>VÄSTERNORRLANDS LÄN</t>
        </is>
      </c>
      <c r="E226" t="inlineStr">
        <is>
          <t>HÄRNÖSAND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42788-2024</t>
        </is>
      </c>
      <c r="B227" s="1" t="n">
        <v>45566</v>
      </c>
      <c r="C227" s="1" t="n">
        <v>45996</v>
      </c>
      <c r="D227" t="inlineStr">
        <is>
          <t>VÄSTERNORRLANDS LÄN</t>
        </is>
      </c>
      <c r="E227" t="inlineStr">
        <is>
          <t>HÄRNÖSAND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40716-2024</t>
        </is>
      </c>
      <c r="B228" s="1" t="n">
        <v>45558.43896990741</v>
      </c>
      <c r="C228" s="1" t="n">
        <v>45996</v>
      </c>
      <c r="D228" t="inlineStr">
        <is>
          <t>VÄSTERNORRLANDS LÄN</t>
        </is>
      </c>
      <c r="E228" t="inlineStr">
        <is>
          <t>HÄRNÖSAND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18103-2025</t>
        </is>
      </c>
      <c r="B229" s="1" t="n">
        <v>45761.55424768518</v>
      </c>
      <c r="C229" s="1" t="n">
        <v>45996</v>
      </c>
      <c r="D229" t="inlineStr">
        <is>
          <t>VÄSTERNORRLANDS LÄN</t>
        </is>
      </c>
      <c r="E229" t="inlineStr">
        <is>
          <t>HÄRNÖSAND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26533-2024</t>
        </is>
      </c>
      <c r="B230" s="1" t="n">
        <v>45469</v>
      </c>
      <c r="C230" s="1" t="n">
        <v>45996</v>
      </c>
      <c r="D230" t="inlineStr">
        <is>
          <t>VÄSTERNORRLANDS LÄN</t>
        </is>
      </c>
      <c r="E230" t="inlineStr">
        <is>
          <t>HÄRNÖSAND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2492-2024</t>
        </is>
      </c>
      <c r="B231" s="1" t="n">
        <v>45313</v>
      </c>
      <c r="C231" s="1" t="n">
        <v>45996</v>
      </c>
      <c r="D231" t="inlineStr">
        <is>
          <t>VÄSTERNORRLANDS LÄN</t>
        </is>
      </c>
      <c r="E231" t="inlineStr">
        <is>
          <t>HÄRNÖSAND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38927-2025</t>
        </is>
      </c>
      <c r="B232" s="1" t="n">
        <v>45887.63584490741</v>
      </c>
      <c r="C232" s="1" t="n">
        <v>45996</v>
      </c>
      <c r="D232" t="inlineStr">
        <is>
          <t>VÄSTERNORRLANDS LÄN</t>
        </is>
      </c>
      <c r="E232" t="inlineStr">
        <is>
          <t>HÄRNÖSAND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786-2024</t>
        </is>
      </c>
      <c r="B233" s="1" t="n">
        <v>45300</v>
      </c>
      <c r="C233" s="1" t="n">
        <v>45996</v>
      </c>
      <c r="D233" t="inlineStr">
        <is>
          <t>VÄSTERNORRLANDS LÄN</t>
        </is>
      </c>
      <c r="E233" t="inlineStr">
        <is>
          <t>HÄRNÖSAND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28389-2025</t>
        </is>
      </c>
      <c r="B234" s="1" t="n">
        <v>45819.3259837963</v>
      </c>
      <c r="C234" s="1" t="n">
        <v>45996</v>
      </c>
      <c r="D234" t="inlineStr">
        <is>
          <t>VÄSTERNORRLANDS LÄN</t>
        </is>
      </c>
      <c r="E234" t="inlineStr">
        <is>
          <t>HÄRNÖSAND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12519-2023</t>
        </is>
      </c>
      <c r="B235" s="1" t="n">
        <v>45000.01231481481</v>
      </c>
      <c r="C235" s="1" t="n">
        <v>45996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SCA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53107-2023</t>
        </is>
      </c>
      <c r="B236" s="1" t="n">
        <v>45228</v>
      </c>
      <c r="C236" s="1" t="n">
        <v>45996</v>
      </c>
      <c r="D236" t="inlineStr">
        <is>
          <t>VÄSTERNORRLANDS LÄN</t>
        </is>
      </c>
      <c r="E236" t="inlineStr">
        <is>
          <t>HÄRNÖSAND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22266-2021</t>
        </is>
      </c>
      <c r="B237" s="1" t="n">
        <v>44321</v>
      </c>
      <c r="C237" s="1" t="n">
        <v>45996</v>
      </c>
      <c r="D237" t="inlineStr">
        <is>
          <t>VÄSTERNORRLANDS LÄN</t>
        </is>
      </c>
      <c r="E237" t="inlineStr">
        <is>
          <t>HÄRNÖSAND</t>
        </is>
      </c>
      <c r="G237" t="n">
        <v>37.5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38734-2025</t>
        </is>
      </c>
      <c r="B238" s="1" t="n">
        <v>45887.36519675926</v>
      </c>
      <c r="C238" s="1" t="n">
        <v>45996</v>
      </c>
      <c r="D238" t="inlineStr">
        <is>
          <t>VÄSTERNORRLANDS LÄN</t>
        </is>
      </c>
      <c r="E238" t="inlineStr">
        <is>
          <t>HÄRNÖSAND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7852-2024</t>
        </is>
      </c>
      <c r="B239" s="1" t="n">
        <v>45350</v>
      </c>
      <c r="C239" s="1" t="n">
        <v>45996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SCA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28388-2025</t>
        </is>
      </c>
      <c r="B240" s="1" t="n">
        <v>45819.32322916666</v>
      </c>
      <c r="C240" s="1" t="n">
        <v>45996</v>
      </c>
      <c r="D240" t="inlineStr">
        <is>
          <t>VÄSTERNORRLANDS LÄN</t>
        </is>
      </c>
      <c r="E240" t="inlineStr">
        <is>
          <t>HÄRNÖSAND</t>
        </is>
      </c>
      <c r="G240" t="n">
        <v>10.7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57236-2024</t>
        </is>
      </c>
      <c r="B241" s="1" t="n">
        <v>45628</v>
      </c>
      <c r="C241" s="1" t="n">
        <v>45996</v>
      </c>
      <c r="D241" t="inlineStr">
        <is>
          <t>VÄSTERNORRLANDS LÄN</t>
        </is>
      </c>
      <c r="E241" t="inlineStr">
        <is>
          <t>HÄRNÖSAND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55895-2024</t>
        </is>
      </c>
      <c r="B242" s="1" t="n">
        <v>45622</v>
      </c>
      <c r="C242" s="1" t="n">
        <v>45996</v>
      </c>
      <c r="D242" t="inlineStr">
        <is>
          <t>VÄSTERNORRLANDS LÄN</t>
        </is>
      </c>
      <c r="E242" t="inlineStr">
        <is>
          <t>HÄRNÖSAND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25745-2025</t>
        </is>
      </c>
      <c r="B243" s="1" t="n">
        <v>45800</v>
      </c>
      <c r="C243" s="1" t="n">
        <v>45996</v>
      </c>
      <c r="D243" t="inlineStr">
        <is>
          <t>VÄSTERNORRLANDS LÄN</t>
        </is>
      </c>
      <c r="E243" t="inlineStr">
        <is>
          <t>HÄRNÖSAND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25746-2025</t>
        </is>
      </c>
      <c r="B244" s="1" t="n">
        <v>45800</v>
      </c>
      <c r="C244" s="1" t="n">
        <v>45996</v>
      </c>
      <c r="D244" t="inlineStr">
        <is>
          <t>VÄSTERNORRLANDS LÄN</t>
        </is>
      </c>
      <c r="E244" t="inlineStr">
        <is>
          <t>HÄRNÖSAND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29543-2025</t>
        </is>
      </c>
      <c r="B245" s="1" t="n">
        <v>45825.34547453704</v>
      </c>
      <c r="C245" s="1" t="n">
        <v>45996</v>
      </c>
      <c r="D245" t="inlineStr">
        <is>
          <t>VÄSTERNORRLANDS LÄN</t>
        </is>
      </c>
      <c r="E245" t="inlineStr">
        <is>
          <t>HÄRNÖSAND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7522-2023</t>
        </is>
      </c>
      <c r="B246" s="1" t="n">
        <v>44971</v>
      </c>
      <c r="C246" s="1" t="n">
        <v>45996</v>
      </c>
      <c r="D246" t="inlineStr">
        <is>
          <t>VÄSTERNORRLANDS LÄN</t>
        </is>
      </c>
      <c r="E246" t="inlineStr">
        <is>
          <t>HÄRNÖSAND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29545-2025</t>
        </is>
      </c>
      <c r="B247" s="1" t="n">
        <v>45825.34550925926</v>
      </c>
      <c r="C247" s="1" t="n">
        <v>45996</v>
      </c>
      <c r="D247" t="inlineStr">
        <is>
          <t>VÄSTERNORRLANDS LÄN</t>
        </is>
      </c>
      <c r="E247" t="inlineStr">
        <is>
          <t>HÄRNÖSAND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29540-2025</t>
        </is>
      </c>
      <c r="B248" s="1" t="n">
        <v>45825.34538194445</v>
      </c>
      <c r="C248" s="1" t="n">
        <v>45996</v>
      </c>
      <c r="D248" t="inlineStr">
        <is>
          <t>VÄSTERNORRLANDS LÄN</t>
        </is>
      </c>
      <c r="E248" t="inlineStr">
        <is>
          <t>HÄRNÖSAND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29542-2025</t>
        </is>
      </c>
      <c r="B249" s="1" t="n">
        <v>45825.34542824074</v>
      </c>
      <c r="C249" s="1" t="n">
        <v>45996</v>
      </c>
      <c r="D249" t="inlineStr">
        <is>
          <t>VÄSTERNORRLANDS LÄN</t>
        </is>
      </c>
      <c r="E249" t="inlineStr">
        <is>
          <t>HÄRNÖSAND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29548-2025</t>
        </is>
      </c>
      <c r="B250" s="1" t="n">
        <v>45825.34561342592</v>
      </c>
      <c r="C250" s="1" t="n">
        <v>45996</v>
      </c>
      <c r="D250" t="inlineStr">
        <is>
          <t>VÄSTERNORRLANDS LÄN</t>
        </is>
      </c>
      <c r="E250" t="inlineStr">
        <is>
          <t>HÄRNÖSAND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29549-2025</t>
        </is>
      </c>
      <c r="B251" s="1" t="n">
        <v>45825.34568287037</v>
      </c>
      <c r="C251" s="1" t="n">
        <v>45996</v>
      </c>
      <c r="D251" t="inlineStr">
        <is>
          <t>VÄSTERNORRLANDS LÄN</t>
        </is>
      </c>
      <c r="E251" t="inlineStr">
        <is>
          <t>HÄRNÖSAND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29550-2025</t>
        </is>
      </c>
      <c r="B252" s="1" t="n">
        <v>45825.34569444445</v>
      </c>
      <c r="C252" s="1" t="n">
        <v>45996</v>
      </c>
      <c r="D252" t="inlineStr">
        <is>
          <t>VÄSTERNORRLANDS LÄN</t>
        </is>
      </c>
      <c r="E252" t="inlineStr">
        <is>
          <t>HÄRNÖSAND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35969-2023</t>
        </is>
      </c>
      <c r="B253" s="1" t="n">
        <v>45148.92568287037</v>
      </c>
      <c r="C253" s="1" t="n">
        <v>45996</v>
      </c>
      <c r="D253" t="inlineStr">
        <is>
          <t>VÄSTERNORRLANDS LÄN</t>
        </is>
      </c>
      <c r="E253" t="inlineStr">
        <is>
          <t>HÄRNÖSAND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56680-2023</t>
        </is>
      </c>
      <c r="B254" s="1" t="n">
        <v>45243</v>
      </c>
      <c r="C254" s="1" t="n">
        <v>45996</v>
      </c>
      <c r="D254" t="inlineStr">
        <is>
          <t>VÄSTERNORRLANDS LÄN</t>
        </is>
      </c>
      <c r="E254" t="inlineStr">
        <is>
          <t>HÄRNÖSAND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45687-2022</t>
        </is>
      </c>
      <c r="B255" s="1" t="n">
        <v>44845.92814814814</v>
      </c>
      <c r="C255" s="1" t="n">
        <v>45996</v>
      </c>
      <c r="D255" t="inlineStr">
        <is>
          <t>VÄSTERNORRLANDS LÄN</t>
        </is>
      </c>
      <c r="E255" t="inlineStr">
        <is>
          <t>HÄRNÖSAND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29541-2025</t>
        </is>
      </c>
      <c r="B256" s="1" t="n">
        <v>45825.34539351852</v>
      </c>
      <c r="C256" s="1" t="n">
        <v>45996</v>
      </c>
      <c r="D256" t="inlineStr">
        <is>
          <t>VÄSTERNORRLANDS LÄN</t>
        </is>
      </c>
      <c r="E256" t="inlineStr">
        <is>
          <t>HÄRNÖSAND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29544-2025</t>
        </is>
      </c>
      <c r="B257" s="1" t="n">
        <v>45825.34547453704</v>
      </c>
      <c r="C257" s="1" t="n">
        <v>45996</v>
      </c>
      <c r="D257" t="inlineStr">
        <is>
          <t>VÄSTERNORRLANDS LÄN</t>
        </is>
      </c>
      <c r="E257" t="inlineStr">
        <is>
          <t>HÄRNÖSAND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29233-2025</t>
        </is>
      </c>
      <c r="B258" s="1" t="n">
        <v>45824.3446412037</v>
      </c>
      <c r="C258" s="1" t="n">
        <v>45996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23289-2025</t>
        </is>
      </c>
      <c r="B259" s="1" t="n">
        <v>45791</v>
      </c>
      <c r="C259" s="1" t="n">
        <v>45996</v>
      </c>
      <c r="D259" t="inlineStr">
        <is>
          <t>VÄSTERNORRLANDS LÄN</t>
        </is>
      </c>
      <c r="E259" t="inlineStr">
        <is>
          <t>HÄRNÖSAND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12685-2025</t>
        </is>
      </c>
      <c r="B260" s="1" t="n">
        <v>45733.44667824074</v>
      </c>
      <c r="C260" s="1" t="n">
        <v>45996</v>
      </c>
      <c r="D260" t="inlineStr">
        <is>
          <t>VÄSTERNORRLANDS LÄN</t>
        </is>
      </c>
      <c r="E260" t="inlineStr">
        <is>
          <t>HÄRNÖSAND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29255-2024</t>
        </is>
      </c>
      <c r="B261" s="1" t="n">
        <v>45482</v>
      </c>
      <c r="C261" s="1" t="n">
        <v>45996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SCA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16875-2024</t>
        </is>
      </c>
      <c r="B262" s="1" t="n">
        <v>45409</v>
      </c>
      <c r="C262" s="1" t="n">
        <v>45996</v>
      </c>
      <c r="D262" t="inlineStr">
        <is>
          <t>VÄSTERNORRLANDS LÄN</t>
        </is>
      </c>
      <c r="E262" t="inlineStr">
        <is>
          <t>HÄRNÖSAND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2756-2022</t>
        </is>
      </c>
      <c r="B263" s="1" t="n">
        <v>44580.92256944445</v>
      </c>
      <c r="C263" s="1" t="n">
        <v>45996</v>
      </c>
      <c r="D263" t="inlineStr">
        <is>
          <t>VÄSTERNORRLANDS LÄN</t>
        </is>
      </c>
      <c r="E263" t="inlineStr">
        <is>
          <t>HÄRNÖSAND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30084-2025</t>
        </is>
      </c>
      <c r="B264" s="1" t="n">
        <v>45826.65685185185</v>
      </c>
      <c r="C264" s="1" t="n">
        <v>45996</v>
      </c>
      <c r="D264" t="inlineStr">
        <is>
          <t>VÄSTERNORRLANDS LÄN</t>
        </is>
      </c>
      <c r="E264" t="inlineStr">
        <is>
          <t>HÄRNÖSAND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32639-2024</t>
        </is>
      </c>
      <c r="B265" s="1" t="n">
        <v>45513</v>
      </c>
      <c r="C265" s="1" t="n">
        <v>45996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32644-2024</t>
        </is>
      </c>
      <c r="B266" s="1" t="n">
        <v>45513</v>
      </c>
      <c r="C266" s="1" t="n">
        <v>45996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39070-2025</t>
        </is>
      </c>
      <c r="B267" s="1" t="n">
        <v>45888.4690162037</v>
      </c>
      <c r="C267" s="1" t="n">
        <v>45996</v>
      </c>
      <c r="D267" t="inlineStr">
        <is>
          <t>VÄSTERNORRLANDS LÄN</t>
        </is>
      </c>
      <c r="E267" t="inlineStr">
        <is>
          <t>HÄRNÖSAND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30039-2025</t>
        </is>
      </c>
      <c r="B268" s="1" t="n">
        <v>45826.5734375</v>
      </c>
      <c r="C268" s="1" t="n">
        <v>45996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Kyrkan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47112-2024</t>
        </is>
      </c>
      <c r="B269" s="1" t="n">
        <v>45586</v>
      </c>
      <c r="C269" s="1" t="n">
        <v>45996</v>
      </c>
      <c r="D269" t="inlineStr">
        <is>
          <t>VÄSTERNORRLANDS LÄN</t>
        </is>
      </c>
      <c r="E269" t="inlineStr">
        <is>
          <t>HÄRNÖSAND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29613-2023</t>
        </is>
      </c>
      <c r="B270" s="1" t="n">
        <v>45106.94429398148</v>
      </c>
      <c r="C270" s="1" t="n">
        <v>45996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58588-2022</t>
        </is>
      </c>
      <c r="B271" s="1" t="n">
        <v>44894</v>
      </c>
      <c r="C271" s="1" t="n">
        <v>45996</v>
      </c>
      <c r="D271" t="inlineStr">
        <is>
          <t>VÄSTERNORRLANDS LÄN</t>
        </is>
      </c>
      <c r="E271" t="inlineStr">
        <is>
          <t>HÄRNÖSAND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19900-2025</t>
        </is>
      </c>
      <c r="B272" s="1" t="n">
        <v>45771.588125</v>
      </c>
      <c r="C272" s="1" t="n">
        <v>45996</v>
      </c>
      <c r="D272" t="inlineStr">
        <is>
          <t>VÄSTERNORRLANDS LÄN</t>
        </is>
      </c>
      <c r="E272" t="inlineStr">
        <is>
          <t>HÄRNÖSAND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10549-2024</t>
        </is>
      </c>
      <c r="B273" s="1" t="n">
        <v>45366</v>
      </c>
      <c r="C273" s="1" t="n">
        <v>45996</v>
      </c>
      <c r="D273" t="inlineStr">
        <is>
          <t>VÄSTERNORRLANDS LÄN</t>
        </is>
      </c>
      <c r="E273" t="inlineStr">
        <is>
          <t>HÄRNÖSAND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35447-2024</t>
        </is>
      </c>
      <c r="B274" s="1" t="n">
        <v>45531.43938657407</v>
      </c>
      <c r="C274" s="1" t="n">
        <v>45996</v>
      </c>
      <c r="D274" t="inlineStr">
        <is>
          <t>VÄSTERNORRLANDS LÄN</t>
        </is>
      </c>
      <c r="E274" t="inlineStr">
        <is>
          <t>HÄRNÖSAND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31342-2025</t>
        </is>
      </c>
      <c r="B275" s="1" t="n">
        <v>45833.42825231481</v>
      </c>
      <c r="C275" s="1" t="n">
        <v>45996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29127-2025</t>
        </is>
      </c>
      <c r="B276" s="1" t="n">
        <v>45821</v>
      </c>
      <c r="C276" s="1" t="n">
        <v>45996</v>
      </c>
      <c r="D276" t="inlineStr">
        <is>
          <t>VÄSTERNORRLANDS LÄN</t>
        </is>
      </c>
      <c r="E276" t="inlineStr">
        <is>
          <t>HÄRNÖSAND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29131-2025</t>
        </is>
      </c>
      <c r="B277" s="1" t="n">
        <v>45821</v>
      </c>
      <c r="C277" s="1" t="n">
        <v>45996</v>
      </c>
      <c r="D277" t="inlineStr">
        <is>
          <t>VÄSTERNORRLANDS LÄN</t>
        </is>
      </c>
      <c r="E277" t="inlineStr">
        <is>
          <t>HÄRNÖSAND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31463-2025</t>
        </is>
      </c>
      <c r="B278" s="1" t="n">
        <v>45833.55240740741</v>
      </c>
      <c r="C278" s="1" t="n">
        <v>45996</v>
      </c>
      <c r="D278" t="inlineStr">
        <is>
          <t>VÄSTERNORRLANDS LÄN</t>
        </is>
      </c>
      <c r="E278" t="inlineStr">
        <is>
          <t>HÄRNÖSAND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31344-2025</t>
        </is>
      </c>
      <c r="B279" s="1" t="n">
        <v>45833.42840277778</v>
      </c>
      <c r="C279" s="1" t="n">
        <v>45996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SCA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31346-2025</t>
        </is>
      </c>
      <c r="B280" s="1" t="n">
        <v>45833.42873842592</v>
      </c>
      <c r="C280" s="1" t="n">
        <v>45996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32.5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31305-2025</t>
        </is>
      </c>
      <c r="B281" s="1" t="n">
        <v>45833.38618055556</v>
      </c>
      <c r="C281" s="1" t="n">
        <v>45996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13.5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59121-2023</t>
        </is>
      </c>
      <c r="B282" s="1" t="n">
        <v>45251</v>
      </c>
      <c r="C282" s="1" t="n">
        <v>45996</v>
      </c>
      <c r="D282" t="inlineStr">
        <is>
          <t>VÄSTERNORRLANDS LÄN</t>
        </is>
      </c>
      <c r="E282" t="inlineStr">
        <is>
          <t>HÄRNÖSAND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61102-2021</t>
        </is>
      </c>
      <c r="B283" s="1" t="n">
        <v>44498</v>
      </c>
      <c r="C283" s="1" t="n">
        <v>45996</v>
      </c>
      <c r="D283" t="inlineStr">
        <is>
          <t>VÄSTERNORRLANDS LÄN</t>
        </is>
      </c>
      <c r="E283" t="inlineStr">
        <is>
          <t>HÄRNÖSAND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31165-2025</t>
        </is>
      </c>
      <c r="B284" s="1" t="n">
        <v>45832.65871527778</v>
      </c>
      <c r="C284" s="1" t="n">
        <v>45996</v>
      </c>
      <c r="D284" t="inlineStr">
        <is>
          <t>VÄSTERNORRLANDS LÄN</t>
        </is>
      </c>
      <c r="E284" t="inlineStr">
        <is>
          <t>HÄRNÖSAND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31134-2025</t>
        </is>
      </c>
      <c r="B285" s="1" t="n">
        <v>45832.63559027778</v>
      </c>
      <c r="C285" s="1" t="n">
        <v>45996</v>
      </c>
      <c r="D285" t="inlineStr">
        <is>
          <t>VÄSTERNORRLANDS LÄN</t>
        </is>
      </c>
      <c r="E285" t="inlineStr">
        <is>
          <t>HÄRNÖSAND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11881-2024</t>
        </is>
      </c>
      <c r="B286" s="1" t="n">
        <v>45376</v>
      </c>
      <c r="C286" s="1" t="n">
        <v>45996</v>
      </c>
      <c r="D286" t="inlineStr">
        <is>
          <t>VÄSTERNORRLANDS LÄN</t>
        </is>
      </c>
      <c r="E286" t="inlineStr">
        <is>
          <t>HÄRNÖSAND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31483-2025</t>
        </is>
      </c>
      <c r="B287" s="1" t="n">
        <v>45833.57403935185</v>
      </c>
      <c r="C287" s="1" t="n">
        <v>45996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31303-2025</t>
        </is>
      </c>
      <c r="B288" s="1" t="n">
        <v>45833.38581018519</v>
      </c>
      <c r="C288" s="1" t="n">
        <v>45996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31890-2025</t>
        </is>
      </c>
      <c r="B289" s="1" t="n">
        <v>45834</v>
      </c>
      <c r="C289" s="1" t="n">
        <v>45996</v>
      </c>
      <c r="D289" t="inlineStr">
        <is>
          <t>VÄSTERNORRLANDS LÄN</t>
        </is>
      </c>
      <c r="E289" t="inlineStr">
        <is>
          <t>HÄRNÖSAND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47550-2022</t>
        </is>
      </c>
      <c r="B290" s="1" t="n">
        <v>44853</v>
      </c>
      <c r="C290" s="1" t="n">
        <v>45996</v>
      </c>
      <c r="D290" t="inlineStr">
        <is>
          <t>VÄSTERNORRLANDS LÄN</t>
        </is>
      </c>
      <c r="E290" t="inlineStr">
        <is>
          <t>HÄRNÖSAND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59113-2024</t>
        </is>
      </c>
      <c r="B291" s="1" t="n">
        <v>45637.36509259259</v>
      </c>
      <c r="C291" s="1" t="n">
        <v>45996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65222-2023</t>
        </is>
      </c>
      <c r="B292" s="1" t="n">
        <v>45289</v>
      </c>
      <c r="C292" s="1" t="n">
        <v>45996</v>
      </c>
      <c r="D292" t="inlineStr">
        <is>
          <t>VÄSTERNORRLANDS LÄN</t>
        </is>
      </c>
      <c r="E292" t="inlineStr">
        <is>
          <t>HÄRNÖSAND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39474-2025</t>
        </is>
      </c>
      <c r="B293" s="1" t="n">
        <v>45890.34435185185</v>
      </c>
      <c r="C293" s="1" t="n">
        <v>45996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54096-2023</t>
        </is>
      </c>
      <c r="B294" s="1" t="n">
        <v>45225</v>
      </c>
      <c r="C294" s="1" t="n">
        <v>45996</v>
      </c>
      <c r="D294" t="inlineStr">
        <is>
          <t>VÄSTERNORRLANDS LÄN</t>
        </is>
      </c>
      <c r="E294" t="inlineStr">
        <is>
          <t>HÄRNÖSAND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26920-2025</t>
        </is>
      </c>
      <c r="B295" s="1" t="n">
        <v>45811</v>
      </c>
      <c r="C295" s="1" t="n">
        <v>45996</v>
      </c>
      <c r="D295" t="inlineStr">
        <is>
          <t>VÄSTERNORRLANDS LÄN</t>
        </is>
      </c>
      <c r="E295" t="inlineStr">
        <is>
          <t>HÄRNÖSAND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31721-2025</t>
        </is>
      </c>
      <c r="B296" s="1" t="n">
        <v>45834.46159722222</v>
      </c>
      <c r="C296" s="1" t="n">
        <v>45996</v>
      </c>
      <c r="D296" t="inlineStr">
        <is>
          <t>VÄSTERNORRLANDS LÄN</t>
        </is>
      </c>
      <c r="E296" t="inlineStr">
        <is>
          <t>HÄRNÖSAND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50338-2022</t>
        </is>
      </c>
      <c r="B297" s="1" t="n">
        <v>44865.95387731482</v>
      </c>
      <c r="C297" s="1" t="n">
        <v>45996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6390-2025</t>
        </is>
      </c>
      <c r="B298" s="1" t="n">
        <v>45699.42733796296</v>
      </c>
      <c r="C298" s="1" t="n">
        <v>45996</v>
      </c>
      <c r="D298" t="inlineStr">
        <is>
          <t>VÄSTERNORRLANDS LÄN</t>
        </is>
      </c>
      <c r="E298" t="inlineStr">
        <is>
          <t>HÄRNÖSAND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61239-2024</t>
        </is>
      </c>
      <c r="B299" s="1" t="n">
        <v>45645.67857638889</v>
      </c>
      <c r="C299" s="1" t="n">
        <v>45996</v>
      </c>
      <c r="D299" t="inlineStr">
        <is>
          <t>VÄSTERNORRLANDS LÄN</t>
        </is>
      </c>
      <c r="E299" t="inlineStr">
        <is>
          <t>HÄRNÖSAND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39667-2025</t>
        </is>
      </c>
      <c r="B300" s="1" t="n">
        <v>45890.63642361111</v>
      </c>
      <c r="C300" s="1" t="n">
        <v>45996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32365-2025</t>
        </is>
      </c>
      <c r="B301" s="1" t="n">
        <v>45837.65668981482</v>
      </c>
      <c r="C301" s="1" t="n">
        <v>45996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61828-2024</t>
        </is>
      </c>
      <c r="B302" s="1" t="n">
        <v>45649.62344907408</v>
      </c>
      <c r="C302" s="1" t="n">
        <v>45996</v>
      </c>
      <c r="D302" t="inlineStr">
        <is>
          <t>VÄSTERNORRLANDS LÄN</t>
        </is>
      </c>
      <c r="E302" t="inlineStr">
        <is>
          <t>HÄRNÖSAND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29814-2022</t>
        </is>
      </c>
      <c r="B303" s="1" t="n">
        <v>44755</v>
      </c>
      <c r="C303" s="1" t="n">
        <v>45996</v>
      </c>
      <c r="D303" t="inlineStr">
        <is>
          <t>VÄSTERNORRLANDS LÄN</t>
        </is>
      </c>
      <c r="E303" t="inlineStr">
        <is>
          <t>HÄRNÖSAND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64746-2023</t>
        </is>
      </c>
      <c r="B304" s="1" t="n">
        <v>45281.9281712963</v>
      </c>
      <c r="C304" s="1" t="n">
        <v>45996</v>
      </c>
      <c r="D304" t="inlineStr">
        <is>
          <t>VÄSTERNORRLANDS LÄN</t>
        </is>
      </c>
      <c r="E304" t="inlineStr">
        <is>
          <t>HÄRNÖSAND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65224-2023</t>
        </is>
      </c>
      <c r="B305" s="1" t="n">
        <v>45289</v>
      </c>
      <c r="C305" s="1" t="n">
        <v>45996</v>
      </c>
      <c r="D305" t="inlineStr">
        <is>
          <t>VÄSTERNORRLANDS LÄN</t>
        </is>
      </c>
      <c r="E305" t="inlineStr">
        <is>
          <t>HÄRNÖSAND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32374-2025</t>
        </is>
      </c>
      <c r="B306" s="1" t="n">
        <v>45837.6984375</v>
      </c>
      <c r="C306" s="1" t="n">
        <v>45996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21268-2021</t>
        </is>
      </c>
      <c r="B307" s="1" t="n">
        <v>44320</v>
      </c>
      <c r="C307" s="1" t="n">
        <v>45996</v>
      </c>
      <c r="D307" t="inlineStr">
        <is>
          <t>VÄSTERNORRLANDS LÄN</t>
        </is>
      </c>
      <c r="E307" t="inlineStr">
        <is>
          <t>HÄRNÖSAND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18979-2023</t>
        </is>
      </c>
      <c r="B308" s="1" t="n">
        <v>45044</v>
      </c>
      <c r="C308" s="1" t="n">
        <v>45996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33150-2025</t>
        </is>
      </c>
      <c r="B309" s="1" t="n">
        <v>45840.54565972222</v>
      </c>
      <c r="C309" s="1" t="n">
        <v>45996</v>
      </c>
      <c r="D309" t="inlineStr">
        <is>
          <t>VÄSTERNORRLANDS LÄN</t>
        </is>
      </c>
      <c r="E309" t="inlineStr">
        <is>
          <t>HÄRNÖSAND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31408-2024</t>
        </is>
      </c>
      <c r="B310" s="1" t="n">
        <v>45502</v>
      </c>
      <c r="C310" s="1" t="n">
        <v>45996</v>
      </c>
      <c r="D310" t="inlineStr">
        <is>
          <t>VÄSTERNORRLANDS LÄN</t>
        </is>
      </c>
      <c r="E310" t="inlineStr">
        <is>
          <t>HÄRNÖSAND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64023-2023</t>
        </is>
      </c>
      <c r="B311" s="1" t="n">
        <v>45278</v>
      </c>
      <c r="C311" s="1" t="n">
        <v>45996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34729-2025</t>
        </is>
      </c>
      <c r="B312" s="1" t="n">
        <v>45840</v>
      </c>
      <c r="C312" s="1" t="n">
        <v>45996</v>
      </c>
      <c r="D312" t="inlineStr">
        <is>
          <t>VÄSTERNORRLANDS LÄN</t>
        </is>
      </c>
      <c r="E312" t="inlineStr">
        <is>
          <t>HÄRNÖSAND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33145-2025</t>
        </is>
      </c>
      <c r="B313" s="1" t="n">
        <v>45840</v>
      </c>
      <c r="C313" s="1" t="n">
        <v>45996</v>
      </c>
      <c r="D313" t="inlineStr">
        <is>
          <t>VÄSTERNORRLANDS LÄN</t>
        </is>
      </c>
      <c r="E313" t="inlineStr">
        <is>
          <t>HÄRNÖSAND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39876-2025</t>
        </is>
      </c>
      <c r="B314" s="1" t="n">
        <v>45891.61520833334</v>
      </c>
      <c r="C314" s="1" t="n">
        <v>45996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33156-2025</t>
        </is>
      </c>
      <c r="B315" s="1" t="n">
        <v>45840.55723379629</v>
      </c>
      <c r="C315" s="1" t="n">
        <v>45996</v>
      </c>
      <c r="D315" t="inlineStr">
        <is>
          <t>VÄSTERNORRLANDS LÄN</t>
        </is>
      </c>
      <c r="E315" t="inlineStr">
        <is>
          <t>HÄRNÖSAND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33165-2025</t>
        </is>
      </c>
      <c r="B316" s="1" t="n">
        <v>45840.57372685185</v>
      </c>
      <c r="C316" s="1" t="n">
        <v>45996</v>
      </c>
      <c r="D316" t="inlineStr">
        <is>
          <t>VÄSTERNORRLANDS LÄN</t>
        </is>
      </c>
      <c r="E316" t="inlineStr">
        <is>
          <t>HÄRNÖSAND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24452-2022</t>
        </is>
      </c>
      <c r="B317" s="1" t="n">
        <v>44726.61040509259</v>
      </c>
      <c r="C317" s="1" t="n">
        <v>45996</v>
      </c>
      <c r="D317" t="inlineStr">
        <is>
          <t>VÄSTERNORRLANDS LÄN</t>
        </is>
      </c>
      <c r="E317" t="inlineStr">
        <is>
          <t>HÄRNÖSAND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8024-2023</t>
        </is>
      </c>
      <c r="B318" s="1" t="n">
        <v>44973.92466435185</v>
      </c>
      <c r="C318" s="1" t="n">
        <v>45996</v>
      </c>
      <c r="D318" t="inlineStr">
        <is>
          <t>VÄSTERNORRLANDS LÄN</t>
        </is>
      </c>
      <c r="E318" t="inlineStr">
        <is>
          <t>HÄRNÖSAND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30764-2024</t>
        </is>
      </c>
      <c r="B319" s="1" t="n">
        <v>45496</v>
      </c>
      <c r="C319" s="1" t="n">
        <v>45996</v>
      </c>
      <c r="D319" t="inlineStr">
        <is>
          <t>VÄSTERNORRLANDS LÄN</t>
        </is>
      </c>
      <c r="E319" t="inlineStr">
        <is>
          <t>HÄRNÖSAND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42646-2023</t>
        </is>
      </c>
      <c r="B320" s="1" t="n">
        <v>45181</v>
      </c>
      <c r="C320" s="1" t="n">
        <v>45996</v>
      </c>
      <c r="D320" t="inlineStr">
        <is>
          <t>VÄSTERNORRLANDS LÄN</t>
        </is>
      </c>
      <c r="E320" t="inlineStr">
        <is>
          <t>HÄRNÖSAND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56165-2022</t>
        </is>
      </c>
      <c r="B321" s="1" t="n">
        <v>44889</v>
      </c>
      <c r="C321" s="1" t="n">
        <v>45996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45500-2024</t>
        </is>
      </c>
      <c r="B322" s="1" t="n">
        <v>45578.34388888889</v>
      </c>
      <c r="C322" s="1" t="n">
        <v>45996</v>
      </c>
      <c r="D322" t="inlineStr">
        <is>
          <t>VÄSTERNORRLANDS LÄN</t>
        </is>
      </c>
      <c r="E322" t="inlineStr">
        <is>
          <t>HÄRNÖSAND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45504-2024</t>
        </is>
      </c>
      <c r="B323" s="1" t="n">
        <v>45578.40445601852</v>
      </c>
      <c r="C323" s="1" t="n">
        <v>45996</v>
      </c>
      <c r="D323" t="inlineStr">
        <is>
          <t>VÄSTERNORRLANDS LÄN</t>
        </is>
      </c>
      <c r="E323" t="inlineStr">
        <is>
          <t>HÄRNÖSAND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4118-2021</t>
        </is>
      </c>
      <c r="B324" s="1" t="n">
        <v>44222</v>
      </c>
      <c r="C324" s="1" t="n">
        <v>45996</v>
      </c>
      <c r="D324" t="inlineStr">
        <is>
          <t>VÄSTERNORRLANDS LÄN</t>
        </is>
      </c>
      <c r="E324" t="inlineStr">
        <is>
          <t>HÄRNÖSAND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43025-2024</t>
        </is>
      </c>
      <c r="B325" s="1" t="n">
        <v>45567.40853009259</v>
      </c>
      <c r="C325" s="1" t="n">
        <v>45996</v>
      </c>
      <c r="D325" t="inlineStr">
        <is>
          <t>VÄSTERNORRLANDS LÄN</t>
        </is>
      </c>
      <c r="E325" t="inlineStr">
        <is>
          <t>HÄRNÖSAND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29813-2022</t>
        </is>
      </c>
      <c r="B326" s="1" t="n">
        <v>44755</v>
      </c>
      <c r="C326" s="1" t="n">
        <v>45996</v>
      </c>
      <c r="D326" t="inlineStr">
        <is>
          <t>VÄSTERNORRLANDS LÄN</t>
        </is>
      </c>
      <c r="E326" t="inlineStr">
        <is>
          <t>HÄRNÖSAND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54252-2022</t>
        </is>
      </c>
      <c r="B327" s="1" t="n">
        <v>44881.95212962963</v>
      </c>
      <c r="C327" s="1" t="n">
        <v>45996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16220-2025</t>
        </is>
      </c>
      <c r="B328" s="1" t="n">
        <v>45749</v>
      </c>
      <c r="C328" s="1" t="n">
        <v>45996</v>
      </c>
      <c r="D328" t="inlineStr">
        <is>
          <t>VÄSTERNORRLANDS LÄN</t>
        </is>
      </c>
      <c r="E328" t="inlineStr">
        <is>
          <t>HÄRNÖSAND</t>
        </is>
      </c>
      <c r="G328" t="n">
        <v>10.3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34736-2025</t>
        </is>
      </c>
      <c r="B329" s="1" t="n">
        <v>45848.60254629629</v>
      </c>
      <c r="C329" s="1" t="n">
        <v>45996</v>
      </c>
      <c r="D329" t="inlineStr">
        <is>
          <t>VÄSTERNORRLANDS LÄN</t>
        </is>
      </c>
      <c r="E329" t="inlineStr">
        <is>
          <t>HÄRNÖSAND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16009-2025</t>
        </is>
      </c>
      <c r="B330" s="1" t="n">
        <v>45749.59996527778</v>
      </c>
      <c r="C330" s="1" t="n">
        <v>45996</v>
      </c>
      <c r="D330" t="inlineStr">
        <is>
          <t>VÄSTERNORRLANDS LÄN</t>
        </is>
      </c>
      <c r="E330" t="inlineStr">
        <is>
          <t>HÄRNÖSAND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34751-2025</t>
        </is>
      </c>
      <c r="B331" s="1" t="n">
        <v>45848.61704861111</v>
      </c>
      <c r="C331" s="1" t="n">
        <v>45996</v>
      </c>
      <c r="D331" t="inlineStr">
        <is>
          <t>VÄSTERNORRLANDS LÄN</t>
        </is>
      </c>
      <c r="E331" t="inlineStr">
        <is>
          <t>HÄRNÖSAND</t>
        </is>
      </c>
      <c r="G331" t="n">
        <v>8.699999999999999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34771-2025</t>
        </is>
      </c>
      <c r="B332" s="1" t="n">
        <v>45848.65488425926</v>
      </c>
      <c r="C332" s="1" t="n">
        <v>45996</v>
      </c>
      <c r="D332" t="inlineStr">
        <is>
          <t>VÄSTERNORRLANDS LÄN</t>
        </is>
      </c>
      <c r="E332" t="inlineStr">
        <is>
          <t>HÄRNÖSAND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46508-2023</t>
        </is>
      </c>
      <c r="B333" s="1" t="n">
        <v>45194</v>
      </c>
      <c r="C333" s="1" t="n">
        <v>45996</v>
      </c>
      <c r="D333" t="inlineStr">
        <is>
          <t>VÄSTERNORRLANDS LÄN</t>
        </is>
      </c>
      <c r="E333" t="inlineStr">
        <is>
          <t>HÄRNÖSAND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35189-2025</t>
        </is>
      </c>
      <c r="B334" s="1" t="n">
        <v>45853.34439814815</v>
      </c>
      <c r="C334" s="1" t="n">
        <v>45996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7790-2025</t>
        </is>
      </c>
      <c r="B335" s="1" t="n">
        <v>45706.59415509259</v>
      </c>
      <c r="C335" s="1" t="n">
        <v>45996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31546-2024</t>
        </is>
      </c>
      <c r="B336" s="1" t="n">
        <v>45505</v>
      </c>
      <c r="C336" s="1" t="n">
        <v>45996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24813-2022</t>
        </is>
      </c>
      <c r="B337" s="1" t="n">
        <v>44728</v>
      </c>
      <c r="C337" s="1" t="n">
        <v>45996</v>
      </c>
      <c r="D337" t="inlineStr">
        <is>
          <t>VÄSTERNORRLANDS LÄN</t>
        </is>
      </c>
      <c r="E337" t="inlineStr">
        <is>
          <t>HÄRNÖSAND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41484-2021</t>
        </is>
      </c>
      <c r="B338" s="1" t="n">
        <v>44424</v>
      </c>
      <c r="C338" s="1" t="n">
        <v>45996</v>
      </c>
      <c r="D338" t="inlineStr">
        <is>
          <t>VÄSTERNORRLANDS LÄN</t>
        </is>
      </c>
      <c r="E338" t="inlineStr">
        <is>
          <t>HÄRNÖSAND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17524-2025</t>
        </is>
      </c>
      <c r="B339" s="1" t="n">
        <v>45757.58121527778</v>
      </c>
      <c r="C339" s="1" t="n">
        <v>45996</v>
      </c>
      <c r="D339" t="inlineStr">
        <is>
          <t>VÄSTERNORRLANDS LÄN</t>
        </is>
      </c>
      <c r="E339" t="inlineStr">
        <is>
          <t>HÄRNÖSAND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46320-2022</t>
        </is>
      </c>
      <c r="B340" s="1" t="n">
        <v>44847</v>
      </c>
      <c r="C340" s="1" t="n">
        <v>45996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Kyrkan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16233-2021</t>
        </is>
      </c>
      <c r="B341" s="1" t="n">
        <v>44287</v>
      </c>
      <c r="C341" s="1" t="n">
        <v>45996</v>
      </c>
      <c r="D341" t="inlineStr">
        <is>
          <t>VÄSTERNORRLANDS LÄN</t>
        </is>
      </c>
      <c r="E341" t="inlineStr">
        <is>
          <t>HÄRNÖSAND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8023-2023</t>
        </is>
      </c>
      <c r="B342" s="1" t="n">
        <v>44973</v>
      </c>
      <c r="C342" s="1" t="n">
        <v>45996</v>
      </c>
      <c r="D342" t="inlineStr">
        <is>
          <t>VÄSTERNORRLANDS LÄN</t>
        </is>
      </c>
      <c r="E342" t="inlineStr">
        <is>
          <t>HÄRNÖSAND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35644-2025</t>
        </is>
      </c>
      <c r="B343" s="1" t="n">
        <v>45859.49021990741</v>
      </c>
      <c r="C343" s="1" t="n">
        <v>45996</v>
      </c>
      <c r="D343" t="inlineStr">
        <is>
          <t>VÄSTERNORRLANDS LÄN</t>
        </is>
      </c>
      <c r="E343" t="inlineStr">
        <is>
          <t>HÄRNÖSAND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14494-2025</t>
        </is>
      </c>
      <c r="B344" s="1" t="n">
        <v>45741.61486111111</v>
      </c>
      <c r="C344" s="1" t="n">
        <v>45996</v>
      </c>
      <c r="D344" t="inlineStr">
        <is>
          <t>VÄSTERNORRLANDS LÄN</t>
        </is>
      </c>
      <c r="E344" t="inlineStr">
        <is>
          <t>HÄRNÖSAND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46319-2022</t>
        </is>
      </c>
      <c r="B345" s="1" t="n">
        <v>44847</v>
      </c>
      <c r="C345" s="1" t="n">
        <v>45996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Kyrkan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23805-2025</t>
        </is>
      </c>
      <c r="B346" s="1" t="n">
        <v>45793</v>
      </c>
      <c r="C346" s="1" t="n">
        <v>45996</v>
      </c>
      <c r="D346" t="inlineStr">
        <is>
          <t>VÄSTERNORRLANDS LÄN</t>
        </is>
      </c>
      <c r="E346" t="inlineStr">
        <is>
          <t>HÄRNÖSAND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56304-2024</t>
        </is>
      </c>
      <c r="B347" s="1" t="n">
        <v>45624</v>
      </c>
      <c r="C347" s="1" t="n">
        <v>45996</v>
      </c>
      <c r="D347" t="inlineStr">
        <is>
          <t>VÄSTERNORRLANDS LÄN</t>
        </is>
      </c>
      <c r="E347" t="inlineStr">
        <is>
          <t>HÄRNÖSAND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12150-2025</t>
        </is>
      </c>
      <c r="B348" s="1" t="n">
        <v>45729.40675925926</v>
      </c>
      <c r="C348" s="1" t="n">
        <v>45996</v>
      </c>
      <c r="D348" t="inlineStr">
        <is>
          <t>VÄSTERNORRLANDS LÄN</t>
        </is>
      </c>
      <c r="E348" t="inlineStr">
        <is>
          <t>HÄRNÖSAND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40743-2025</t>
        </is>
      </c>
      <c r="B349" s="1" t="n">
        <v>45897.37375</v>
      </c>
      <c r="C349" s="1" t="n">
        <v>45996</v>
      </c>
      <c r="D349" t="inlineStr">
        <is>
          <t>VÄSTERNORRLANDS LÄN</t>
        </is>
      </c>
      <c r="E349" t="inlineStr">
        <is>
          <t>HÄRNÖSAND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11078-2025</t>
        </is>
      </c>
      <c r="B350" s="1" t="n">
        <v>45723.55694444444</v>
      </c>
      <c r="C350" s="1" t="n">
        <v>45996</v>
      </c>
      <c r="D350" t="inlineStr">
        <is>
          <t>VÄSTERNORRLANDS LÄN</t>
        </is>
      </c>
      <c r="E350" t="inlineStr">
        <is>
          <t>HÄRNÖSAND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29279-2024</t>
        </is>
      </c>
      <c r="B351" s="1" t="n">
        <v>45482.95092592593</v>
      </c>
      <c r="C351" s="1" t="n">
        <v>45996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3727-2025</t>
        </is>
      </c>
      <c r="B352" s="1" t="n">
        <v>45681.54129629629</v>
      </c>
      <c r="C352" s="1" t="n">
        <v>45996</v>
      </c>
      <c r="D352" t="inlineStr">
        <is>
          <t>VÄSTERNORRLANDS LÄN</t>
        </is>
      </c>
      <c r="E352" t="inlineStr">
        <is>
          <t>HÄRNÖSAND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29546-2025</t>
        </is>
      </c>
      <c r="B353" s="1" t="n">
        <v>45825.34553240741</v>
      </c>
      <c r="C353" s="1" t="n">
        <v>45996</v>
      </c>
      <c r="D353" t="inlineStr">
        <is>
          <t>VÄSTERNORRLANDS LÄN</t>
        </is>
      </c>
      <c r="E353" t="inlineStr">
        <is>
          <t>HÄRNÖSAND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44459-2024</t>
        </is>
      </c>
      <c r="B354" s="1" t="n">
        <v>45574.35724537037</v>
      </c>
      <c r="C354" s="1" t="n">
        <v>45996</v>
      </c>
      <c r="D354" t="inlineStr">
        <is>
          <t>VÄSTERNORRLANDS LÄN</t>
        </is>
      </c>
      <c r="E354" t="inlineStr">
        <is>
          <t>HÄRNÖSAND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14495-2025</t>
        </is>
      </c>
      <c r="B355" s="1" t="n">
        <v>45741.61488425926</v>
      </c>
      <c r="C355" s="1" t="n">
        <v>45996</v>
      </c>
      <c r="D355" t="inlineStr">
        <is>
          <t>VÄSTERNORRLANDS LÄN</t>
        </is>
      </c>
      <c r="E355" t="inlineStr">
        <is>
          <t>HÄRNÖSAND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30710-2024</t>
        </is>
      </c>
      <c r="B356" s="1" t="n">
        <v>45496</v>
      </c>
      <c r="C356" s="1" t="n">
        <v>45996</v>
      </c>
      <c r="D356" t="inlineStr">
        <is>
          <t>VÄSTERNORRLANDS LÄN</t>
        </is>
      </c>
      <c r="E356" t="inlineStr">
        <is>
          <t>HÄRNÖSAND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4818-2024</t>
        </is>
      </c>
      <c r="B357" s="1" t="n">
        <v>45328</v>
      </c>
      <c r="C357" s="1" t="n">
        <v>45996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4819-2024</t>
        </is>
      </c>
      <c r="B358" s="1" t="n">
        <v>45328</v>
      </c>
      <c r="C358" s="1" t="n">
        <v>45996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36388-2021</t>
        </is>
      </c>
      <c r="B359" s="1" t="n">
        <v>44390</v>
      </c>
      <c r="C359" s="1" t="n">
        <v>45996</v>
      </c>
      <c r="D359" t="inlineStr">
        <is>
          <t>VÄSTERNORRLANDS LÄN</t>
        </is>
      </c>
      <c r="E359" t="inlineStr">
        <is>
          <t>HÄRNÖSAND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13604-2024</t>
        </is>
      </c>
      <c r="B360" s="1" t="n">
        <v>45390</v>
      </c>
      <c r="C360" s="1" t="n">
        <v>45996</v>
      </c>
      <c r="D360" t="inlineStr">
        <is>
          <t>VÄSTERNORRLANDS LÄN</t>
        </is>
      </c>
      <c r="E360" t="inlineStr">
        <is>
          <t>HÄRNÖSAND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18812-2025</t>
        </is>
      </c>
      <c r="B361" s="1" t="n">
        <v>45764.36490740741</v>
      </c>
      <c r="C361" s="1" t="n">
        <v>45996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4145-2025</t>
        </is>
      </c>
      <c r="B362" s="1" t="n">
        <v>45685.36495370371</v>
      </c>
      <c r="C362" s="1" t="n">
        <v>45996</v>
      </c>
      <c r="D362" t="inlineStr">
        <is>
          <t>VÄSTERNORRLANDS LÄN</t>
        </is>
      </c>
      <c r="E362" t="inlineStr">
        <is>
          <t>HÄRNÖSAND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60970-2021</t>
        </is>
      </c>
      <c r="B363" s="1" t="n">
        <v>44496</v>
      </c>
      <c r="C363" s="1" t="n">
        <v>45996</v>
      </c>
      <c r="D363" t="inlineStr">
        <is>
          <t>VÄSTERNORRLANDS LÄN</t>
        </is>
      </c>
      <c r="E363" t="inlineStr">
        <is>
          <t>HÄRNÖSAND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52987-2022</t>
        </is>
      </c>
      <c r="B364" s="1" t="n">
        <v>44875</v>
      </c>
      <c r="C364" s="1" t="n">
        <v>45996</v>
      </c>
      <c r="D364" t="inlineStr">
        <is>
          <t>VÄSTERNORRLANDS LÄN</t>
        </is>
      </c>
      <c r="E364" t="inlineStr">
        <is>
          <t>HÄRNÖSAND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47702-2021</t>
        </is>
      </c>
      <c r="B365" s="1" t="n">
        <v>44448</v>
      </c>
      <c r="C365" s="1" t="n">
        <v>45996</v>
      </c>
      <c r="D365" t="inlineStr">
        <is>
          <t>VÄSTERNORRLANDS LÄN</t>
        </is>
      </c>
      <c r="E365" t="inlineStr">
        <is>
          <t>HÄRNÖSAND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69269-2021</t>
        </is>
      </c>
      <c r="B366" s="1" t="n">
        <v>44531.43854166667</v>
      </c>
      <c r="C366" s="1" t="n">
        <v>45996</v>
      </c>
      <c r="D366" t="inlineStr">
        <is>
          <t>VÄSTERNORRLANDS LÄN</t>
        </is>
      </c>
      <c r="E366" t="inlineStr">
        <is>
          <t>HÄRNÖSAND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12267-2025</t>
        </is>
      </c>
      <c r="B367" s="1" t="n">
        <v>45729</v>
      </c>
      <c r="C367" s="1" t="n">
        <v>45996</v>
      </c>
      <c r="D367" t="inlineStr">
        <is>
          <t>VÄSTERNORRLANDS LÄN</t>
        </is>
      </c>
      <c r="E367" t="inlineStr">
        <is>
          <t>HÄRNÖSAND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38146-2024</t>
        </is>
      </c>
      <c r="B368" s="1" t="n">
        <v>45545</v>
      </c>
      <c r="C368" s="1" t="n">
        <v>45996</v>
      </c>
      <c r="D368" t="inlineStr">
        <is>
          <t>VÄSTERNORRLANDS LÄN</t>
        </is>
      </c>
      <c r="E368" t="inlineStr">
        <is>
          <t>HÄRNÖSAND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49346-2024</t>
        </is>
      </c>
      <c r="B369" s="1" t="n">
        <v>45595.6062962963</v>
      </c>
      <c r="C369" s="1" t="n">
        <v>45996</v>
      </c>
      <c r="D369" t="inlineStr">
        <is>
          <t>VÄSTERNORRLANDS LÄN</t>
        </is>
      </c>
      <c r="E369" t="inlineStr">
        <is>
          <t>HÄRNÖSAND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49364-2024</t>
        </is>
      </c>
      <c r="B370" s="1" t="n">
        <v>45595.63494212963</v>
      </c>
      <c r="C370" s="1" t="n">
        <v>45996</v>
      </c>
      <c r="D370" t="inlineStr">
        <is>
          <t>VÄSTERNORRLANDS LÄN</t>
        </is>
      </c>
      <c r="E370" t="inlineStr">
        <is>
          <t>HÄRNÖSAND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29429-2024</t>
        </is>
      </c>
      <c r="B371" s="1" t="n">
        <v>45483</v>
      </c>
      <c r="C371" s="1" t="n">
        <v>45996</v>
      </c>
      <c r="D371" t="inlineStr">
        <is>
          <t>VÄSTERNORRLANDS LÄN</t>
        </is>
      </c>
      <c r="E371" t="inlineStr">
        <is>
          <t>HÄRNÖSAND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36958-2025</t>
        </is>
      </c>
      <c r="B372" s="1" t="n">
        <v>45874.61498842593</v>
      </c>
      <c r="C372" s="1" t="n">
        <v>45996</v>
      </c>
      <c r="D372" t="inlineStr">
        <is>
          <t>VÄSTERNORRLANDS LÄN</t>
        </is>
      </c>
      <c r="E372" t="inlineStr">
        <is>
          <t>HÄRNÖSAND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36959-2025</t>
        </is>
      </c>
      <c r="B373" s="1" t="n">
        <v>45874.61505787037</v>
      </c>
      <c r="C373" s="1" t="n">
        <v>45996</v>
      </c>
      <c r="D373" t="inlineStr">
        <is>
          <t>VÄSTERNORRLANDS LÄN</t>
        </is>
      </c>
      <c r="E373" t="inlineStr">
        <is>
          <t>HÄRNÖSAND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36989-2025</t>
        </is>
      </c>
      <c r="B374" s="1" t="n">
        <v>45874.65864583333</v>
      </c>
      <c r="C374" s="1" t="n">
        <v>45996</v>
      </c>
      <c r="D374" t="inlineStr">
        <is>
          <t>VÄSTERNORRLANDS LÄN</t>
        </is>
      </c>
      <c r="E374" t="inlineStr">
        <is>
          <t>HÄRNÖSAND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36960-2025</t>
        </is>
      </c>
      <c r="B375" s="1" t="n">
        <v>45874.61506944444</v>
      </c>
      <c r="C375" s="1" t="n">
        <v>45996</v>
      </c>
      <c r="D375" t="inlineStr">
        <is>
          <t>VÄSTERNORRLANDS LÄN</t>
        </is>
      </c>
      <c r="E375" t="inlineStr">
        <is>
          <t>HÄRNÖSAND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64377-2023</t>
        </is>
      </c>
      <c r="B376" s="1" t="n">
        <v>45280</v>
      </c>
      <c r="C376" s="1" t="n">
        <v>45996</v>
      </c>
      <c r="D376" t="inlineStr">
        <is>
          <t>VÄSTERNORRLANDS LÄN</t>
        </is>
      </c>
      <c r="E376" t="inlineStr">
        <is>
          <t>HÄRNÖSAND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7061-2022</t>
        </is>
      </c>
      <c r="B377" s="1" t="n">
        <v>44603</v>
      </c>
      <c r="C377" s="1" t="n">
        <v>45996</v>
      </c>
      <c r="D377" t="inlineStr">
        <is>
          <t>VÄSTERNORRLANDS LÄN</t>
        </is>
      </c>
      <c r="E377" t="inlineStr">
        <is>
          <t>HÄRNÖSAND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41147-2023</t>
        </is>
      </c>
      <c r="B378" s="1" t="n">
        <v>45173</v>
      </c>
      <c r="C378" s="1" t="n">
        <v>45996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47781-2023</t>
        </is>
      </c>
      <c r="B379" s="1" t="n">
        <v>45203</v>
      </c>
      <c r="C379" s="1" t="n">
        <v>45996</v>
      </c>
      <c r="D379" t="inlineStr">
        <is>
          <t>VÄSTERNORRLANDS LÄN</t>
        </is>
      </c>
      <c r="E379" t="inlineStr">
        <is>
          <t>HÄRNÖSAND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36991-2025</t>
        </is>
      </c>
      <c r="B380" s="1" t="n">
        <v>45874.66869212963</v>
      </c>
      <c r="C380" s="1" t="n">
        <v>45996</v>
      </c>
      <c r="D380" t="inlineStr">
        <is>
          <t>VÄSTERNORRLANDS LÄN</t>
        </is>
      </c>
      <c r="E380" t="inlineStr">
        <is>
          <t>HÄRNÖSAND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36993-2025</t>
        </is>
      </c>
      <c r="B381" s="1" t="n">
        <v>45874.6715625</v>
      </c>
      <c r="C381" s="1" t="n">
        <v>45996</v>
      </c>
      <c r="D381" t="inlineStr">
        <is>
          <t>VÄSTERNORRLANDS LÄN</t>
        </is>
      </c>
      <c r="E381" t="inlineStr">
        <is>
          <t>HÄRNÖSAND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19167-2025</t>
        </is>
      </c>
      <c r="B382" s="1" t="n">
        <v>45769.38585648148</v>
      </c>
      <c r="C382" s="1" t="n">
        <v>45996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17281-2025</t>
        </is>
      </c>
      <c r="B383" s="1" t="n">
        <v>45756</v>
      </c>
      <c r="C383" s="1" t="n">
        <v>45996</v>
      </c>
      <c r="D383" t="inlineStr">
        <is>
          <t>VÄSTERNORRLANDS LÄN</t>
        </is>
      </c>
      <c r="E383" t="inlineStr">
        <is>
          <t>HÄRNÖSAND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41562-2025</t>
        </is>
      </c>
      <c r="B384" s="1" t="n">
        <v>45901</v>
      </c>
      <c r="C384" s="1" t="n">
        <v>45996</v>
      </c>
      <c r="D384" t="inlineStr">
        <is>
          <t>VÄSTERNORRLANDS LÄN</t>
        </is>
      </c>
      <c r="E384" t="inlineStr">
        <is>
          <t>HÄRNÖSAND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40452-2023</t>
        </is>
      </c>
      <c r="B385" s="1" t="n">
        <v>45168</v>
      </c>
      <c r="C385" s="1" t="n">
        <v>45996</v>
      </c>
      <c r="D385" t="inlineStr">
        <is>
          <t>VÄSTERNORRLANDS LÄN</t>
        </is>
      </c>
      <c r="E385" t="inlineStr">
        <is>
          <t>HÄRNÖSAND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57344-2024</t>
        </is>
      </c>
      <c r="B386" s="1" t="n">
        <v>45629.63753472222</v>
      </c>
      <c r="C386" s="1" t="n">
        <v>45996</v>
      </c>
      <c r="D386" t="inlineStr">
        <is>
          <t>VÄSTERNORRLANDS LÄN</t>
        </is>
      </c>
      <c r="E386" t="inlineStr">
        <is>
          <t>HÄRNÖSAND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37562-2025</t>
        </is>
      </c>
      <c r="B387" s="1" t="n">
        <v>45880.34414351852</v>
      </c>
      <c r="C387" s="1" t="n">
        <v>45996</v>
      </c>
      <c r="D387" t="inlineStr">
        <is>
          <t>VÄSTERNORRLANDS LÄN</t>
        </is>
      </c>
      <c r="E387" t="inlineStr">
        <is>
          <t>HÄRNÖSAND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27912-2022</t>
        </is>
      </c>
      <c r="B388" s="1" t="n">
        <v>44743.92454861111</v>
      </c>
      <c r="C388" s="1" t="n">
        <v>45996</v>
      </c>
      <c r="D388" t="inlineStr">
        <is>
          <t>VÄSTERNORRLANDS LÄN</t>
        </is>
      </c>
      <c r="E388" t="inlineStr">
        <is>
          <t>HÄRNÖSAND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37172-2022</t>
        </is>
      </c>
      <c r="B389" s="1" t="n">
        <v>44806</v>
      </c>
      <c r="C389" s="1" t="n">
        <v>45996</v>
      </c>
      <c r="D389" t="inlineStr">
        <is>
          <t>VÄSTERNORRLANDS LÄN</t>
        </is>
      </c>
      <c r="E389" t="inlineStr">
        <is>
          <t>HÄRNÖSAND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37172-2022</t>
        </is>
      </c>
      <c r="B390" s="1" t="n">
        <v>44806</v>
      </c>
      <c r="C390" s="1" t="n">
        <v>45996</v>
      </c>
      <c r="D390" t="inlineStr">
        <is>
          <t>VÄSTERNORRLANDS LÄN</t>
        </is>
      </c>
      <c r="E390" t="inlineStr">
        <is>
          <t>HÄRNÖSAND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9242-2025</t>
        </is>
      </c>
      <c r="B391" s="1" t="n">
        <v>45714.56533564815</v>
      </c>
      <c r="C391" s="1" t="n">
        <v>45996</v>
      </c>
      <c r="D391" t="inlineStr">
        <is>
          <t>VÄSTERNORRLANDS LÄN</t>
        </is>
      </c>
      <c r="E391" t="inlineStr">
        <is>
          <t>HÄRNÖSAND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55058-2023</t>
        </is>
      </c>
      <c r="B392" s="1" t="n">
        <v>45229</v>
      </c>
      <c r="C392" s="1" t="n">
        <v>45996</v>
      </c>
      <c r="D392" t="inlineStr">
        <is>
          <t>VÄSTERNORRLANDS LÄN</t>
        </is>
      </c>
      <c r="E392" t="inlineStr">
        <is>
          <t>HÄRNÖSAND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10128-2023</t>
        </is>
      </c>
      <c r="B393" s="1" t="n">
        <v>44980</v>
      </c>
      <c r="C393" s="1" t="n">
        <v>45996</v>
      </c>
      <c r="D393" t="inlineStr">
        <is>
          <t>VÄSTERNORRLANDS LÄN</t>
        </is>
      </c>
      <c r="E393" t="inlineStr">
        <is>
          <t>HÄRNÖSAND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29104-2023</t>
        </is>
      </c>
      <c r="B394" s="1" t="n">
        <v>45097</v>
      </c>
      <c r="C394" s="1" t="n">
        <v>45996</v>
      </c>
      <c r="D394" t="inlineStr">
        <is>
          <t>VÄSTERNORRLANDS LÄN</t>
        </is>
      </c>
      <c r="E394" t="inlineStr">
        <is>
          <t>HÄRNÖSAND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6886-2025</t>
        </is>
      </c>
      <c r="B395" s="1" t="n">
        <v>45701.34599537037</v>
      </c>
      <c r="C395" s="1" t="n">
        <v>45996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12105-2025</t>
        </is>
      </c>
      <c r="B396" s="1" t="n">
        <v>45729</v>
      </c>
      <c r="C396" s="1" t="n">
        <v>45996</v>
      </c>
      <c r="D396" t="inlineStr">
        <is>
          <t>VÄSTERNORRLANDS LÄN</t>
        </is>
      </c>
      <c r="E396" t="inlineStr">
        <is>
          <t>HÄRNÖSAND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12129-2025</t>
        </is>
      </c>
      <c r="B397" s="1" t="n">
        <v>45729.38563657407</v>
      </c>
      <c r="C397" s="1" t="n">
        <v>45996</v>
      </c>
      <c r="D397" t="inlineStr">
        <is>
          <t>VÄSTERNORRLANDS LÄN</t>
        </is>
      </c>
      <c r="E397" t="inlineStr">
        <is>
          <t>HÄRNÖSAND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42214-2024</t>
        </is>
      </c>
      <c r="B398" s="1" t="n">
        <v>45562</v>
      </c>
      <c r="C398" s="1" t="n">
        <v>45996</v>
      </c>
      <c r="D398" t="inlineStr">
        <is>
          <t>VÄSTERNORRLANDS LÄN</t>
        </is>
      </c>
      <c r="E398" t="inlineStr">
        <is>
          <t>HÄRNÖSAND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11043-2023</t>
        </is>
      </c>
      <c r="B399" s="1" t="n">
        <v>44991</v>
      </c>
      <c r="C399" s="1" t="n">
        <v>45996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18828-2025</t>
        </is>
      </c>
      <c r="B400" s="1" t="n">
        <v>45764.38630787037</v>
      </c>
      <c r="C400" s="1" t="n">
        <v>45996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32.6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54560-2024</t>
        </is>
      </c>
      <c r="B401" s="1" t="n">
        <v>45617</v>
      </c>
      <c r="C401" s="1" t="n">
        <v>45996</v>
      </c>
      <c r="D401" t="inlineStr">
        <is>
          <t>VÄSTERNORRLANDS LÄN</t>
        </is>
      </c>
      <c r="E401" t="inlineStr">
        <is>
          <t>HÄRNÖSAND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8411-2024</t>
        </is>
      </c>
      <c r="B402" s="1" t="n">
        <v>45352</v>
      </c>
      <c r="C402" s="1" t="n">
        <v>45996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58869-2023</t>
        </is>
      </c>
      <c r="B403" s="1" t="n">
        <v>45250</v>
      </c>
      <c r="C403" s="1" t="n">
        <v>45996</v>
      </c>
      <c r="D403" t="inlineStr">
        <is>
          <t>VÄSTERNORRLANDS LÄN</t>
        </is>
      </c>
      <c r="E403" t="inlineStr">
        <is>
          <t>HÄRNÖSAND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45921-2024</t>
        </is>
      </c>
      <c r="B404" s="1" t="n">
        <v>45580.46635416667</v>
      </c>
      <c r="C404" s="1" t="n">
        <v>45996</v>
      </c>
      <c r="D404" t="inlineStr">
        <is>
          <t>VÄSTERNORRLANDS LÄN</t>
        </is>
      </c>
      <c r="E404" t="inlineStr">
        <is>
          <t>HÄRNÖSAND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19201-2025</t>
        </is>
      </c>
      <c r="B405" s="1" t="n">
        <v>45769.42797453704</v>
      </c>
      <c r="C405" s="1" t="n">
        <v>45996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20.5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19166-2025</t>
        </is>
      </c>
      <c r="B406" s="1" t="n">
        <v>45769.38575231482</v>
      </c>
      <c r="C406" s="1" t="n">
        <v>45996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12497-2025</t>
        </is>
      </c>
      <c r="B407" s="1" t="n">
        <v>45730</v>
      </c>
      <c r="C407" s="1" t="n">
        <v>45996</v>
      </c>
      <c r="D407" t="inlineStr">
        <is>
          <t>VÄSTERNORRLANDS LÄN</t>
        </is>
      </c>
      <c r="E407" t="inlineStr">
        <is>
          <t>HÄRNÖSAND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64749-2023</t>
        </is>
      </c>
      <c r="B408" s="1" t="n">
        <v>45281.92850694444</v>
      </c>
      <c r="C408" s="1" t="n">
        <v>45996</v>
      </c>
      <c r="D408" t="inlineStr">
        <is>
          <t>VÄSTERNORRLANDS LÄN</t>
        </is>
      </c>
      <c r="E408" t="inlineStr">
        <is>
          <t>HÄRNÖSAND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42514-2025</t>
        </is>
      </c>
      <c r="B409" s="1" t="n">
        <v>45905.5446875</v>
      </c>
      <c r="C409" s="1" t="n">
        <v>45996</v>
      </c>
      <c r="D409" t="inlineStr">
        <is>
          <t>VÄSTERNORRLANDS LÄN</t>
        </is>
      </c>
      <c r="E409" t="inlineStr">
        <is>
          <t>HÄRNÖSAND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10314-2024</t>
        </is>
      </c>
      <c r="B410" s="1" t="n">
        <v>45365</v>
      </c>
      <c r="C410" s="1" t="n">
        <v>45996</v>
      </c>
      <c r="D410" t="inlineStr">
        <is>
          <t>VÄSTERNORRLANDS LÄN</t>
        </is>
      </c>
      <c r="E410" t="inlineStr">
        <is>
          <t>HÄRNÖSAND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6833-2024</t>
        </is>
      </c>
      <c r="B411" s="1" t="n">
        <v>45342</v>
      </c>
      <c r="C411" s="1" t="n">
        <v>45996</v>
      </c>
      <c r="D411" t="inlineStr">
        <is>
          <t>VÄSTERNORRLANDS LÄN</t>
        </is>
      </c>
      <c r="E411" t="inlineStr">
        <is>
          <t>HÄRNÖSAND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35387-2024</t>
        </is>
      </c>
      <c r="B412" s="1" t="n">
        <v>45531.39597222222</v>
      </c>
      <c r="C412" s="1" t="n">
        <v>45996</v>
      </c>
      <c r="D412" t="inlineStr">
        <is>
          <t>VÄSTERNORRLANDS LÄN</t>
        </is>
      </c>
      <c r="E412" t="inlineStr">
        <is>
          <t>HÄRNÖSAND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6258-2023</t>
        </is>
      </c>
      <c r="B413" s="1" t="n">
        <v>44957</v>
      </c>
      <c r="C413" s="1" t="n">
        <v>45996</v>
      </c>
      <c r="D413" t="inlineStr">
        <is>
          <t>VÄSTERNORRLANDS LÄN</t>
        </is>
      </c>
      <c r="E413" t="inlineStr">
        <is>
          <t>HÄRNÖSAND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25696-2025</t>
        </is>
      </c>
      <c r="B414" s="1" t="n">
        <v>45803.66592592592</v>
      </c>
      <c r="C414" s="1" t="n">
        <v>45996</v>
      </c>
      <c r="D414" t="inlineStr">
        <is>
          <t>VÄSTERNORRLANDS LÄN</t>
        </is>
      </c>
      <c r="E414" t="inlineStr">
        <is>
          <t>HÄRNÖSAND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61776-2023</t>
        </is>
      </c>
      <c r="B415" s="1" t="n">
        <v>45265.95650462963</v>
      </c>
      <c r="C415" s="1" t="n">
        <v>45996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59408-2024</t>
        </is>
      </c>
      <c r="B416" s="1" t="n">
        <v>45638.38923611111</v>
      </c>
      <c r="C416" s="1" t="n">
        <v>45996</v>
      </c>
      <c r="D416" t="inlineStr">
        <is>
          <t>VÄSTERNORRLANDS LÄN</t>
        </is>
      </c>
      <c r="E416" t="inlineStr">
        <is>
          <t>HÄRNÖSAND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27977-2024</t>
        </is>
      </c>
      <c r="B417" s="1" t="n">
        <v>45476</v>
      </c>
      <c r="C417" s="1" t="n">
        <v>45996</v>
      </c>
      <c r="D417" t="inlineStr">
        <is>
          <t>VÄSTERNORRLANDS LÄN</t>
        </is>
      </c>
      <c r="E417" t="inlineStr">
        <is>
          <t>HÄRNÖSAND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208-2024</t>
        </is>
      </c>
      <c r="B418" s="1" t="n">
        <v>45293</v>
      </c>
      <c r="C418" s="1" t="n">
        <v>45996</v>
      </c>
      <c r="D418" t="inlineStr">
        <is>
          <t>VÄSTERNORRLANDS LÄN</t>
        </is>
      </c>
      <c r="E418" t="inlineStr">
        <is>
          <t>HÄRNÖSAND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43248-2023</t>
        </is>
      </c>
      <c r="B419" s="1" t="n">
        <v>45180</v>
      </c>
      <c r="C419" s="1" t="n">
        <v>45996</v>
      </c>
      <c r="D419" t="inlineStr">
        <is>
          <t>VÄSTERNORRLANDS LÄN</t>
        </is>
      </c>
      <c r="E419" t="inlineStr">
        <is>
          <t>HÄRNÖSAND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21257-2021</t>
        </is>
      </c>
      <c r="B420" s="1" t="n">
        <v>44320</v>
      </c>
      <c r="C420" s="1" t="n">
        <v>45996</v>
      </c>
      <c r="D420" t="inlineStr">
        <is>
          <t>VÄSTERNORRLANDS LÄN</t>
        </is>
      </c>
      <c r="E420" t="inlineStr">
        <is>
          <t>HÄRNÖSAND</t>
        </is>
      </c>
      <c r="G420" t="n">
        <v>12.8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47944-2022</t>
        </is>
      </c>
      <c r="B421" s="1" t="n">
        <v>44853</v>
      </c>
      <c r="C421" s="1" t="n">
        <v>45996</v>
      </c>
      <c r="D421" t="inlineStr">
        <is>
          <t>VÄSTERNORRLANDS LÄN</t>
        </is>
      </c>
      <c r="E421" t="inlineStr">
        <is>
          <t>HÄRNÖSAND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25367-2025</t>
        </is>
      </c>
      <c r="B422" s="1" t="n">
        <v>45799</v>
      </c>
      <c r="C422" s="1" t="n">
        <v>45996</v>
      </c>
      <c r="D422" t="inlineStr">
        <is>
          <t>VÄSTERNORRLANDS LÄN</t>
        </is>
      </c>
      <c r="E422" t="inlineStr">
        <is>
          <t>HÄRNÖSAND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27976-2024</t>
        </is>
      </c>
      <c r="B423" s="1" t="n">
        <v>45476</v>
      </c>
      <c r="C423" s="1" t="n">
        <v>45996</v>
      </c>
      <c r="D423" t="inlineStr">
        <is>
          <t>VÄSTERNORRLANDS LÄN</t>
        </is>
      </c>
      <c r="E423" t="inlineStr">
        <is>
          <t>HÄRNÖSAND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35808-2023</t>
        </is>
      </c>
      <c r="B424" s="1" t="n">
        <v>45147</v>
      </c>
      <c r="C424" s="1" t="n">
        <v>45996</v>
      </c>
      <c r="D424" t="inlineStr">
        <is>
          <t>VÄSTERNORRLANDS LÄN</t>
        </is>
      </c>
      <c r="E424" t="inlineStr">
        <is>
          <t>HÄRNÖSAND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39498-2023</t>
        </is>
      </c>
      <c r="B425" s="1" t="n">
        <v>45166</v>
      </c>
      <c r="C425" s="1" t="n">
        <v>45996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51304-2024</t>
        </is>
      </c>
      <c r="B426" s="1" t="n">
        <v>45603</v>
      </c>
      <c r="C426" s="1" t="n">
        <v>45996</v>
      </c>
      <c r="D426" t="inlineStr">
        <is>
          <t>VÄSTERNORRLANDS LÄN</t>
        </is>
      </c>
      <c r="E426" t="inlineStr">
        <is>
          <t>HÄRNÖSAND</t>
        </is>
      </c>
      <c r="G426" t="n">
        <v>14.3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48047-2022</t>
        </is>
      </c>
      <c r="B427" s="1" t="n">
        <v>44855.92621527778</v>
      </c>
      <c r="C427" s="1" t="n">
        <v>45996</v>
      </c>
      <c r="D427" t="inlineStr">
        <is>
          <t>VÄSTERNORRLANDS LÄN</t>
        </is>
      </c>
      <c r="E427" t="inlineStr">
        <is>
          <t>HÄRNÖSAND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56395-2022</t>
        </is>
      </c>
      <c r="B428" s="1" t="n">
        <v>44890</v>
      </c>
      <c r="C428" s="1" t="n">
        <v>45996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3476-2024</t>
        </is>
      </c>
      <c r="B429" s="1" t="n">
        <v>45320</v>
      </c>
      <c r="C429" s="1" t="n">
        <v>45996</v>
      </c>
      <c r="D429" t="inlineStr">
        <is>
          <t>VÄSTERNORRLANDS LÄN</t>
        </is>
      </c>
      <c r="E429" t="inlineStr">
        <is>
          <t>HÄRNÖSAND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40237-2023</t>
        </is>
      </c>
      <c r="B430" s="1" t="n">
        <v>45168</v>
      </c>
      <c r="C430" s="1" t="n">
        <v>45996</v>
      </c>
      <c r="D430" t="inlineStr">
        <is>
          <t>VÄSTERNORRLANDS LÄN</t>
        </is>
      </c>
      <c r="E430" t="inlineStr">
        <is>
          <t>HÄRNÖSAND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163-2024</t>
        </is>
      </c>
      <c r="B431" s="1" t="n">
        <v>45293</v>
      </c>
      <c r="C431" s="1" t="n">
        <v>45996</v>
      </c>
      <c r="D431" t="inlineStr">
        <is>
          <t>VÄSTERNORRLANDS LÄN</t>
        </is>
      </c>
      <c r="E431" t="inlineStr">
        <is>
          <t>HÄRNÖSAND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47639-2024</t>
        </is>
      </c>
      <c r="B432" s="1" t="n">
        <v>45588.36490740741</v>
      </c>
      <c r="C432" s="1" t="n">
        <v>45996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47551-2022</t>
        </is>
      </c>
      <c r="B433" s="1" t="n">
        <v>44853.92789351852</v>
      </c>
      <c r="C433" s="1" t="n">
        <v>45996</v>
      </c>
      <c r="D433" t="inlineStr">
        <is>
          <t>VÄSTERNORRLANDS LÄN</t>
        </is>
      </c>
      <c r="E433" t="inlineStr">
        <is>
          <t>HÄRNÖSAND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3024-2023</t>
        </is>
      </c>
      <c r="B434" s="1" t="n">
        <v>44945</v>
      </c>
      <c r="C434" s="1" t="n">
        <v>45996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7793-2024</t>
        </is>
      </c>
      <c r="B435" s="1" t="n">
        <v>45348</v>
      </c>
      <c r="C435" s="1" t="n">
        <v>45996</v>
      </c>
      <c r="D435" t="inlineStr">
        <is>
          <t>VÄSTERNORRLANDS LÄN</t>
        </is>
      </c>
      <c r="E435" t="inlineStr">
        <is>
          <t>HÄRNÖSAND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43266-2025</t>
        </is>
      </c>
      <c r="B436" s="1" t="n">
        <v>45910.57519675926</v>
      </c>
      <c r="C436" s="1" t="n">
        <v>45996</v>
      </c>
      <c r="D436" t="inlineStr">
        <is>
          <t>VÄSTERNORRLANDS LÄN</t>
        </is>
      </c>
      <c r="E436" t="inlineStr">
        <is>
          <t>HÄRNÖSAND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40232-2023</t>
        </is>
      </c>
      <c r="B437" s="1" t="n">
        <v>45168</v>
      </c>
      <c r="C437" s="1" t="n">
        <v>45996</v>
      </c>
      <c r="D437" t="inlineStr">
        <is>
          <t>VÄSTERNORRLANDS LÄN</t>
        </is>
      </c>
      <c r="E437" t="inlineStr">
        <is>
          <t>HÄRNÖSAND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23547-2023</t>
        </is>
      </c>
      <c r="B438" s="1" t="n">
        <v>45072</v>
      </c>
      <c r="C438" s="1" t="n">
        <v>45996</v>
      </c>
      <c r="D438" t="inlineStr">
        <is>
          <t>VÄSTERNORRLANDS LÄN</t>
        </is>
      </c>
      <c r="E438" t="inlineStr">
        <is>
          <t>HÄRNÖSAND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3953-2024</t>
        </is>
      </c>
      <c r="B439" s="1" t="n">
        <v>45322</v>
      </c>
      <c r="C439" s="1" t="n">
        <v>45996</v>
      </c>
      <c r="D439" t="inlineStr">
        <is>
          <t>VÄSTERNORRLANDS LÄN</t>
        </is>
      </c>
      <c r="E439" t="inlineStr">
        <is>
          <t>HÄRNÖSAND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1382-2023</t>
        </is>
      </c>
      <c r="B440" s="1" t="n">
        <v>44936.68680555555</v>
      </c>
      <c r="C440" s="1" t="n">
        <v>45996</v>
      </c>
      <c r="D440" t="inlineStr">
        <is>
          <t>VÄSTERNORRLANDS LÄN</t>
        </is>
      </c>
      <c r="E440" t="inlineStr">
        <is>
          <t>HÄRNÖSAND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44032-2025</t>
        </is>
      </c>
      <c r="B441" s="1" t="n">
        <v>45915.49033564814</v>
      </c>
      <c r="C441" s="1" t="n">
        <v>45996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44039-2025</t>
        </is>
      </c>
      <c r="B442" s="1" t="n">
        <v>45915.49113425926</v>
      </c>
      <c r="C442" s="1" t="n">
        <v>45996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21542-2021</t>
        </is>
      </c>
      <c r="B443" s="1" t="n">
        <v>44321</v>
      </c>
      <c r="C443" s="1" t="n">
        <v>45996</v>
      </c>
      <c r="D443" t="inlineStr">
        <is>
          <t>VÄSTERNORRLANDS LÄN</t>
        </is>
      </c>
      <c r="E443" t="inlineStr">
        <is>
          <t>HÄRNÖSAND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59034-2022</t>
        </is>
      </c>
      <c r="B444" s="1" t="n">
        <v>44903</v>
      </c>
      <c r="C444" s="1" t="n">
        <v>45996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32180-2024</t>
        </is>
      </c>
      <c r="B445" s="1" t="n">
        <v>45511</v>
      </c>
      <c r="C445" s="1" t="n">
        <v>45996</v>
      </c>
      <c r="D445" t="inlineStr">
        <is>
          <t>VÄSTERNORRLANDS LÄN</t>
        </is>
      </c>
      <c r="E445" t="inlineStr">
        <is>
          <t>HÄRNÖSAND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16246-2025</t>
        </is>
      </c>
      <c r="B446" s="1" t="n">
        <v>45749</v>
      </c>
      <c r="C446" s="1" t="n">
        <v>45996</v>
      </c>
      <c r="D446" t="inlineStr">
        <is>
          <t>VÄSTERNORRLANDS LÄN</t>
        </is>
      </c>
      <c r="E446" t="inlineStr">
        <is>
          <t>HÄRNÖSAND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59155-2023</t>
        </is>
      </c>
      <c r="B447" s="1" t="n">
        <v>45251</v>
      </c>
      <c r="C447" s="1" t="n">
        <v>45996</v>
      </c>
      <c r="D447" t="inlineStr">
        <is>
          <t>VÄSTERNORRLANDS LÄN</t>
        </is>
      </c>
      <c r="E447" t="inlineStr">
        <is>
          <t>HÄRNÖSAND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21531-2021</t>
        </is>
      </c>
      <c r="B448" s="1" t="n">
        <v>44321</v>
      </c>
      <c r="C448" s="1" t="n">
        <v>45996</v>
      </c>
      <c r="D448" t="inlineStr">
        <is>
          <t>VÄSTERNORRLANDS LÄN</t>
        </is>
      </c>
      <c r="E448" t="inlineStr">
        <is>
          <t>HÄRNÖSAND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25007-2022</t>
        </is>
      </c>
      <c r="B449" s="1" t="n">
        <v>44728</v>
      </c>
      <c r="C449" s="1" t="n">
        <v>45996</v>
      </c>
      <c r="D449" t="inlineStr">
        <is>
          <t>VÄSTERNORRLANDS LÄN</t>
        </is>
      </c>
      <c r="E449" t="inlineStr">
        <is>
          <t>HÄRNÖSAND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7536-2023</t>
        </is>
      </c>
      <c r="B450" s="1" t="n">
        <v>44971</v>
      </c>
      <c r="C450" s="1" t="n">
        <v>45996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32418-2024</t>
        </is>
      </c>
      <c r="B451" s="1" t="n">
        <v>45512</v>
      </c>
      <c r="C451" s="1" t="n">
        <v>45996</v>
      </c>
      <c r="D451" t="inlineStr">
        <is>
          <t>VÄSTERNORRLANDS LÄN</t>
        </is>
      </c>
      <c r="E451" t="inlineStr">
        <is>
          <t>HÄRNÖSAND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11042-2025</t>
        </is>
      </c>
      <c r="B452" s="1" t="n">
        <v>45723.48438657408</v>
      </c>
      <c r="C452" s="1" t="n">
        <v>45996</v>
      </c>
      <c r="D452" t="inlineStr">
        <is>
          <t>VÄSTERNORRLANDS LÄN</t>
        </is>
      </c>
      <c r="E452" t="inlineStr">
        <is>
          <t>HÄRNÖSAND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30184-2024</t>
        </is>
      </c>
      <c r="B453" s="1" t="n">
        <v>45489.94590277778</v>
      </c>
      <c r="C453" s="1" t="n">
        <v>45996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61574-2021</t>
        </is>
      </c>
      <c r="B454" s="1" t="n">
        <v>44497</v>
      </c>
      <c r="C454" s="1" t="n">
        <v>45996</v>
      </c>
      <c r="D454" t="inlineStr">
        <is>
          <t>VÄSTERNORRLANDS LÄN</t>
        </is>
      </c>
      <c r="E454" t="inlineStr">
        <is>
          <t>HÄRNÖSAND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62333-2021</t>
        </is>
      </c>
      <c r="B455" s="1" t="n">
        <v>44502</v>
      </c>
      <c r="C455" s="1" t="n">
        <v>45996</v>
      </c>
      <c r="D455" t="inlineStr">
        <is>
          <t>VÄSTERNORRLANDS LÄN</t>
        </is>
      </c>
      <c r="E455" t="inlineStr">
        <is>
          <t>HÄRNÖSAND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59370-2024</t>
        </is>
      </c>
      <c r="B456" s="1" t="n">
        <v>45638.34339120371</v>
      </c>
      <c r="C456" s="1" t="n">
        <v>45996</v>
      </c>
      <c r="D456" t="inlineStr">
        <is>
          <t>VÄSTERNORRLANDS LÄN</t>
        </is>
      </c>
      <c r="E456" t="inlineStr">
        <is>
          <t>HÄRNÖSAND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4193-2025</t>
        </is>
      </c>
      <c r="B457" s="1" t="n">
        <v>45685.44978009259</v>
      </c>
      <c r="C457" s="1" t="n">
        <v>45996</v>
      </c>
      <c r="D457" t="inlineStr">
        <is>
          <t>VÄSTERNORRLANDS LÄN</t>
        </is>
      </c>
      <c r="E457" t="inlineStr">
        <is>
          <t>HÄRNÖSAND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17577-2024</t>
        </is>
      </c>
      <c r="B458" s="1" t="n">
        <v>45415</v>
      </c>
      <c r="C458" s="1" t="n">
        <v>45996</v>
      </c>
      <c r="D458" t="inlineStr">
        <is>
          <t>VÄSTERNORRLANDS LÄN</t>
        </is>
      </c>
      <c r="E458" t="inlineStr">
        <is>
          <t>HÄRNÖSAND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9217-2024</t>
        </is>
      </c>
      <c r="B459" s="1" t="n">
        <v>45358</v>
      </c>
      <c r="C459" s="1" t="n">
        <v>45996</v>
      </c>
      <c r="D459" t="inlineStr">
        <is>
          <t>VÄSTERNORRLANDS LÄN</t>
        </is>
      </c>
      <c r="E459" t="inlineStr">
        <is>
          <t>HÄRNÖSAND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4092-2024</t>
        </is>
      </c>
      <c r="B460" s="1" t="n">
        <v>45323.62694444445</v>
      </c>
      <c r="C460" s="1" t="n">
        <v>45996</v>
      </c>
      <c r="D460" t="inlineStr">
        <is>
          <t>VÄSTERNORRLANDS LÄN</t>
        </is>
      </c>
      <c r="E460" t="inlineStr">
        <is>
          <t>HÄRNÖSAND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34161-2022</t>
        </is>
      </c>
      <c r="B461" s="1" t="n">
        <v>44791</v>
      </c>
      <c r="C461" s="1" t="n">
        <v>45996</v>
      </c>
      <c r="D461" t="inlineStr">
        <is>
          <t>VÄSTERNORRLANDS LÄN</t>
        </is>
      </c>
      <c r="E461" t="inlineStr">
        <is>
          <t>HÄRNÖSAND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63375-2023</t>
        </is>
      </c>
      <c r="B462" s="1" t="n">
        <v>45273</v>
      </c>
      <c r="C462" s="1" t="n">
        <v>45996</v>
      </c>
      <c r="D462" t="inlineStr">
        <is>
          <t>VÄSTERNORRLANDS LÄN</t>
        </is>
      </c>
      <c r="E462" t="inlineStr">
        <is>
          <t>HÄRNÖSAND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34226-2023</t>
        </is>
      </c>
      <c r="B463" s="1" t="n">
        <v>45126</v>
      </c>
      <c r="C463" s="1" t="n">
        <v>45996</v>
      </c>
      <c r="D463" t="inlineStr">
        <is>
          <t>VÄSTERNORRLANDS LÄN</t>
        </is>
      </c>
      <c r="E463" t="inlineStr">
        <is>
          <t>HÄRNÖSAND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59715-2024</t>
        </is>
      </c>
      <c r="B464" s="1" t="n">
        <v>45639.45652777778</v>
      </c>
      <c r="C464" s="1" t="n">
        <v>45996</v>
      </c>
      <c r="D464" t="inlineStr">
        <is>
          <t>VÄSTERNORRLANDS LÄN</t>
        </is>
      </c>
      <c r="E464" t="inlineStr">
        <is>
          <t>HÄRNÖSAND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8220-2022</t>
        </is>
      </c>
      <c r="B465" s="1" t="n">
        <v>44609</v>
      </c>
      <c r="C465" s="1" t="n">
        <v>45996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Övriga statliga verk och myndigheter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4147-2025</t>
        </is>
      </c>
      <c r="B466" s="1" t="n">
        <v>45685.36509259259</v>
      </c>
      <c r="C466" s="1" t="n">
        <v>45996</v>
      </c>
      <c r="D466" t="inlineStr">
        <is>
          <t>VÄSTERNORRLANDS LÄN</t>
        </is>
      </c>
      <c r="E466" t="inlineStr">
        <is>
          <t>HÄRNÖSAND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53327-2025</t>
        </is>
      </c>
      <c r="B467" s="1" t="n">
        <v>45959.36515046296</v>
      </c>
      <c r="C467" s="1" t="n">
        <v>45996</v>
      </c>
      <c r="D467" t="inlineStr">
        <is>
          <t>VÄSTERNORRLANDS LÄN</t>
        </is>
      </c>
      <c r="E467" t="inlineStr">
        <is>
          <t>HÄRNÖSAND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53328-2025</t>
        </is>
      </c>
      <c r="B468" s="1" t="n">
        <v>45959.36518518518</v>
      </c>
      <c r="C468" s="1" t="n">
        <v>45996</v>
      </c>
      <c r="D468" t="inlineStr">
        <is>
          <t>VÄSTERNORRLANDS LÄN</t>
        </is>
      </c>
      <c r="E468" t="inlineStr">
        <is>
          <t>HÄRNÖSAND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10544-2023</t>
        </is>
      </c>
      <c r="B469" s="1" t="n">
        <v>44987</v>
      </c>
      <c r="C469" s="1" t="n">
        <v>45996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45735-2023</t>
        </is>
      </c>
      <c r="B470" s="1" t="n">
        <v>45189</v>
      </c>
      <c r="C470" s="1" t="n">
        <v>45996</v>
      </c>
      <c r="D470" t="inlineStr">
        <is>
          <t>VÄSTERNORRLANDS LÄN</t>
        </is>
      </c>
      <c r="E470" t="inlineStr">
        <is>
          <t>HÄRNÖSAND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4648-2023</t>
        </is>
      </c>
      <c r="B471" s="1" t="n">
        <v>44952</v>
      </c>
      <c r="C471" s="1" t="n">
        <v>45996</v>
      </c>
      <c r="D471" t="inlineStr">
        <is>
          <t>VÄSTERNORRLANDS LÄN</t>
        </is>
      </c>
      <c r="E471" t="inlineStr">
        <is>
          <t>HÄRNÖSAND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11903-2024</t>
        </is>
      </c>
      <c r="B472" s="1" t="n">
        <v>45376</v>
      </c>
      <c r="C472" s="1" t="n">
        <v>45996</v>
      </c>
      <c r="D472" t="inlineStr">
        <is>
          <t>VÄSTERNORRLANDS LÄN</t>
        </is>
      </c>
      <c r="E472" t="inlineStr">
        <is>
          <t>HÄRNÖSAND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9443-2025</t>
        </is>
      </c>
      <c r="B473" s="1" t="n">
        <v>45715.4187037037</v>
      </c>
      <c r="C473" s="1" t="n">
        <v>45996</v>
      </c>
      <c r="D473" t="inlineStr">
        <is>
          <t>VÄSTERNORRLANDS LÄN</t>
        </is>
      </c>
      <c r="E473" t="inlineStr">
        <is>
          <t>HÄRNÖSAND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44765-2025</t>
        </is>
      </c>
      <c r="B474" s="1" t="n">
        <v>45917</v>
      </c>
      <c r="C474" s="1" t="n">
        <v>45996</v>
      </c>
      <c r="D474" t="inlineStr">
        <is>
          <t>VÄSTERNORRLANDS LÄN</t>
        </is>
      </c>
      <c r="E474" t="inlineStr">
        <is>
          <t>HÄRNÖSAND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52237-2022</t>
        </is>
      </c>
      <c r="B475" s="1" t="n">
        <v>44869</v>
      </c>
      <c r="C475" s="1" t="n">
        <v>45996</v>
      </c>
      <c r="D475" t="inlineStr">
        <is>
          <t>VÄSTERNORRLANDS LÄN</t>
        </is>
      </c>
      <c r="E475" t="inlineStr">
        <is>
          <t>HÄRNÖSAND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44277-2025</t>
        </is>
      </c>
      <c r="B476" s="1" t="n">
        <v>45916.34471064815</v>
      </c>
      <c r="C476" s="1" t="n">
        <v>45996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42348-2025</t>
        </is>
      </c>
      <c r="B477" s="1" t="n">
        <v>45904</v>
      </c>
      <c r="C477" s="1" t="n">
        <v>45996</v>
      </c>
      <c r="D477" t="inlineStr">
        <is>
          <t>VÄSTERNORRLANDS LÄN</t>
        </is>
      </c>
      <c r="E477" t="inlineStr">
        <is>
          <t>HÄRNÖSAND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13611-2023</t>
        </is>
      </c>
      <c r="B478" s="1" t="n">
        <v>45006</v>
      </c>
      <c r="C478" s="1" t="n">
        <v>45996</v>
      </c>
      <c r="D478" t="inlineStr">
        <is>
          <t>VÄSTERNORRLANDS LÄN</t>
        </is>
      </c>
      <c r="E478" t="inlineStr">
        <is>
          <t>HÄRNÖSAND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19122-2024</t>
        </is>
      </c>
      <c r="B479" s="1" t="n">
        <v>45428</v>
      </c>
      <c r="C479" s="1" t="n">
        <v>45996</v>
      </c>
      <c r="D479" t="inlineStr">
        <is>
          <t>VÄSTERNORRLANDS LÄN</t>
        </is>
      </c>
      <c r="E479" t="inlineStr">
        <is>
          <t>HÄRNÖSAND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42197-2024</t>
        </is>
      </c>
      <c r="B480" s="1" t="n">
        <v>45562</v>
      </c>
      <c r="C480" s="1" t="n">
        <v>45996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28319-2022</t>
        </is>
      </c>
      <c r="B481" s="1" t="n">
        <v>44747</v>
      </c>
      <c r="C481" s="1" t="n">
        <v>45996</v>
      </c>
      <c r="D481" t="inlineStr">
        <is>
          <t>VÄSTERNORRLANDS LÄN</t>
        </is>
      </c>
      <c r="E481" t="inlineStr">
        <is>
          <t>HÄRNÖSAND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16866-2024</t>
        </is>
      </c>
      <c r="B482" s="1" t="n">
        <v>45409</v>
      </c>
      <c r="C482" s="1" t="n">
        <v>45996</v>
      </c>
      <c r="D482" t="inlineStr">
        <is>
          <t>VÄSTERNORRLANDS LÄN</t>
        </is>
      </c>
      <c r="E482" t="inlineStr">
        <is>
          <t>HÄRNÖSAND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36496-2023</t>
        </is>
      </c>
      <c r="B483" s="1" t="n">
        <v>45152</v>
      </c>
      <c r="C483" s="1" t="n">
        <v>45996</v>
      </c>
      <c r="D483" t="inlineStr">
        <is>
          <t>VÄSTERNORRLANDS LÄN</t>
        </is>
      </c>
      <c r="E483" t="inlineStr">
        <is>
          <t>HÄRNÖSAND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61245-2024</t>
        </is>
      </c>
      <c r="B484" s="1" t="n">
        <v>45645</v>
      </c>
      <c r="C484" s="1" t="n">
        <v>45996</v>
      </c>
      <c r="D484" t="inlineStr">
        <is>
          <t>VÄSTERNORRLANDS LÄN</t>
        </is>
      </c>
      <c r="E484" t="inlineStr">
        <is>
          <t>HÄRNÖSAND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18862-2025</t>
        </is>
      </c>
      <c r="B485" s="1" t="n">
        <v>45764.42755787037</v>
      </c>
      <c r="C485" s="1" t="n">
        <v>45996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59591-2024</t>
        </is>
      </c>
      <c r="B486" s="1" t="n">
        <v>45638.69253472222</v>
      </c>
      <c r="C486" s="1" t="n">
        <v>45996</v>
      </c>
      <c r="D486" t="inlineStr">
        <is>
          <t>VÄSTERNORRLANDS LÄN</t>
        </is>
      </c>
      <c r="E486" t="inlineStr">
        <is>
          <t>HÄRNÖSAND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28368-2023</t>
        </is>
      </c>
      <c r="B487" s="1" t="n">
        <v>45099</v>
      </c>
      <c r="C487" s="1" t="n">
        <v>45996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45063-2025</t>
        </is>
      </c>
      <c r="B488" s="1" t="n">
        <v>45919.34494212963</v>
      </c>
      <c r="C488" s="1" t="n">
        <v>45996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16854-2024</t>
        </is>
      </c>
      <c r="B489" s="1" t="n">
        <v>45409</v>
      </c>
      <c r="C489" s="1" t="n">
        <v>45996</v>
      </c>
      <c r="D489" t="inlineStr">
        <is>
          <t>VÄSTERNORRLANDS LÄN</t>
        </is>
      </c>
      <c r="E489" t="inlineStr">
        <is>
          <t>HÄRNÖSAND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20394-2021</t>
        </is>
      </c>
      <c r="B490" s="1" t="n">
        <v>44314</v>
      </c>
      <c r="C490" s="1" t="n">
        <v>45996</v>
      </c>
      <c r="D490" t="inlineStr">
        <is>
          <t>VÄSTERNORRLANDS LÄN</t>
        </is>
      </c>
      <c r="E490" t="inlineStr">
        <is>
          <t>HÄRNÖSAND</t>
        </is>
      </c>
      <c r="G490" t="n">
        <v>19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43259-2025</t>
        </is>
      </c>
      <c r="B491" s="1" t="n">
        <v>45910</v>
      </c>
      <c r="C491" s="1" t="n">
        <v>45996</v>
      </c>
      <c r="D491" t="inlineStr">
        <is>
          <t>VÄSTERNORRLANDS LÄN</t>
        </is>
      </c>
      <c r="E491" t="inlineStr">
        <is>
          <t>HÄRNÖSAND</t>
        </is>
      </c>
      <c r="G491" t="n">
        <v>11.8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8407-2024</t>
        </is>
      </c>
      <c r="B492" s="1" t="n">
        <v>45352</v>
      </c>
      <c r="C492" s="1" t="n">
        <v>45996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45060-2025</t>
        </is>
      </c>
      <c r="B493" s="1" t="n">
        <v>45919.34434027778</v>
      </c>
      <c r="C493" s="1" t="n">
        <v>45996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57154-2024</t>
        </is>
      </c>
      <c r="B494" s="1" t="n">
        <v>45629.39958333333</v>
      </c>
      <c r="C494" s="1" t="n">
        <v>45996</v>
      </c>
      <c r="D494" t="inlineStr">
        <is>
          <t>VÄSTERNORRLANDS LÄN</t>
        </is>
      </c>
      <c r="E494" t="inlineStr">
        <is>
          <t>HÄRNÖSAND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12533-2023</t>
        </is>
      </c>
      <c r="B495" s="1" t="n">
        <v>45000.01387731481</v>
      </c>
      <c r="C495" s="1" t="n">
        <v>45996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12543-2023</t>
        </is>
      </c>
      <c r="B496" s="1" t="n">
        <v>45000</v>
      </c>
      <c r="C496" s="1" t="n">
        <v>45996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39954-2022</t>
        </is>
      </c>
      <c r="B497" s="1" t="n">
        <v>44819.94980324074</v>
      </c>
      <c r="C497" s="1" t="n">
        <v>45996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52598-2024</t>
        </is>
      </c>
      <c r="B498" s="1" t="n">
        <v>45609</v>
      </c>
      <c r="C498" s="1" t="n">
        <v>45996</v>
      </c>
      <c r="D498" t="inlineStr">
        <is>
          <t>VÄSTERNORRLANDS LÄN</t>
        </is>
      </c>
      <c r="E498" t="inlineStr">
        <is>
          <t>HÄRNÖSAND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18348-2025</t>
        </is>
      </c>
      <c r="B499" s="1" t="n">
        <v>45762.52983796296</v>
      </c>
      <c r="C499" s="1" t="n">
        <v>45996</v>
      </c>
      <c r="D499" t="inlineStr">
        <is>
          <t>VÄSTERNORRLANDS LÄN</t>
        </is>
      </c>
      <c r="E499" t="inlineStr">
        <is>
          <t>HÄRNÖSAND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46273-2021</t>
        </is>
      </c>
      <c r="B500" s="1" t="n">
        <v>44442.56886574074</v>
      </c>
      <c r="C500" s="1" t="n">
        <v>45996</v>
      </c>
      <c r="D500" t="inlineStr">
        <is>
          <t>VÄSTERNORRLANDS LÄN</t>
        </is>
      </c>
      <c r="E500" t="inlineStr">
        <is>
          <t>HÄRNÖSAND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8925-2025</t>
        </is>
      </c>
      <c r="B501" s="1" t="n">
        <v>45713.43980324074</v>
      </c>
      <c r="C501" s="1" t="n">
        <v>45996</v>
      </c>
      <c r="D501" t="inlineStr">
        <is>
          <t>VÄSTERNORRLANDS LÄN</t>
        </is>
      </c>
      <c r="E501" t="inlineStr">
        <is>
          <t>HÄRNÖSAND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45739-2025</t>
        </is>
      </c>
      <c r="B502" s="1" t="n">
        <v>45923.46921296296</v>
      </c>
      <c r="C502" s="1" t="n">
        <v>45996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45341-2025</t>
        </is>
      </c>
      <c r="B503" s="1" t="n">
        <v>45922.34427083333</v>
      </c>
      <c r="C503" s="1" t="n">
        <v>45996</v>
      </c>
      <c r="D503" t="inlineStr">
        <is>
          <t>VÄSTERNORRLANDS LÄN</t>
        </is>
      </c>
      <c r="E503" t="inlineStr">
        <is>
          <t>HÄRNÖSAND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35785-2023</t>
        </is>
      </c>
      <c r="B504" s="1" t="n">
        <v>45147</v>
      </c>
      <c r="C504" s="1" t="n">
        <v>45996</v>
      </c>
      <c r="D504" t="inlineStr">
        <is>
          <t>VÄSTERNORRLANDS LÄN</t>
        </is>
      </c>
      <c r="E504" t="inlineStr">
        <is>
          <t>HÄRNÖSAND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25116-2024</t>
        </is>
      </c>
      <c r="B505" s="1" t="n">
        <v>45462</v>
      </c>
      <c r="C505" s="1" t="n">
        <v>45996</v>
      </c>
      <c r="D505" t="inlineStr">
        <is>
          <t>VÄSTERNORRLANDS LÄN</t>
        </is>
      </c>
      <c r="E505" t="inlineStr">
        <is>
          <t>HÄRNÖSAND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38379-2023</t>
        </is>
      </c>
      <c r="B506" s="1" t="n">
        <v>45161</v>
      </c>
      <c r="C506" s="1" t="n">
        <v>45996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39044-2023</t>
        </is>
      </c>
      <c r="B507" s="1" t="n">
        <v>45163.92689814815</v>
      </c>
      <c r="C507" s="1" t="n">
        <v>45996</v>
      </c>
      <c r="D507" t="inlineStr">
        <is>
          <t>VÄSTERNORRLANDS LÄN</t>
        </is>
      </c>
      <c r="E507" t="inlineStr">
        <is>
          <t>HÄRNÖSAND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17800-2024</t>
        </is>
      </c>
      <c r="B508" s="1" t="n">
        <v>45418</v>
      </c>
      <c r="C508" s="1" t="n">
        <v>45996</v>
      </c>
      <c r="D508" t="inlineStr">
        <is>
          <t>VÄSTERNORRLANDS LÄN</t>
        </is>
      </c>
      <c r="E508" t="inlineStr">
        <is>
          <t>HÄRNÖSAND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26976-2023</t>
        </is>
      </c>
      <c r="B509" s="1" t="n">
        <v>45091</v>
      </c>
      <c r="C509" s="1" t="n">
        <v>45996</v>
      </c>
      <c r="D509" t="inlineStr">
        <is>
          <t>VÄSTERNORRLANDS LÄN</t>
        </is>
      </c>
      <c r="E509" t="inlineStr">
        <is>
          <t>HÄRNÖSAND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45354-2025</t>
        </is>
      </c>
      <c r="B510" s="1" t="n">
        <v>45922.36494212963</v>
      </c>
      <c r="C510" s="1" t="n">
        <v>45996</v>
      </c>
      <c r="D510" t="inlineStr">
        <is>
          <t>VÄSTERNORRLANDS LÄN</t>
        </is>
      </c>
      <c r="E510" t="inlineStr">
        <is>
          <t>HÄRNÖSAND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1643-2023</t>
        </is>
      </c>
      <c r="B511" s="1" t="n">
        <v>44937.92483796296</v>
      </c>
      <c r="C511" s="1" t="n">
        <v>45996</v>
      </c>
      <c r="D511" t="inlineStr">
        <is>
          <t>VÄSTERNORRLANDS LÄN</t>
        </is>
      </c>
      <c r="E511" t="inlineStr">
        <is>
          <t>HÄRNÖSAND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20107-2025</t>
        </is>
      </c>
      <c r="B512" s="1" t="n">
        <v>45772.46998842592</v>
      </c>
      <c r="C512" s="1" t="n">
        <v>45996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59598-2024</t>
        </is>
      </c>
      <c r="B513" s="1" t="n">
        <v>45638.71168981482</v>
      </c>
      <c r="C513" s="1" t="n">
        <v>45996</v>
      </c>
      <c r="D513" t="inlineStr">
        <is>
          <t>VÄSTERNORRLANDS LÄN</t>
        </is>
      </c>
      <c r="E513" t="inlineStr">
        <is>
          <t>HÄRNÖSAND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32140-2023</t>
        </is>
      </c>
      <c r="B514" s="1" t="n">
        <v>45107</v>
      </c>
      <c r="C514" s="1" t="n">
        <v>45996</v>
      </c>
      <c r="D514" t="inlineStr">
        <is>
          <t>VÄSTERNORRLANDS LÄN</t>
        </is>
      </c>
      <c r="E514" t="inlineStr">
        <is>
          <t>HÄRNÖSAND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63724-2023</t>
        </is>
      </c>
      <c r="B515" s="1" t="n">
        <v>45276</v>
      </c>
      <c r="C515" s="1" t="n">
        <v>45996</v>
      </c>
      <c r="D515" t="inlineStr">
        <is>
          <t>VÄSTERNORRLANDS LÄN</t>
        </is>
      </c>
      <c r="E515" t="inlineStr">
        <is>
          <t>HÄRNÖSAND</t>
        </is>
      </c>
      <c r="G515" t="n">
        <v>10.1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4206-2025</t>
        </is>
      </c>
      <c r="B516" s="1" t="n">
        <v>45685.46976851852</v>
      </c>
      <c r="C516" s="1" t="n">
        <v>45996</v>
      </c>
      <c r="D516" t="inlineStr">
        <is>
          <t>VÄSTERNORRLANDS LÄN</t>
        </is>
      </c>
      <c r="E516" t="inlineStr">
        <is>
          <t>HÄRNÖSAND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11045-2025</t>
        </is>
      </c>
      <c r="B517" s="1" t="n">
        <v>45723</v>
      </c>
      <c r="C517" s="1" t="n">
        <v>45996</v>
      </c>
      <c r="D517" t="inlineStr">
        <is>
          <t>VÄSTERNORRLANDS LÄN</t>
        </is>
      </c>
      <c r="E517" t="inlineStr">
        <is>
          <t>HÄRNÖSAND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12675-2025</t>
        </is>
      </c>
      <c r="B518" s="1" t="n">
        <v>45733.4356712963</v>
      </c>
      <c r="C518" s="1" t="n">
        <v>45996</v>
      </c>
      <c r="D518" t="inlineStr">
        <is>
          <t>VÄSTERNORRLANDS LÄN</t>
        </is>
      </c>
      <c r="E518" t="inlineStr">
        <is>
          <t>HÄRNÖSAND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45997-2025</t>
        </is>
      </c>
      <c r="B519" s="1" t="n">
        <v>45924</v>
      </c>
      <c r="C519" s="1" t="n">
        <v>45996</v>
      </c>
      <c r="D519" t="inlineStr">
        <is>
          <t>VÄSTERNORRLANDS LÄN</t>
        </is>
      </c>
      <c r="E519" t="inlineStr">
        <is>
          <t>HÄRNÖSAND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139-2024</t>
        </is>
      </c>
      <c r="B520" s="1" t="n">
        <v>45293</v>
      </c>
      <c r="C520" s="1" t="n">
        <v>45996</v>
      </c>
      <c r="D520" t="inlineStr">
        <is>
          <t>VÄSTERNORRLANDS LÄN</t>
        </is>
      </c>
      <c r="E520" t="inlineStr">
        <is>
          <t>HÄRNÖSAND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46244-2025</t>
        </is>
      </c>
      <c r="B521" s="1" t="n">
        <v>45925.3240625</v>
      </c>
      <c r="C521" s="1" t="n">
        <v>45996</v>
      </c>
      <c r="D521" t="inlineStr">
        <is>
          <t>VÄSTERNORRLANDS LÄN</t>
        </is>
      </c>
      <c r="E521" t="inlineStr">
        <is>
          <t>HÄRNÖSAND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20822-2025</t>
        </is>
      </c>
      <c r="B522" s="1" t="n">
        <v>45776</v>
      </c>
      <c r="C522" s="1" t="n">
        <v>45996</v>
      </c>
      <c r="D522" t="inlineStr">
        <is>
          <t>VÄSTERNORRLANDS LÄN</t>
        </is>
      </c>
      <c r="E522" t="inlineStr">
        <is>
          <t>HÄRNÖSAND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20821-2025</t>
        </is>
      </c>
      <c r="B523" s="1" t="n">
        <v>45776</v>
      </c>
      <c r="C523" s="1" t="n">
        <v>45996</v>
      </c>
      <c r="D523" t="inlineStr">
        <is>
          <t>VÄSTERNORRLANDS LÄN</t>
        </is>
      </c>
      <c r="E523" t="inlineStr">
        <is>
          <t>HÄRNÖSAND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14018-2024</t>
        </is>
      </c>
      <c r="B524" s="1" t="n">
        <v>45392</v>
      </c>
      <c r="C524" s="1" t="n">
        <v>45996</v>
      </c>
      <c r="D524" t="inlineStr">
        <is>
          <t>VÄSTERNORRLANDS LÄN</t>
        </is>
      </c>
      <c r="E524" t="inlineStr">
        <is>
          <t>HÄRNÖSAND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18885-2023</t>
        </is>
      </c>
      <c r="B525" s="1" t="n">
        <v>45044</v>
      </c>
      <c r="C525" s="1" t="n">
        <v>45996</v>
      </c>
      <c r="D525" t="inlineStr">
        <is>
          <t>VÄSTERNORRLANDS LÄN</t>
        </is>
      </c>
      <c r="E525" t="inlineStr">
        <is>
          <t>HÄRNÖSAND</t>
        </is>
      </c>
      <c r="G525" t="n">
        <v>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3897-2023</t>
        </is>
      </c>
      <c r="B526" s="1" t="n">
        <v>44951.94020833333</v>
      </c>
      <c r="C526" s="1" t="n">
        <v>45996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21484-2025</t>
        </is>
      </c>
      <c r="B527" s="1" t="n">
        <v>45782.595</v>
      </c>
      <c r="C527" s="1" t="n">
        <v>45996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45981-2025</t>
        </is>
      </c>
      <c r="B528" s="1" t="n">
        <v>45924</v>
      </c>
      <c r="C528" s="1" t="n">
        <v>45996</v>
      </c>
      <c r="D528" t="inlineStr">
        <is>
          <t>VÄSTERNORRLANDS LÄN</t>
        </is>
      </c>
      <c r="E528" t="inlineStr">
        <is>
          <t>HÄRNÖSAND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46021-2025</t>
        </is>
      </c>
      <c r="B529" s="1" t="n">
        <v>45924</v>
      </c>
      <c r="C529" s="1" t="n">
        <v>45996</v>
      </c>
      <c r="D529" t="inlineStr">
        <is>
          <t>VÄSTERNORRLANDS LÄN</t>
        </is>
      </c>
      <c r="E529" t="inlineStr">
        <is>
          <t>HÄRNÖSAND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34224-2023</t>
        </is>
      </c>
      <c r="B530" s="1" t="n">
        <v>45126</v>
      </c>
      <c r="C530" s="1" t="n">
        <v>45996</v>
      </c>
      <c r="D530" t="inlineStr">
        <is>
          <t>VÄSTERNORRLANDS LÄN</t>
        </is>
      </c>
      <c r="E530" t="inlineStr">
        <is>
          <t>HÄRNÖSAND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21558-2025</t>
        </is>
      </c>
      <c r="B531" s="1" t="n">
        <v>45782.67861111111</v>
      </c>
      <c r="C531" s="1" t="n">
        <v>45996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21480-2025</t>
        </is>
      </c>
      <c r="B532" s="1" t="n">
        <v>45782.59438657408</v>
      </c>
      <c r="C532" s="1" t="n">
        <v>45996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12.3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45990-2025</t>
        </is>
      </c>
      <c r="B533" s="1" t="n">
        <v>45924</v>
      </c>
      <c r="C533" s="1" t="n">
        <v>45996</v>
      </c>
      <c r="D533" t="inlineStr">
        <is>
          <t>VÄSTERNORRLANDS LÄN</t>
        </is>
      </c>
      <c r="E533" t="inlineStr">
        <is>
          <t>HÄRNÖSAND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23688-2025</t>
        </is>
      </c>
      <c r="B534" s="1" t="n">
        <v>45793.34438657408</v>
      </c>
      <c r="C534" s="1" t="n">
        <v>45996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46010-2025</t>
        </is>
      </c>
      <c r="B535" s="1" t="n">
        <v>45924.41118055556</v>
      </c>
      <c r="C535" s="1" t="n">
        <v>45996</v>
      </c>
      <c r="D535" t="inlineStr">
        <is>
          <t>VÄSTERNORRLANDS LÄN</t>
        </is>
      </c>
      <c r="E535" t="inlineStr">
        <is>
          <t>HÄRNÖSAND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59073-2022</t>
        </is>
      </c>
      <c r="B536" s="1" t="n">
        <v>44897</v>
      </c>
      <c r="C536" s="1" t="n">
        <v>45996</v>
      </c>
      <c r="D536" t="inlineStr">
        <is>
          <t>VÄSTERNORRLANDS LÄN</t>
        </is>
      </c>
      <c r="E536" t="inlineStr">
        <is>
          <t>HÄRNÖSAND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22102-2025</t>
        </is>
      </c>
      <c r="B537" s="1" t="n">
        <v>45785.48142361111</v>
      </c>
      <c r="C537" s="1" t="n">
        <v>45996</v>
      </c>
      <c r="D537" t="inlineStr">
        <is>
          <t>VÄSTERNORRLANDS LÄN</t>
        </is>
      </c>
      <c r="E537" t="inlineStr">
        <is>
          <t>HÄRNÖSAND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42343-2024</t>
        </is>
      </c>
      <c r="B538" s="1" t="n">
        <v>45562</v>
      </c>
      <c r="C538" s="1" t="n">
        <v>45996</v>
      </c>
      <c r="D538" t="inlineStr">
        <is>
          <t>VÄSTERNORRLANDS LÄN</t>
        </is>
      </c>
      <c r="E538" t="inlineStr">
        <is>
          <t>HÄRNÖSAND</t>
        </is>
      </c>
      <c r="G538" t="n">
        <v>15.6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18978-2023</t>
        </is>
      </c>
      <c r="B539" s="1" t="n">
        <v>45044</v>
      </c>
      <c r="C539" s="1" t="n">
        <v>45996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12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46101-2025</t>
        </is>
      </c>
      <c r="B540" s="1" t="n">
        <v>45924.54756944445</v>
      </c>
      <c r="C540" s="1" t="n">
        <v>45996</v>
      </c>
      <c r="D540" t="inlineStr">
        <is>
          <t>VÄSTERNORRLANDS LÄN</t>
        </is>
      </c>
      <c r="E540" t="inlineStr">
        <is>
          <t>HÄRNÖSAND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22079-2025</t>
        </is>
      </c>
      <c r="B541" s="1" t="n">
        <v>45785</v>
      </c>
      <c r="C541" s="1" t="n">
        <v>45996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22099-2025</t>
        </is>
      </c>
      <c r="B542" s="1" t="n">
        <v>45785.47561342592</v>
      </c>
      <c r="C542" s="1" t="n">
        <v>45996</v>
      </c>
      <c r="D542" t="inlineStr">
        <is>
          <t>VÄSTERNORRLANDS LÄN</t>
        </is>
      </c>
      <c r="E542" t="inlineStr">
        <is>
          <t>HÄRNÖSAND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25430-2022</t>
        </is>
      </c>
      <c r="B543" s="1" t="n">
        <v>44732</v>
      </c>
      <c r="C543" s="1" t="n">
        <v>45996</v>
      </c>
      <c r="D543" t="inlineStr">
        <is>
          <t>VÄSTERNORRLANDS LÄN</t>
        </is>
      </c>
      <c r="E543" t="inlineStr">
        <is>
          <t>HÄRNÖSAND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45502-2024</t>
        </is>
      </c>
      <c r="B544" s="1" t="n">
        <v>45578.37409722222</v>
      </c>
      <c r="C544" s="1" t="n">
        <v>45996</v>
      </c>
      <c r="D544" t="inlineStr">
        <is>
          <t>VÄSTERNORRLANDS LÄN</t>
        </is>
      </c>
      <c r="E544" t="inlineStr">
        <is>
          <t>HÄRNÖSAND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22515-2025</t>
        </is>
      </c>
      <c r="B545" s="1" t="n">
        <v>45786.67776620371</v>
      </c>
      <c r="C545" s="1" t="n">
        <v>45996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31.8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12104-2025</t>
        </is>
      </c>
      <c r="B546" s="1" t="n">
        <v>45729.344375</v>
      </c>
      <c r="C546" s="1" t="n">
        <v>45996</v>
      </c>
      <c r="D546" t="inlineStr">
        <is>
          <t>VÄSTERNORRLANDS LÄN</t>
        </is>
      </c>
      <c r="E546" t="inlineStr">
        <is>
          <t>HÄRNÖSAND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5896-2022</t>
        </is>
      </c>
      <c r="B547" s="1" t="n">
        <v>44596</v>
      </c>
      <c r="C547" s="1" t="n">
        <v>45996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Övriga statliga verk och myndigheter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21471-2022</t>
        </is>
      </c>
      <c r="B548" s="1" t="n">
        <v>44706</v>
      </c>
      <c r="C548" s="1" t="n">
        <v>45996</v>
      </c>
      <c r="D548" t="inlineStr">
        <is>
          <t>VÄSTERNORRLANDS LÄN</t>
        </is>
      </c>
      <c r="E548" t="inlineStr">
        <is>
          <t>HÄRNÖSAND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32421-2024</t>
        </is>
      </c>
      <c r="B549" s="1" t="n">
        <v>45512</v>
      </c>
      <c r="C549" s="1" t="n">
        <v>45996</v>
      </c>
      <c r="D549" t="inlineStr">
        <is>
          <t>VÄSTERNORRLANDS LÄN</t>
        </is>
      </c>
      <c r="E549" t="inlineStr">
        <is>
          <t>HÄRNÖSAND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57343-2024</t>
        </is>
      </c>
      <c r="B550" s="1" t="n">
        <v>45629.63747685185</v>
      </c>
      <c r="C550" s="1" t="n">
        <v>45996</v>
      </c>
      <c r="D550" t="inlineStr">
        <is>
          <t>VÄSTERNORRLANDS LÄN</t>
        </is>
      </c>
      <c r="E550" t="inlineStr">
        <is>
          <t>HÄRNÖSAND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44590-2024</t>
        </is>
      </c>
      <c r="B551" s="1" t="n">
        <v>45574.50597222222</v>
      </c>
      <c r="C551" s="1" t="n">
        <v>45996</v>
      </c>
      <c r="D551" t="inlineStr">
        <is>
          <t>VÄSTERNORRLANDS LÄN</t>
        </is>
      </c>
      <c r="E551" t="inlineStr">
        <is>
          <t>HÄRNÖSAND</t>
        </is>
      </c>
      <c r="G551" t="n">
        <v>11.9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23326-2025</t>
        </is>
      </c>
      <c r="B552" s="1" t="n">
        <v>45791.62273148148</v>
      </c>
      <c r="C552" s="1" t="n">
        <v>45996</v>
      </c>
      <c r="D552" t="inlineStr">
        <is>
          <t>VÄSTERNORRLANDS LÄN</t>
        </is>
      </c>
      <c r="E552" t="inlineStr">
        <is>
          <t>HÄRNÖSAND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22852-2025</t>
        </is>
      </c>
      <c r="B553" s="1" t="n">
        <v>45790.34427083333</v>
      </c>
      <c r="C553" s="1" t="n">
        <v>45996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31.8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23290-2025</t>
        </is>
      </c>
      <c r="B554" s="1" t="n">
        <v>45791</v>
      </c>
      <c r="C554" s="1" t="n">
        <v>45996</v>
      </c>
      <c r="D554" t="inlineStr">
        <is>
          <t>VÄSTERNORRLANDS LÄN</t>
        </is>
      </c>
      <c r="E554" t="inlineStr">
        <is>
          <t>HÄRNÖSAND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6831-2024</t>
        </is>
      </c>
      <c r="B555" s="1" t="n">
        <v>45342</v>
      </c>
      <c r="C555" s="1" t="n">
        <v>45996</v>
      </c>
      <c r="D555" t="inlineStr">
        <is>
          <t>VÄSTERNORRLANDS LÄN</t>
        </is>
      </c>
      <c r="E555" t="inlineStr">
        <is>
          <t>HÄRNÖSAND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19949-2024</t>
        </is>
      </c>
      <c r="B556" s="1" t="n">
        <v>45433</v>
      </c>
      <c r="C556" s="1" t="n">
        <v>45996</v>
      </c>
      <c r="D556" t="inlineStr">
        <is>
          <t>VÄSTERNORRLANDS LÄN</t>
        </is>
      </c>
      <c r="E556" t="inlineStr">
        <is>
          <t>HÄRNÖSAND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61337-2024</t>
        </is>
      </c>
      <c r="B557" s="1" t="n">
        <v>45646</v>
      </c>
      <c r="C557" s="1" t="n">
        <v>45996</v>
      </c>
      <c r="D557" t="inlineStr">
        <is>
          <t>VÄSTERNORRLANDS LÄN</t>
        </is>
      </c>
      <c r="E557" t="inlineStr">
        <is>
          <t>HÄRNÖSAND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8475-2024</t>
        </is>
      </c>
      <c r="B558" s="1" t="n">
        <v>45351</v>
      </c>
      <c r="C558" s="1" t="n">
        <v>45996</v>
      </c>
      <c r="D558" t="inlineStr">
        <is>
          <t>VÄSTERNORRLANDS LÄN</t>
        </is>
      </c>
      <c r="E558" t="inlineStr">
        <is>
          <t>HÄRNÖSAND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4852-2024</t>
        </is>
      </c>
      <c r="B559" s="1" t="n">
        <v>45329.36856481482</v>
      </c>
      <c r="C559" s="1" t="n">
        <v>45996</v>
      </c>
      <c r="D559" t="inlineStr">
        <is>
          <t>VÄSTERNORRLANDS LÄN</t>
        </is>
      </c>
      <c r="E559" t="inlineStr">
        <is>
          <t>HÄRNÖSAND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23783-2025</t>
        </is>
      </c>
      <c r="B560" s="1" t="n">
        <v>45793</v>
      </c>
      <c r="C560" s="1" t="n">
        <v>45996</v>
      </c>
      <c r="D560" t="inlineStr">
        <is>
          <t>VÄSTERNORRLANDS LÄN</t>
        </is>
      </c>
      <c r="E560" t="inlineStr">
        <is>
          <t>HÄRNÖSAND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54091-2024</t>
        </is>
      </c>
      <c r="B561" s="1" t="n">
        <v>45616.5107175926</v>
      </c>
      <c r="C561" s="1" t="n">
        <v>45996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55772-2025</t>
        </is>
      </c>
      <c r="B562" s="1" t="n">
        <v>45972.61564814814</v>
      </c>
      <c r="C562" s="1" t="n">
        <v>45996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56005-2025</t>
        </is>
      </c>
      <c r="B563" s="1" t="n">
        <v>45973.57857638889</v>
      </c>
      <c r="C563" s="1" t="n">
        <v>45996</v>
      </c>
      <c r="D563" t="inlineStr">
        <is>
          <t>VÄSTERNORRLANDS LÄN</t>
        </is>
      </c>
      <c r="E563" t="inlineStr">
        <is>
          <t>HÄRNÖSAND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56015-2025</t>
        </is>
      </c>
      <c r="B564" s="1" t="n">
        <v>45973.5896412037</v>
      </c>
      <c r="C564" s="1" t="n">
        <v>45996</v>
      </c>
      <c r="D564" t="inlineStr">
        <is>
          <t>VÄSTERNORRLANDS LÄN</t>
        </is>
      </c>
      <c r="E564" t="inlineStr">
        <is>
          <t>HÄRNÖSAND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47224-2025</t>
        </is>
      </c>
      <c r="B565" s="1" t="n">
        <v>45930</v>
      </c>
      <c r="C565" s="1" t="n">
        <v>45996</v>
      </c>
      <c r="D565" t="inlineStr">
        <is>
          <t>VÄSTERNORRLANDS LÄN</t>
        </is>
      </c>
      <c r="E565" t="inlineStr">
        <is>
          <t>HÄRNÖSAND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55773-2025</t>
        </is>
      </c>
      <c r="B566" s="1" t="n">
        <v>45972.61591435185</v>
      </c>
      <c r="C566" s="1" t="n">
        <v>45996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56422-2025</t>
        </is>
      </c>
      <c r="B567" s="1" t="n">
        <v>45975.34515046296</v>
      </c>
      <c r="C567" s="1" t="n">
        <v>45996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56633-2025</t>
        </is>
      </c>
      <c r="B568" s="1" t="n">
        <v>45975.6159375</v>
      </c>
      <c r="C568" s="1" t="n">
        <v>45996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45082-2025</t>
        </is>
      </c>
      <c r="B569" s="1" t="n">
        <v>45919</v>
      </c>
      <c r="C569" s="1" t="n">
        <v>45996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48721-2025</t>
        </is>
      </c>
      <c r="B570" s="1" t="n">
        <v>45936.64701388889</v>
      </c>
      <c r="C570" s="1" t="n">
        <v>45996</v>
      </c>
      <c r="D570" t="inlineStr">
        <is>
          <t>VÄSTERNORRLANDS LÄN</t>
        </is>
      </c>
      <c r="E570" t="inlineStr">
        <is>
          <t>HÄRNÖSAND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57035-2025</t>
        </is>
      </c>
      <c r="B571" s="1" t="n">
        <v>45979.34475694445</v>
      </c>
      <c r="C571" s="1" t="n">
        <v>45996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57037-2025</t>
        </is>
      </c>
      <c r="B572" s="1" t="n">
        <v>45979.34508101852</v>
      </c>
      <c r="C572" s="1" t="n">
        <v>45996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57099-2025</t>
        </is>
      </c>
      <c r="B573" s="1" t="n">
        <v>45979.43927083333</v>
      </c>
      <c r="C573" s="1" t="n">
        <v>45996</v>
      </c>
      <c r="D573" t="inlineStr">
        <is>
          <t>VÄSTERNORRLANDS LÄN</t>
        </is>
      </c>
      <c r="E573" t="inlineStr">
        <is>
          <t>HÄRNÖSAND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48630-2025</t>
        </is>
      </c>
      <c r="B574" s="1" t="n">
        <v>45936.51167824074</v>
      </c>
      <c r="C574" s="1" t="n">
        <v>45996</v>
      </c>
      <c r="D574" t="inlineStr">
        <is>
          <t>VÄSTERNORRLANDS LÄN</t>
        </is>
      </c>
      <c r="E574" t="inlineStr">
        <is>
          <t>HÄRNÖSAND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57089-2025</t>
        </is>
      </c>
      <c r="B575" s="1" t="n">
        <v>45979.42451388889</v>
      </c>
      <c r="C575" s="1" t="n">
        <v>45996</v>
      </c>
      <c r="D575" t="inlineStr">
        <is>
          <t>VÄSTERNORRLANDS LÄN</t>
        </is>
      </c>
      <c r="E575" t="inlineStr">
        <is>
          <t>HÄRNÖSAND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56736-2025</t>
        </is>
      </c>
      <c r="B576" s="1" t="n">
        <v>45978.34434027778</v>
      </c>
      <c r="C576" s="1" t="n">
        <v>45996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48633-2025</t>
        </is>
      </c>
      <c r="B577" s="1" t="n">
        <v>45936.5117824074</v>
      </c>
      <c r="C577" s="1" t="n">
        <v>45996</v>
      </c>
      <c r="D577" t="inlineStr">
        <is>
          <t>VÄSTERNORRLANDS LÄN</t>
        </is>
      </c>
      <c r="E577" t="inlineStr">
        <is>
          <t>HÄRNÖSAND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57132-2025</t>
        </is>
      </c>
      <c r="B578" s="1" t="n">
        <v>45979.47430555556</v>
      </c>
      <c r="C578" s="1" t="n">
        <v>45996</v>
      </c>
      <c r="D578" t="inlineStr">
        <is>
          <t>VÄSTERNORRLANDS LÄN</t>
        </is>
      </c>
      <c r="E578" t="inlineStr">
        <is>
          <t>HÄRNÖSAND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57094-2025</t>
        </is>
      </c>
      <c r="B579" s="1" t="n">
        <v>45979.42777777778</v>
      </c>
      <c r="C579" s="1" t="n">
        <v>45996</v>
      </c>
      <c r="D579" t="inlineStr">
        <is>
          <t>VÄSTERNORRLANDS LÄN</t>
        </is>
      </c>
      <c r="E579" t="inlineStr">
        <is>
          <t>HÄRNÖSAND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57033-2025</t>
        </is>
      </c>
      <c r="B580" s="1" t="n">
        <v>45979.34442129629</v>
      </c>
      <c r="C580" s="1" t="n">
        <v>45996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57041-2025</t>
        </is>
      </c>
      <c r="B581" s="1" t="n">
        <v>45979.34581018519</v>
      </c>
      <c r="C581" s="1" t="n">
        <v>45996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48578-2025</t>
        </is>
      </c>
      <c r="B582" s="1" t="n">
        <v>45936.45436342592</v>
      </c>
      <c r="C582" s="1" t="n">
        <v>45996</v>
      </c>
      <c r="D582" t="inlineStr">
        <is>
          <t>VÄSTERNORRLANDS LÄN</t>
        </is>
      </c>
      <c r="E582" t="inlineStr">
        <is>
          <t>HÄRNÖSAND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48800-2025</t>
        </is>
      </c>
      <c r="B583" s="1" t="n">
        <v>45937.34498842592</v>
      </c>
      <c r="C583" s="1" t="n">
        <v>45996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57877-2025</t>
        </is>
      </c>
      <c r="B584" s="1" t="n">
        <v>45981.65686342592</v>
      </c>
      <c r="C584" s="1" t="n">
        <v>45996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43271-2025</t>
        </is>
      </c>
      <c r="B585" s="1" t="n">
        <v>45910</v>
      </c>
      <c r="C585" s="1" t="n">
        <v>45996</v>
      </c>
      <c r="D585" t="inlineStr">
        <is>
          <t>VÄSTERNORRLANDS LÄN</t>
        </is>
      </c>
      <c r="E585" t="inlineStr">
        <is>
          <t>HÄRNÖSAND</t>
        </is>
      </c>
      <c r="G585" t="n">
        <v>10.1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49625-2025</t>
        </is>
      </c>
      <c r="B586" s="1" t="n">
        <v>45939.59466435185</v>
      </c>
      <c r="C586" s="1" t="n">
        <v>45996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57372-2025</t>
        </is>
      </c>
      <c r="B587" s="1" t="n">
        <v>45980.38600694444</v>
      </c>
      <c r="C587" s="1" t="n">
        <v>45996</v>
      </c>
      <c r="D587" t="inlineStr">
        <is>
          <t>VÄSTERNORRLANDS LÄN</t>
        </is>
      </c>
      <c r="E587" t="inlineStr">
        <is>
          <t>HÄRNÖSAND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58467-2025</t>
        </is>
      </c>
      <c r="B588" s="1" t="n">
        <v>45985.63694444444</v>
      </c>
      <c r="C588" s="1" t="n">
        <v>45996</v>
      </c>
      <c r="D588" t="inlineStr">
        <is>
          <t>VÄSTERNORRLANDS LÄN</t>
        </is>
      </c>
      <c r="E588" t="inlineStr">
        <is>
          <t>HÄRNÖSAND</t>
        </is>
      </c>
      <c r="G588" t="n">
        <v>12.3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58995-2025</t>
        </is>
      </c>
      <c r="B589" s="1" t="n">
        <v>45987</v>
      </c>
      <c r="C589" s="1" t="n">
        <v>45996</v>
      </c>
      <c r="D589" t="inlineStr">
        <is>
          <t>VÄSTERNORRLANDS LÄN</t>
        </is>
      </c>
      <c r="E589" t="inlineStr">
        <is>
          <t>HÄRNÖSAND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57618-2025</t>
        </is>
      </c>
      <c r="B590" s="1" t="n">
        <v>45981</v>
      </c>
      <c r="C590" s="1" t="n">
        <v>45996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59869-2025</t>
        </is>
      </c>
      <c r="B591" s="1" t="n">
        <v>45992.89322916666</v>
      </c>
      <c r="C591" s="1" t="n">
        <v>45996</v>
      </c>
      <c r="D591" t="inlineStr">
        <is>
          <t>VÄSTERNORRLANDS LÄN</t>
        </is>
      </c>
      <c r="E591" t="inlineStr">
        <is>
          <t>HÄRNÖSAND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51579-2025</t>
        </is>
      </c>
      <c r="B592" s="1" t="n">
        <v>45951.34535879629</v>
      </c>
      <c r="C592" s="1" t="n">
        <v>45996</v>
      </c>
      <c r="D592" t="inlineStr">
        <is>
          <t>VÄSTERNORRLANDS LÄN</t>
        </is>
      </c>
      <c r="E592" t="inlineStr">
        <is>
          <t>HÄRNÖSAND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59631-2025</t>
        </is>
      </c>
      <c r="B593" s="1" t="n">
        <v>45992.3971875</v>
      </c>
      <c r="C593" s="1" t="n">
        <v>45996</v>
      </c>
      <c r="D593" t="inlineStr">
        <is>
          <t>VÄSTERNORRLANDS LÄN</t>
        </is>
      </c>
      <c r="E593" t="inlineStr">
        <is>
          <t>HÄRNÖSAND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59634-2025</t>
        </is>
      </c>
      <c r="B594" s="1" t="n">
        <v>45992.40408564815</v>
      </c>
      <c r="C594" s="1" t="n">
        <v>45996</v>
      </c>
      <c r="D594" t="inlineStr">
        <is>
          <t>VÄSTERNORRLANDS LÄN</t>
        </is>
      </c>
      <c r="E594" t="inlineStr">
        <is>
          <t>HÄRNÖSAND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59628-2025</t>
        </is>
      </c>
      <c r="B595" s="1" t="n">
        <v>45992.39237268519</v>
      </c>
      <c r="C595" s="1" t="n">
        <v>45996</v>
      </c>
      <c r="D595" t="inlineStr">
        <is>
          <t>VÄSTERNORRLANDS LÄN</t>
        </is>
      </c>
      <c r="E595" t="inlineStr">
        <is>
          <t>HÄRNÖSAND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52147-2025</t>
        </is>
      </c>
      <c r="B596" s="1" t="n">
        <v>45953.34431712963</v>
      </c>
      <c r="C596" s="1" t="n">
        <v>45996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52353-2025</t>
        </is>
      </c>
      <c r="B597" s="1" t="n">
        <v>45952</v>
      </c>
      <c r="C597" s="1" t="n">
        <v>45996</v>
      </c>
      <c r="D597" t="inlineStr">
        <is>
          <t>VÄSTERNORRLANDS LÄN</t>
        </is>
      </c>
      <c r="E597" t="inlineStr">
        <is>
          <t>HÄRNÖSAND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52352-2025</t>
        </is>
      </c>
      <c r="B598" s="1" t="n">
        <v>45952</v>
      </c>
      <c r="C598" s="1" t="n">
        <v>45996</v>
      </c>
      <c r="D598" t="inlineStr">
        <is>
          <t>VÄSTERNORRLANDS LÄN</t>
        </is>
      </c>
      <c r="E598" t="inlineStr">
        <is>
          <t>HÄRNÖSAND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52354-2025</t>
        </is>
      </c>
      <c r="B599" s="1" t="n">
        <v>45952</v>
      </c>
      <c r="C599" s="1" t="n">
        <v>45996</v>
      </c>
      <c r="D599" t="inlineStr">
        <is>
          <t>VÄSTERNORRLANDS LÄN</t>
        </is>
      </c>
      <c r="E599" t="inlineStr">
        <is>
          <t>HÄRNÖSAND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2025-12-05T10:29:34Z</dcterms:created>
  <dcterms:modified xmlns:dcterms="http://purl.org/dc/terms/" xmlns:xsi="http://www.w3.org/2001/XMLSchema-instance" xsi:type="dcterms:W3CDTF">2025-12-05T10:29:34Z</dcterms:modified>
</cp:coreProperties>
</file>