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46270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46270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46270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46270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46270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46270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46270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46270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46270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46270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46270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46270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46270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46270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46270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46270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46270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46270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46270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46270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46270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47711-2024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46270</v>
      </c>
      <c r="F27" t="inlineStr">
        <is>
          <t>VÄSTERNORRLANDS LÄN</t>
        </is>
      </c>
      <c r="G27" t="inlineStr">
        <is>
          <t>HÄRNÖSAND</t>
        </is>
      </c>
      <c r="I27" t="n">
        <v>39.5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17</v>
      </c>
      <c r="U27" t="n">
        <v>3</v>
      </c>
      <c r="V27" s="2" t="inlineStr">
        <is>
          <t>Dropptaggsvamp
Motaggsvamp
Tallticka
Ullticka
Vedticka</t>
        </is>
      </c>
      <c r="W27">
        <f>HYPERLINK("https://klasma.github.io/Logging_2280/artfynd/A 47711-2024 artfynd.xlsx", "A 47711-2024")</f>
        <v/>
      </c>
      <c r="X27">
        <f>HYPERLINK("https://klasma.github.io/Logging_2280/kartor/A 47711-2024 karta.png", "A 47711-2024")</f>
        <v/>
      </c>
      <c r="Y27">
        <f>HYPERLINK("https://klasma.github.io/Logging_2280/kartor_geotiff/A 47711-2024 georefererad karta.tif", "A 47711-2024")</f>
        <v/>
      </c>
      <c r="AA27">
        <f>HYPERLINK("https://klasma.github.io/Logging_2280/klagomål/A 47711-2024 FSC-klagomål.docx", "A 47711-2024")</f>
        <v/>
      </c>
      <c r="AB27">
        <f>HYPERLINK("https://klasma.github.io/Logging_2280/klagomålsmail/A 47711-2024 FSC-klagomål mail.docx", "A 47711-2024")</f>
        <v/>
      </c>
      <c r="AC27">
        <f>HYPERLINK("https://klasma.github.io/Logging_2280/tillsyn/A 47711-2024 tillsynsbegäran.docx", "A 47711-2024")</f>
        <v/>
      </c>
      <c r="AD27">
        <f>HYPERLINK("https://klasma.github.io/Logging_2280/tillsynsmail/A 47711-2024 tillsynsbegäran mail.docx", "A 47711-2024")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46270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46270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46270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46270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46270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46270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46270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46270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46270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46270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46270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46270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46270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46270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46270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46270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46270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46270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46270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46270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46270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Rynkskinn
Ullticka
Blåsippa</t>
        </is>
      </c>
      <c r="W48">
        <f>HYPERLINK("https://klasma.github.io/Logging_2280/artfynd/A 34689-2024 artfynd.xlsx", "A 34689-2024")</f>
        <v/>
      </c>
      <c r="X48">
        <f>HYPERLINK("https://klasma.github.io/Logging_2280/kartor/A 34689-2024 karta.png", "A 34689-2024")</f>
        <v/>
      </c>
      <c r="Y48">
        <f>HYPERLINK("https://klasma.github.io/Logging_2280/kartor_geotiff/A 34689-2024 georefererad karta.tif", "A 34689-2024")</f>
        <v/>
      </c>
      <c r="AA48">
        <f>HYPERLINK("https://klasma.github.io/Logging_2280/klagomål/A 34689-2024 FSC-klagomål.docx", "A 34689-2024")</f>
        <v/>
      </c>
      <c r="AB48">
        <f>HYPERLINK("https://klasma.github.io/Logging_2280/klagomålsmail/A 34689-2024 FSC-klagomål mail.docx", "A 34689-2024")</f>
        <v/>
      </c>
      <c r="AC48">
        <f>HYPERLINK("https://klasma.github.io/Logging_2280/tillsyn/A 34689-2024 tillsynsbegäran.docx", "A 34689-2024")</f>
        <v/>
      </c>
      <c r="AD48">
        <f>HYPERLINK("https://klasma.github.io/Logging_2280/tillsynsmail/A 34689-2024 tillsynsbegäran mail.docx", "A 34689-2024")</f>
        <v/>
      </c>
    </row>
    <row r="49" ht="15" customHeight="1">
      <c r="A49" t="inlineStr">
        <is>
          <t>A 3953-2024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46270</v>
      </c>
      <c r="F49" t="inlineStr">
        <is>
          <t>VÄSTERNORRLANDS LÄN</t>
        </is>
      </c>
      <c r="G49" t="inlineStr">
        <is>
          <t>HÄRNÖSAND</t>
        </is>
      </c>
      <c r="I49" t="n">
        <v>4.7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Slåtterfibbla
Strutbräken
Svart trolldruva</t>
        </is>
      </c>
      <c r="W49">
        <f>HYPERLINK("https://klasma.github.io/Logging_2280/artfynd/A 3953-2024 artfynd.xlsx", "A 3953-2024")</f>
        <v/>
      </c>
      <c r="X49">
        <f>HYPERLINK("https://klasma.github.io/Logging_2280/kartor/A 3953-2024 karta.png", "A 3953-2024")</f>
        <v/>
      </c>
      <c r="Y49">
        <f>HYPERLINK("https://klasma.github.io/Logging_2280/kartor_geotiff/A 3953-2024 georefererad karta.tif", "A 3953-2024")</f>
        <v/>
      </c>
      <c r="AA49">
        <f>HYPERLINK("https://klasma.github.io/Logging_2280/klagomål/A 3953-2024 FSC-klagomål.docx", "A 3953-2024")</f>
        <v/>
      </c>
      <c r="AB49">
        <f>HYPERLINK("https://klasma.github.io/Logging_2280/klagomålsmail/A 3953-2024 FSC-klagomål mail.docx", "A 3953-2024")</f>
        <v/>
      </c>
      <c r="AC49">
        <f>HYPERLINK("https://klasma.github.io/Logging_2280/tillsyn/A 3953-2024 tillsynsbegäran.docx", "A 3953-2024")</f>
        <v/>
      </c>
      <c r="AD49">
        <f>HYPERLINK("https://klasma.github.io/Logging_2280/tillsynsmail/A 3953-2024 tillsynsbegäran mail.docx", "A 3953-2024")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46270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46270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46270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46270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46270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46270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46270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34545-2025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45847</v>
      </c>
      <c r="E57" s="1" t="n">
        <v>46270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Kyrkan</t>
        </is>
      </c>
      <c r="I57" t="n">
        <v>9.699999999999999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Tretåig hackspett
Korallblylav</t>
        </is>
      </c>
      <c r="W57">
        <f>HYPERLINK("https://klasma.github.io/Logging_2280/artfynd/A 34545-2025 artfynd.xlsx", "A 34545-2025")</f>
        <v/>
      </c>
      <c r="X57">
        <f>HYPERLINK("https://klasma.github.io/Logging_2280/kartor/A 34545-2025 karta.png", "A 34545-2025")</f>
        <v/>
      </c>
      <c r="Y57">
        <f>HYPERLINK("https://klasma.github.io/Logging_2280/kartor_geotiff/A 34545-2025 georefererad karta.tif", "A 34545-2025")</f>
        <v/>
      </c>
      <c r="AA57">
        <f>HYPERLINK("https://klasma.github.io/Logging_2280/klagomål/A 34545-2025 FSC-klagomål.docx", "A 34545-2025")</f>
        <v/>
      </c>
      <c r="AB57">
        <f>HYPERLINK("https://klasma.github.io/Logging_2280/klagomålsmail/A 34545-2025 FSC-klagomål mail.docx", "A 34545-2025")</f>
        <v/>
      </c>
      <c r="AC57">
        <f>HYPERLINK("https://klasma.github.io/Logging_2280/tillsyn/A 34545-2025 tillsynsbegäran.docx", "A 34545-2025")</f>
        <v/>
      </c>
      <c r="AD57">
        <f>HYPERLINK("https://klasma.github.io/Logging_2280/tillsynsmail/A 34545-2025 tillsynsbegäran mail.docx", "A 34545-2025")</f>
        <v/>
      </c>
      <c r="AE57">
        <f>HYPERLINK("https://klasma.github.io/Logging_2280/fåglar/A 34545-2025 prioriterade fågelarter.docx", "A 34545-2025")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46270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46270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46270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46270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46270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44901-2024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46270</v>
      </c>
      <c r="F63" t="inlineStr">
        <is>
          <t>VÄSTERNORRLANDS LÄN</t>
        </is>
      </c>
      <c r="G63" t="inlineStr">
        <is>
          <t>HÄRNÖSAND</t>
        </is>
      </c>
      <c r="I63" t="n">
        <v>3.3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Garnlav
Vedticka</t>
        </is>
      </c>
      <c r="W63">
        <f>HYPERLINK("https://klasma.github.io/Logging_2280/artfynd/A 44901-2024 artfynd.xlsx", "A 44901-2024")</f>
        <v/>
      </c>
      <c r="X63">
        <f>HYPERLINK("https://klasma.github.io/Logging_2280/kartor/A 44901-2024 karta.png", "A 44901-2024")</f>
        <v/>
      </c>
      <c r="Y63">
        <f>HYPERLINK("https://klasma.github.io/Logging_2280/kartor_geotiff/A 44901-2024 georefererad karta.tif", "A 44901-2024")</f>
        <v/>
      </c>
      <c r="AA63">
        <f>HYPERLINK("https://klasma.github.io/Logging_2280/klagomål/A 44901-2024 FSC-klagomål.docx", "A 44901-2024")</f>
        <v/>
      </c>
      <c r="AB63">
        <f>HYPERLINK("https://klasma.github.io/Logging_2280/klagomålsmail/A 44901-2024 FSC-klagomål mail.docx", "A 44901-2024")</f>
        <v/>
      </c>
      <c r="AC63">
        <f>HYPERLINK("https://klasma.github.io/Logging_2280/tillsyn/A 44901-2024 tillsynsbegäran.docx", "A 44901-2024")</f>
        <v/>
      </c>
      <c r="AD63">
        <f>HYPERLINK("https://klasma.github.io/Logging_2280/tillsynsmail/A 44901-2024 tillsynsbegäran mail.docx", "A 44901-2024")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46270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46270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46270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46270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46270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46270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46270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46270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46270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46270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46270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46270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46270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46270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46270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46270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46270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46270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45060-2025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45919</v>
      </c>
      <c r="E82" s="1" t="n">
        <v>46270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7.4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Gammelgransskål</t>
        </is>
      </c>
      <c r="W82">
        <f>HYPERLINK("https://klasma.github.io/Logging_2280/artfynd/A 45060-2025 artfynd.xlsx", "A 45060-2025")</f>
        <v/>
      </c>
      <c r="X82">
        <f>HYPERLINK("https://klasma.github.io/Logging_2280/kartor/A 45060-2025 karta.png", "A 45060-2025")</f>
        <v/>
      </c>
      <c r="Y82">
        <f>HYPERLINK("https://klasma.github.io/Logging_2280/kartor_geotiff/A 45060-2025 georefererad karta.tif", "A 45060-2025")</f>
        <v/>
      </c>
      <c r="AA82">
        <f>HYPERLINK("https://klasma.github.io/Logging_2280/klagomål/A 45060-2025 FSC-klagomål.docx", "A 45060-2025")</f>
        <v/>
      </c>
      <c r="AB82">
        <f>HYPERLINK("https://klasma.github.io/Logging_2280/klagomålsmail/A 45060-2025 FSC-klagomål mail.docx", "A 45060-2025")</f>
        <v/>
      </c>
      <c r="AC82">
        <f>HYPERLINK("https://klasma.github.io/Logging_2280/tillsyn/A 45060-2025 tillsynsbegäran.docx", "A 45060-2025")</f>
        <v/>
      </c>
      <c r="AD82">
        <f>HYPERLINK("https://klasma.github.io/Logging_2280/tillsynsmail/A 45060-2025 tillsynsbegäran mail.docx", "A 45060-2025")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46270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46270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46270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11546-2024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45372</v>
      </c>
      <c r="E86" s="1" t="n">
        <v>46270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3.1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Garnlav</t>
        </is>
      </c>
      <c r="W86">
        <f>HYPERLINK("https://klasma.github.io/Logging_2280/artfynd/A 11546-2024 artfynd.xlsx", "A 11546-2024")</f>
        <v/>
      </c>
      <c r="X86">
        <f>HYPERLINK("https://klasma.github.io/Logging_2280/kartor/A 11546-2024 karta.png", "A 11546-2024")</f>
        <v/>
      </c>
      <c r="Y86">
        <f>HYPERLINK("https://klasma.github.io/Logging_2280/kartor_geotiff/A 11546-2024 georefererad karta.tif", "A 11546-2024")</f>
        <v/>
      </c>
      <c r="AA86">
        <f>HYPERLINK("https://klasma.github.io/Logging_2280/klagomål/A 11546-2024 FSC-klagomål.docx", "A 11546-2024")</f>
        <v/>
      </c>
      <c r="AB86">
        <f>HYPERLINK("https://klasma.github.io/Logging_2280/klagomålsmail/A 11546-2024 FSC-klagomål mail.docx", "A 11546-2024")</f>
        <v/>
      </c>
      <c r="AC86">
        <f>HYPERLINK("https://klasma.github.io/Logging_2280/tillsyn/A 11546-2024 tillsynsbegäran.docx", "A 11546-2024")</f>
        <v/>
      </c>
      <c r="AD86">
        <f>HYPERLINK("https://klasma.github.io/Logging_2280/tillsynsmail/A 11546-2024 tillsynsbegäran mail.docx", "A 11546-2024")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46270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63724-2023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45276</v>
      </c>
      <c r="E88" s="1" t="n">
        <v>46270</v>
      </c>
      <c r="F88" t="inlineStr">
        <is>
          <t>VÄSTERNORRLANDS LÄN</t>
        </is>
      </c>
      <c r="G88" t="inlineStr">
        <is>
          <t>HÄRNÖSAND</t>
        </is>
      </c>
      <c r="I88" t="n">
        <v>10.1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Älg</t>
        </is>
      </c>
      <c r="W88">
        <f>HYPERLINK("https://klasma.github.io/Logging_2280/artfynd/A 63724-2023 artfynd.xlsx", "A 63724-2023")</f>
        <v/>
      </c>
      <c r="X88">
        <f>HYPERLINK("https://klasma.github.io/Logging_2280/kartor/A 63724-2023 karta.png", "A 63724-2023")</f>
        <v/>
      </c>
      <c r="Y88">
        <f>HYPERLINK("https://klasma.github.io/Logging_2280/kartor_geotiff/A 63724-2023 georefererad karta.tif", "A 63724-2023")</f>
        <v/>
      </c>
      <c r="AA88">
        <f>HYPERLINK("https://klasma.github.io/Logging_2280/klagomål/A 63724-2023 FSC-klagomål.docx", "A 63724-2023")</f>
        <v/>
      </c>
      <c r="AB88">
        <f>HYPERLINK("https://klasma.github.io/Logging_2280/klagomålsmail/A 63724-2023 FSC-klagomål mail.docx", "A 63724-2023")</f>
        <v/>
      </c>
      <c r="AC88">
        <f>HYPERLINK("https://klasma.github.io/Logging_2280/tillsyn/A 63724-2023 tillsynsbegäran.docx", "A 63724-2023")</f>
        <v/>
      </c>
      <c r="AD88">
        <f>HYPERLINK("https://klasma.github.io/Logging_2280/tillsynsmail/A 63724-2023 tillsynsbegäran mail.docx", "A 63724-2023")</f>
        <v/>
      </c>
    </row>
    <row r="89" ht="15" customHeight="1">
      <c r="A89" t="inlineStr">
        <is>
          <t>A 27457-2026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46270</v>
      </c>
      <c r="F89" t="inlineStr">
        <is>
          <t>VÄSTERNORRLANDS LÄN</t>
        </is>
      </c>
      <c r="G89" t="inlineStr">
        <is>
          <t>HÄRNÖSAND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HYPERLINK("https://klasma.github.io/Logging_2280/artfynd/A 27457-2026 artfynd.xlsx", "A 27457-2026")</f>
        <v/>
      </c>
      <c r="X89">
        <f>HYPERLINK("https://klasma.github.io/Logging_2280/kartor/A 27457-2026 karta.png", "A 27457-2026")</f>
        <v/>
      </c>
      <c r="Y89">
        <f>HYPERLINK("https://klasma.github.io/Logging_2280/kartor_geotiff/A 27457-2026 georefererad karta.tif", "A 27457-2026")</f>
        <v/>
      </c>
      <c r="AA89">
        <f>HYPERLINK("https://klasma.github.io/Logging_2280/klagomål/A 27457-2026 FSC-klagomål.docx", "A 27457-2026")</f>
        <v/>
      </c>
      <c r="AB89">
        <f>HYPERLINK("https://klasma.github.io/Logging_2280/klagomålsmail/A 27457-2026 FSC-klagomål mail.docx", "A 27457-2026")</f>
        <v/>
      </c>
      <c r="AC89">
        <f>HYPERLINK("https://klasma.github.io/Logging_2280/tillsyn/A 27457-2026 tillsynsbegäran.docx", "A 27457-2026")</f>
        <v/>
      </c>
      <c r="AD89">
        <f>HYPERLINK("https://klasma.github.io/Logging_2280/tillsynsmail/A 27457-2026 tillsynsbegäran mail.docx", "A 27457-2026")</f>
        <v/>
      </c>
    </row>
    <row r="90" ht="15" customHeight="1">
      <c r="A90" t="inlineStr">
        <is>
          <t>A 27923-2026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46270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9.300000000000001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Veckticka</t>
        </is>
      </c>
      <c r="W90">
        <f>HYPERLINK("https://klasma.github.io/Logging_2280/artfynd/A 27923-2026 artfynd.xlsx", "A 27923-2026")</f>
        <v/>
      </c>
      <c r="X90">
        <f>HYPERLINK("https://klasma.github.io/Logging_2280/kartor/A 27923-2026 karta.png", "A 27923-2026")</f>
        <v/>
      </c>
      <c r="Y90">
        <f>HYPERLINK("https://klasma.github.io/Logging_2280/kartor_geotiff/A 27923-2026 georefererad karta.tif", "A 27923-2026")</f>
        <v/>
      </c>
      <c r="AA90">
        <f>HYPERLINK("https://klasma.github.io/Logging_2280/klagomål/A 27923-2026 FSC-klagomål.docx", "A 27923-2026")</f>
        <v/>
      </c>
      <c r="AB90">
        <f>HYPERLINK("https://klasma.github.io/Logging_2280/klagomålsmail/A 27923-2026 FSC-klagomål mail.docx", "A 27923-2026")</f>
        <v/>
      </c>
      <c r="AC90">
        <f>HYPERLINK("https://klasma.github.io/Logging_2280/tillsyn/A 27923-2026 tillsynsbegäran.docx", "A 27923-2026")</f>
        <v/>
      </c>
      <c r="AD90">
        <f>HYPERLINK("https://klasma.github.io/Logging_2280/tillsynsmail/A 27923-2026 tillsynsbegäran mail.docx", "A 27923-2026")</f>
        <v/>
      </c>
    </row>
    <row r="91" ht="15" customHeight="1">
      <c r="A91" t="inlineStr">
        <is>
          <t>A 43541-2022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44837</v>
      </c>
      <c r="E91" s="1" t="n">
        <v>46270</v>
      </c>
      <c r="F91" t="inlineStr">
        <is>
          <t>VÄSTERNORRLANDS LÄN</t>
        </is>
      </c>
      <c r="G91" t="inlineStr">
        <is>
          <t>HÄRNÖSAND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Sötgräs</t>
        </is>
      </c>
      <c r="W91">
        <f>HYPERLINK("https://klasma.github.io/Logging_2280/artfynd/A 43541-2022 artfynd.xlsx", "A 43541-2022")</f>
        <v/>
      </c>
      <c r="X91">
        <f>HYPERLINK("https://klasma.github.io/Logging_2280/kartor/A 43541-2022 karta.png", "A 43541-2022")</f>
        <v/>
      </c>
      <c r="Y91">
        <f>HYPERLINK("https://klasma.github.io/Logging_2280/kartor_geotiff/A 43541-2022 georefererad karta.tif", "A 43541-2022")</f>
        <v/>
      </c>
      <c r="AA91">
        <f>HYPERLINK("https://klasma.github.io/Logging_2280/klagomål/A 43541-2022 FSC-klagomål.docx", "A 43541-2022")</f>
        <v/>
      </c>
      <c r="AB91">
        <f>HYPERLINK("https://klasma.github.io/Logging_2280/klagomålsmail/A 43541-2022 FSC-klagomål mail.docx", "A 43541-2022")</f>
        <v/>
      </c>
      <c r="AC91">
        <f>HYPERLINK("https://klasma.github.io/Logging_2280/tillsyn/A 43541-2022 tillsynsbegäran.docx", "A 43541-2022")</f>
        <v/>
      </c>
      <c r="AD91">
        <f>HYPERLINK("https://klasma.github.io/Logging_2280/tillsynsmail/A 43541-2022 tillsynsbegäran mail.docx", "A 43541-2022")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46270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46270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46270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46270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46270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46270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46270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46270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46270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46270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46270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46270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46270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46270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46270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46270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46270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46270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46270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46270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46270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46270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46270</v>
      </c>
      <c r="F114" t="inlineStr">
        <is>
          <t>VÄSTERNORRLANDS LÄN</t>
        </is>
      </c>
      <c r="G114" t="inlineStr">
        <is>
          <t>HÄRNÖSAND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15849-2022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46270</v>
      </c>
      <c r="F115" t="inlineStr">
        <is>
          <t>VÄSTERNORRLANDS LÄN</t>
        </is>
      </c>
      <c r="G115" t="inlineStr">
        <is>
          <t>HÄRNÖSAND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36649-2022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44804</v>
      </c>
      <c r="E116" s="1" t="n">
        <v>46270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46270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46270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46270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46270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46270</v>
      </c>
      <c r="F121" t="inlineStr">
        <is>
          <t>VÄSTERNORRLANDS LÄN</t>
        </is>
      </c>
      <c r="G121" t="inlineStr">
        <is>
          <t>HÄRNÖSAND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46270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46270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46270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65024-2021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46270</v>
      </c>
      <c r="F125" t="inlineStr">
        <is>
          <t>VÄSTERNORRLANDS LÄN</t>
        </is>
      </c>
      <c r="G125" t="inlineStr">
        <is>
          <t>HÄRNÖSAND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46270</v>
      </c>
      <c r="F126" t="inlineStr">
        <is>
          <t>VÄSTERNORRLANDS LÄN</t>
        </is>
      </c>
      <c r="G126" t="inlineStr">
        <is>
          <t>HÄRNÖSAND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46270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46270</v>
      </c>
      <c r="F128" t="inlineStr">
        <is>
          <t>VÄSTERNORRLANDS LÄN</t>
        </is>
      </c>
      <c r="G128" t="inlineStr">
        <is>
          <t>HÄRNÖSAND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70563-2021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44532</v>
      </c>
      <c r="E129" s="1" t="n">
        <v>46270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44571</v>
      </c>
      <c r="E130" s="1" t="n">
        <v>46270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64682-2021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46270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46270</v>
      </c>
      <c r="F132" t="inlineStr">
        <is>
          <t>VÄSTERNORRLANDS LÄN</t>
        </is>
      </c>
      <c r="G132" t="inlineStr">
        <is>
          <t>HÄRNÖSAND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70603-2021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44536</v>
      </c>
      <c r="E133" s="1" t="n">
        <v>46270</v>
      </c>
      <c r="F133" t="inlineStr">
        <is>
          <t>VÄSTERNORRLANDS LÄN</t>
        </is>
      </c>
      <c r="G133" t="inlineStr">
        <is>
          <t>HÄRNÖSAND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67078-2021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44522</v>
      </c>
      <c r="E134" s="1" t="n">
        <v>46270</v>
      </c>
      <c r="F134" t="inlineStr">
        <is>
          <t>VÄSTERNORRLANDS LÄN</t>
        </is>
      </c>
      <c r="G134" t="inlineStr">
        <is>
          <t>HÄRNÖSAND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46270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46270</v>
      </c>
      <c r="F136" t="inlineStr">
        <is>
          <t>VÄSTERNORRLANDS LÄN</t>
        </is>
      </c>
      <c r="G136" t="inlineStr">
        <is>
          <t>HÄRNÖSAND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46270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46270</v>
      </c>
      <c r="F138" t="inlineStr">
        <is>
          <t>VÄSTERNORRLANDS LÄN</t>
        </is>
      </c>
      <c r="G138" t="inlineStr">
        <is>
          <t>HÄRNÖSAND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46270</v>
      </c>
      <c r="F139" t="inlineStr">
        <is>
          <t>VÄSTERNORRLANDS LÄN</t>
        </is>
      </c>
      <c r="G139" t="inlineStr">
        <is>
          <t>HÄRNÖSAND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54251-2022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44881</v>
      </c>
      <c r="E140" s="1" t="n">
        <v>46270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46270</v>
      </c>
      <c r="F141" t="inlineStr">
        <is>
          <t>VÄSTERNORRLANDS LÄN</t>
        </is>
      </c>
      <c r="G141" t="inlineStr">
        <is>
          <t>HÄRNÖSAND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49039-2023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45209</v>
      </c>
      <c r="E142" s="1" t="n">
        <v>46270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46270</v>
      </c>
      <c r="F143" t="inlineStr">
        <is>
          <t>VÄSTERNORRLANDS LÄN</t>
        </is>
      </c>
      <c r="G143" t="inlineStr">
        <is>
          <t>HÄRNÖSAND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45293</v>
      </c>
      <c r="E144" s="1" t="n">
        <v>46270</v>
      </c>
      <c r="F144" t="inlineStr">
        <is>
          <t>VÄSTERNORRLANDS LÄN</t>
        </is>
      </c>
      <c r="G144" t="inlineStr">
        <is>
          <t>HÄRNÖSAND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46270</v>
      </c>
      <c r="F145" t="inlineStr">
        <is>
          <t>VÄSTERNORRLANDS LÄN</t>
        </is>
      </c>
      <c r="G145" t="inlineStr">
        <is>
          <t>HÄRNÖSAND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44617</v>
      </c>
      <c r="E146" s="1" t="n">
        <v>46270</v>
      </c>
      <c r="F146" t="inlineStr">
        <is>
          <t>VÄSTERNORRLANDS LÄN</t>
        </is>
      </c>
      <c r="G146" t="inlineStr">
        <is>
          <t>HÄRNÖSAND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45413-2024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45576</v>
      </c>
      <c r="E147" s="1" t="n">
        <v>46270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46270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45314</v>
      </c>
      <c r="E149" s="1" t="n">
        <v>46270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46270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45762</v>
      </c>
      <c r="E151" s="1" t="n">
        <v>46270</v>
      </c>
      <c r="F151" t="inlineStr">
        <is>
          <t>VÄSTERNORRLANDS LÄN</t>
        </is>
      </c>
      <c r="G151" t="inlineStr">
        <is>
          <t>HÄRNÖSAND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30762-2024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45496</v>
      </c>
      <c r="E152" s="1" t="n">
        <v>46270</v>
      </c>
      <c r="F152" t="inlineStr">
        <is>
          <t>VÄSTERNORRLANDS LÄN</t>
        </is>
      </c>
      <c r="G152" t="inlineStr">
        <is>
          <t>HÄRNÖSAND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46270</v>
      </c>
      <c r="F153" t="inlineStr">
        <is>
          <t>VÄSTERNORRLANDS LÄN</t>
        </is>
      </c>
      <c r="G153" t="inlineStr">
        <is>
          <t>HÄRNÖSAND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46270</v>
      </c>
      <c r="F154" t="inlineStr">
        <is>
          <t>VÄSTERNORRLANDS LÄN</t>
        </is>
      </c>
      <c r="G154" t="inlineStr">
        <is>
          <t>HÄRNÖSAND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44853</v>
      </c>
      <c r="E155" s="1" t="n">
        <v>46270</v>
      </c>
      <c r="F155" t="inlineStr">
        <is>
          <t>VÄSTERNORRLANDS LÄN</t>
        </is>
      </c>
      <c r="G155" t="inlineStr">
        <is>
          <t>HÄRNÖSAND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45126</v>
      </c>
      <c r="E156" s="1" t="n">
        <v>46270</v>
      </c>
      <c r="F156" t="inlineStr">
        <is>
          <t>VÄSTERNORRLANDS LÄN</t>
        </is>
      </c>
      <c r="G156" t="inlineStr">
        <is>
          <t>HÄRNÖSAND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46270</v>
      </c>
      <c r="F157" t="inlineStr">
        <is>
          <t>VÄSTERNORRLANDS LÄN</t>
        </is>
      </c>
      <c r="G157" t="inlineStr">
        <is>
          <t>HÄRNÖSAND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46270</v>
      </c>
      <c r="F158" t="inlineStr">
        <is>
          <t>VÄSTERNORRLANDS LÄN</t>
        </is>
      </c>
      <c r="G158" t="inlineStr">
        <is>
          <t>HÄRNÖSAND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45352</v>
      </c>
      <c r="E159" s="1" t="n">
        <v>46270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46270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45628</v>
      </c>
      <c r="E161" s="1" t="n">
        <v>46270</v>
      </c>
      <c r="F161" t="inlineStr">
        <is>
          <t>VÄSTERNORRLANDS LÄN</t>
        </is>
      </c>
      <c r="G161" t="inlineStr">
        <is>
          <t>HÄRNÖSAND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45516</v>
      </c>
      <c r="E162" s="1" t="n">
        <v>46270</v>
      </c>
      <c r="F162" t="inlineStr">
        <is>
          <t>VÄSTERNORRLANDS LÄN</t>
        </is>
      </c>
      <c r="G162" t="inlineStr">
        <is>
          <t>HÄRNÖSAND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46270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45139</v>
      </c>
      <c r="E164" s="1" t="n">
        <v>46270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44809</v>
      </c>
      <c r="E165" s="1" t="n">
        <v>46270</v>
      </c>
      <c r="F165" t="inlineStr">
        <is>
          <t>VÄSTERNORRLANDS LÄN</t>
        </is>
      </c>
      <c r="G165" t="inlineStr">
        <is>
          <t>HÄRNÖSAND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46270</v>
      </c>
      <c r="F166" t="inlineStr">
        <is>
          <t>VÄSTERNORRLANDS LÄN</t>
        </is>
      </c>
      <c r="G166" t="inlineStr">
        <is>
          <t>HÄRNÖSAND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55583-2021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44475</v>
      </c>
      <c r="E167" s="1" t="n">
        <v>46270</v>
      </c>
      <c r="F167" t="inlineStr">
        <is>
          <t>VÄSTERNORRLANDS LÄN</t>
        </is>
      </c>
      <c r="G167" t="inlineStr">
        <is>
          <t>HÄRNÖSAND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45482</v>
      </c>
      <c r="E168" s="1" t="n">
        <v>46270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46270</v>
      </c>
      <c r="F169" t="inlineStr">
        <is>
          <t>VÄSTERNORRLANDS LÄN</t>
        </is>
      </c>
      <c r="G169" t="inlineStr">
        <is>
          <t>HÄRNÖSAND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45762</v>
      </c>
      <c r="E170" s="1" t="n">
        <v>46270</v>
      </c>
      <c r="F170" t="inlineStr">
        <is>
          <t>VÄSTERNORRLANDS LÄN</t>
        </is>
      </c>
      <c r="G170" t="inlineStr">
        <is>
          <t>HÄRNÖSAND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46270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46270</v>
      </c>
      <c r="F172" t="inlineStr">
        <is>
          <t>VÄSTERNORRLANDS LÄN</t>
        </is>
      </c>
      <c r="G172" t="inlineStr">
        <is>
          <t>HÄRNÖSAND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46023</v>
      </c>
      <c r="E173" s="1" t="n">
        <v>46270</v>
      </c>
      <c r="F173" t="inlineStr">
        <is>
          <t>VÄSTERNORRLANDS LÄN</t>
        </is>
      </c>
      <c r="G173" t="inlineStr">
        <is>
          <t>HÄRNÖSAND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46023</v>
      </c>
      <c r="E174" s="1" t="n">
        <v>46270</v>
      </c>
      <c r="F174" t="inlineStr">
        <is>
          <t>VÄSTERNORRLANDS LÄN</t>
        </is>
      </c>
      <c r="G174" t="inlineStr">
        <is>
          <t>HÄRNÖSAND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46023</v>
      </c>
      <c r="E175" s="1" t="n">
        <v>46270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46270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46270</v>
      </c>
      <c r="F177" t="inlineStr">
        <is>
          <t>VÄSTERNORRLANDS LÄN</t>
        </is>
      </c>
      <c r="G177" t="inlineStr">
        <is>
          <t>HÄRNÖSAND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46024</v>
      </c>
      <c r="E178" s="1" t="n">
        <v>46270</v>
      </c>
      <c r="F178" t="inlineStr">
        <is>
          <t>VÄSTERNORRLANDS LÄN</t>
        </is>
      </c>
      <c r="G178" t="inlineStr">
        <is>
          <t>HÄRNÖSAND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46270</v>
      </c>
      <c r="F179" t="inlineStr">
        <is>
          <t>VÄSTERNORRLANDS LÄN</t>
        </is>
      </c>
      <c r="G179" t="inlineStr">
        <is>
          <t>HÄRNÖSAND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45630</v>
      </c>
      <c r="E180" s="1" t="n">
        <v>46270</v>
      </c>
      <c r="F180" t="inlineStr">
        <is>
          <t>VÄSTERNORRLANDS LÄN</t>
        </is>
      </c>
      <c r="G180" t="inlineStr">
        <is>
          <t>HÄRNÖSAND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46270</v>
      </c>
      <c r="F181" t="inlineStr">
        <is>
          <t>VÄSTERNORRLANDS LÄN</t>
        </is>
      </c>
      <c r="G181" t="inlineStr">
        <is>
          <t>HÄRNÖSAND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46270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45205</v>
      </c>
      <c r="E183" s="1" t="n">
        <v>46270</v>
      </c>
      <c r="F183" t="inlineStr">
        <is>
          <t>VÄSTERNORRLANDS LÄN</t>
        </is>
      </c>
      <c r="G183" t="inlineStr">
        <is>
          <t>HÄRNÖSAND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46270</v>
      </c>
      <c r="F184" t="inlineStr">
        <is>
          <t>VÄSTERNORRLANDS LÄN</t>
        </is>
      </c>
      <c r="G184" t="inlineStr">
        <is>
          <t>HÄRNÖSAND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46026</v>
      </c>
      <c r="E185" s="1" t="n">
        <v>46270</v>
      </c>
      <c r="F185" t="inlineStr">
        <is>
          <t>VÄSTERNORRLANDS LÄN</t>
        </is>
      </c>
      <c r="G185" t="inlineStr">
        <is>
          <t>HÄRNÖSAND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46270</v>
      </c>
      <c r="F186" t="inlineStr">
        <is>
          <t>VÄSTERNORRLANDS LÄN</t>
        </is>
      </c>
      <c r="G186" t="inlineStr">
        <is>
          <t>HÄRNÖSAND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46024</v>
      </c>
      <c r="E187" s="1" t="n">
        <v>46270</v>
      </c>
      <c r="F187" t="inlineStr">
        <is>
          <t>VÄSTERNORRLANDS LÄN</t>
        </is>
      </c>
      <c r="G187" t="inlineStr">
        <is>
          <t>HÄRNÖSAND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46270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45289</v>
      </c>
      <c r="E189" s="1" t="n">
        <v>46270</v>
      </c>
      <c r="F189" t="inlineStr">
        <is>
          <t>VÄSTERNORRLANDS LÄN</t>
        </is>
      </c>
      <c r="G189" t="inlineStr">
        <is>
          <t>HÄRNÖSAND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46270</v>
      </c>
      <c r="F190" t="inlineStr">
        <is>
          <t>VÄSTERNORRLANDS LÄN</t>
        </is>
      </c>
      <c r="G190" t="inlineStr">
        <is>
          <t>HÄRNÖSAND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46270</v>
      </c>
      <c r="F191" t="inlineStr">
        <is>
          <t>VÄSTERNORRLANDS LÄN</t>
        </is>
      </c>
      <c r="G191" t="inlineStr">
        <is>
          <t>HÄRNÖSAND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46270</v>
      </c>
      <c r="F192" t="inlineStr">
        <is>
          <t>VÄSTERNORRLANDS LÄN</t>
        </is>
      </c>
      <c r="G192" t="inlineStr">
        <is>
          <t>HÄRNÖSAND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46270</v>
      </c>
      <c r="F193" t="inlineStr">
        <is>
          <t>VÄSTERNORRLANDS LÄN</t>
        </is>
      </c>
      <c r="G193" t="inlineStr">
        <is>
          <t>HÄRNÖSAND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46270</v>
      </c>
      <c r="F194" t="inlineStr">
        <is>
          <t>VÄSTERNORRLANDS LÄN</t>
        </is>
      </c>
      <c r="G194" t="inlineStr">
        <is>
          <t>HÄRNÖSAND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46270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65224-2023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45289</v>
      </c>
      <c r="E196" s="1" t="n">
        <v>46270</v>
      </c>
      <c r="F196" t="inlineStr">
        <is>
          <t>VÄSTERNORRLANDS LÄN</t>
        </is>
      </c>
      <c r="G196" t="inlineStr">
        <is>
          <t>HÄRNÖSAND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45890</v>
      </c>
      <c r="E197" s="1" t="n">
        <v>46270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46270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64023-2023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45278</v>
      </c>
      <c r="E199" s="1" t="n">
        <v>46270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46270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46270</v>
      </c>
      <c r="F201" t="inlineStr">
        <is>
          <t>VÄSTERNORRLANDS LÄN</t>
        </is>
      </c>
      <c r="G201" t="inlineStr">
        <is>
          <t>HÄRNÖSAND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46270</v>
      </c>
      <c r="F202" t="inlineStr">
        <is>
          <t>VÄSTERNORRLANDS LÄN</t>
        </is>
      </c>
      <c r="G202" t="inlineStr">
        <is>
          <t>HÄRNÖSAND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46270</v>
      </c>
      <c r="F203" t="inlineStr">
        <is>
          <t>VÄSTERNORRLANDS LÄN</t>
        </is>
      </c>
      <c r="G203" t="inlineStr">
        <is>
          <t>HÄRNÖSAND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46270</v>
      </c>
      <c r="F204" t="inlineStr">
        <is>
          <t>VÄSTERNORRLANDS LÄN</t>
        </is>
      </c>
      <c r="G204" t="inlineStr">
        <is>
          <t>HÄRNÖSAND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46270</v>
      </c>
      <c r="F205" t="inlineStr">
        <is>
          <t>VÄSTERNORRLANDS LÄN</t>
        </is>
      </c>
      <c r="G205" t="inlineStr">
        <is>
          <t>HÄRNÖSAND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46270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46270</v>
      </c>
      <c r="F207" t="inlineStr">
        <is>
          <t>VÄSTERNORRLANDS LÄN</t>
        </is>
      </c>
      <c r="G207" t="inlineStr">
        <is>
          <t>HÄRNÖSAND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41562-2025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45901</v>
      </c>
      <c r="E208" s="1" t="n">
        <v>46270</v>
      </c>
      <c r="F208" t="inlineStr">
        <is>
          <t>VÄSTERNORRLANDS LÄN</t>
        </is>
      </c>
      <c r="G208" t="inlineStr">
        <is>
          <t>HÄRNÖSAND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46270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Kyrkan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46270</v>
      </c>
      <c r="F210" t="inlineStr">
        <is>
          <t>VÄSTERNORRLANDS LÄN</t>
        </is>
      </c>
      <c r="G210" t="inlineStr">
        <is>
          <t>HÄRNÖSAND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45578</v>
      </c>
      <c r="E211" s="1" t="n">
        <v>46270</v>
      </c>
      <c r="F211" t="inlineStr">
        <is>
          <t>VÄSTERNORRLANDS LÄN</t>
        </is>
      </c>
      <c r="G211" t="inlineStr">
        <is>
          <t>HÄRNÖSAND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45578</v>
      </c>
      <c r="E212" s="1" t="n">
        <v>46270</v>
      </c>
      <c r="F212" t="inlineStr">
        <is>
          <t>VÄSTERNORRLANDS LÄN</t>
        </is>
      </c>
      <c r="G212" t="inlineStr">
        <is>
          <t>HÄRNÖSAND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780-2026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46029</v>
      </c>
      <c r="E213" s="1" t="n">
        <v>46270</v>
      </c>
      <c r="F213" t="inlineStr">
        <is>
          <t>VÄSTERNORRLANDS LÄN</t>
        </is>
      </c>
      <c r="G213" t="inlineStr">
        <is>
          <t>HÄRNÖSAND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46270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46270</v>
      </c>
      <c r="F215" t="inlineStr">
        <is>
          <t>VÄSTERNORRLANDS LÄN</t>
        </is>
      </c>
      <c r="G215" t="inlineStr">
        <is>
          <t>HÄRNÖSAND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46270</v>
      </c>
      <c r="F216" t="inlineStr">
        <is>
          <t>VÄSTERNORRLANDS LÄN</t>
        </is>
      </c>
      <c r="G216" t="inlineStr">
        <is>
          <t>HÄRNÖSAND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46270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46270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46270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46270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46270</v>
      </c>
      <c r="F221" t="inlineStr">
        <is>
          <t>VÄSTERNORRLANDS LÄN</t>
        </is>
      </c>
      <c r="G221" t="inlineStr">
        <is>
          <t>HÄRNÖSAND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44728</v>
      </c>
      <c r="E222" s="1" t="n">
        <v>46270</v>
      </c>
      <c r="F222" t="inlineStr">
        <is>
          <t>VÄSTERNORRLANDS LÄN</t>
        </is>
      </c>
      <c r="G222" t="inlineStr">
        <is>
          <t>HÄRNÖSAND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45757</v>
      </c>
      <c r="E223" s="1" t="n">
        <v>46270</v>
      </c>
      <c r="F223" t="inlineStr">
        <is>
          <t>VÄSTERNORRLANDS LÄN</t>
        </is>
      </c>
      <c r="G223" t="inlineStr">
        <is>
          <t>HÄRNÖSAND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46270</v>
      </c>
      <c r="F224" t="inlineStr">
        <is>
          <t>VÄSTERNORRLANDS LÄN</t>
        </is>
      </c>
      <c r="G224" t="inlineStr">
        <is>
          <t>HÄRNÖSAND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46270</v>
      </c>
      <c r="F225" t="inlineStr">
        <is>
          <t>VÄSTERNORRLANDS LÄN</t>
        </is>
      </c>
      <c r="G225" t="inlineStr">
        <is>
          <t>HÄRNÖSAND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46270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46270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46270</v>
      </c>
      <c r="F228" t="inlineStr">
        <is>
          <t>VÄSTERNORRLANDS LÄN</t>
        </is>
      </c>
      <c r="G228" t="inlineStr">
        <is>
          <t>HÄRNÖSAND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46270</v>
      </c>
      <c r="F229" t="inlineStr">
        <is>
          <t>VÄSTERNORRLANDS LÄN</t>
        </is>
      </c>
      <c r="G229" t="inlineStr">
        <is>
          <t>HÄRNÖSAND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45837</v>
      </c>
      <c r="E230" s="1" t="n">
        <v>46270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46270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45837</v>
      </c>
      <c r="E232" s="1" t="n">
        <v>46270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46270</v>
      </c>
      <c r="F233" t="inlineStr">
        <is>
          <t>VÄSTERNORRLANDS LÄN</t>
        </is>
      </c>
      <c r="G233" t="inlineStr">
        <is>
          <t>HÄRNÖSAND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46270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46270</v>
      </c>
      <c r="F235" t="inlineStr">
        <is>
          <t>VÄSTERNORRLANDS LÄN</t>
        </is>
      </c>
      <c r="G235" t="inlineStr">
        <is>
          <t>HÄRNÖSAND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46270</v>
      </c>
      <c r="F236" t="inlineStr">
        <is>
          <t>VÄSTERNORRLANDS LÄN</t>
        </is>
      </c>
      <c r="G236" t="inlineStr">
        <is>
          <t>HÄRNÖSAND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46270</v>
      </c>
      <c r="F237" t="inlineStr">
        <is>
          <t>VÄSTERNORRLANDS LÄN</t>
        </is>
      </c>
      <c r="G237" t="inlineStr">
        <is>
          <t>HÄRNÖSAND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46270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46270</v>
      </c>
      <c r="F239" t="inlineStr">
        <is>
          <t>VÄSTERNORRLANDS LÄN</t>
        </is>
      </c>
      <c r="G239" t="inlineStr">
        <is>
          <t>HÄRNÖSAND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45496</v>
      </c>
      <c r="E240" s="1" t="n">
        <v>46270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46270</v>
      </c>
      <c r="F241" t="inlineStr">
        <is>
          <t>VÄSTERNORRLANDS LÄN</t>
        </is>
      </c>
      <c r="G241" t="inlineStr">
        <is>
          <t>HÄRNÖSAND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46270</v>
      </c>
      <c r="F242" t="inlineStr">
        <is>
          <t>VÄSTERNORRLANDS LÄN</t>
        </is>
      </c>
      <c r="G242" t="inlineStr">
        <is>
          <t>HÄRNÖSAND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46270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46270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46270</v>
      </c>
      <c r="F245" t="inlineStr">
        <is>
          <t>VÄSTERNORRLANDS LÄN</t>
        </is>
      </c>
      <c r="G245" t="inlineStr">
        <is>
          <t>HÄRNÖSAND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45764</v>
      </c>
      <c r="E246" s="1" t="n">
        <v>46270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46270</v>
      </c>
      <c r="F247" t="inlineStr">
        <is>
          <t>VÄSTERNORRLANDS LÄN</t>
        </is>
      </c>
      <c r="G247" t="inlineStr">
        <is>
          <t>HÄRNÖSAND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46270</v>
      </c>
      <c r="F248" t="inlineStr">
        <is>
          <t>VÄSTERNORRLANDS LÄN</t>
        </is>
      </c>
      <c r="G248" t="inlineStr">
        <is>
          <t>HÄRNÖSAND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45848</v>
      </c>
      <c r="E249" s="1" t="n">
        <v>46270</v>
      </c>
      <c r="F249" t="inlineStr">
        <is>
          <t>VÄSTERNORRLANDS LÄN</t>
        </is>
      </c>
      <c r="G249" t="inlineStr">
        <is>
          <t>HÄRNÖSAND</t>
        </is>
      </c>
      <c r="I249" t="n">
        <v>7.9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29429-2024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45483</v>
      </c>
      <c r="E250" s="1" t="n">
        <v>46270</v>
      </c>
      <c r="F250" t="inlineStr">
        <is>
          <t>VÄSTERNORRLANDS LÄN</t>
        </is>
      </c>
      <c r="G250" t="inlineStr">
        <is>
          <t>HÄRNÖSAND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34751-2025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45848</v>
      </c>
      <c r="E251" s="1" t="n">
        <v>46270</v>
      </c>
      <c r="F251" t="inlineStr">
        <is>
          <t>VÄSTERNORRLANDS LÄN</t>
        </is>
      </c>
      <c r="G251" t="inlineStr">
        <is>
          <t>HÄRNÖSAND</t>
        </is>
      </c>
      <c r="I251" t="n">
        <v>8.699999999999999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45853</v>
      </c>
      <c r="E252" s="1" t="n">
        <v>46270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44603</v>
      </c>
      <c r="E253" s="1" t="n">
        <v>46270</v>
      </c>
      <c r="F253" t="inlineStr">
        <is>
          <t>VÄSTERNORRLANDS LÄN</t>
        </is>
      </c>
      <c r="G253" t="inlineStr">
        <is>
          <t>HÄRNÖSAND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45173</v>
      </c>
      <c r="E254" s="1" t="n">
        <v>46270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45203</v>
      </c>
      <c r="E255" s="1" t="n">
        <v>46270</v>
      </c>
      <c r="F255" t="inlineStr">
        <is>
          <t>VÄSTERNORRLANDS LÄN</t>
        </is>
      </c>
      <c r="G255" t="inlineStr">
        <is>
          <t>HÄRNÖSAND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45769</v>
      </c>
      <c r="E256" s="1" t="n">
        <v>46270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46270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40452-2023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45168</v>
      </c>
      <c r="E258" s="1" t="n">
        <v>46270</v>
      </c>
      <c r="F258" t="inlineStr">
        <is>
          <t>VÄSTERNORRLANDS LÄN</t>
        </is>
      </c>
      <c r="G258" t="inlineStr">
        <is>
          <t>HÄRNÖSAND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46270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46270</v>
      </c>
      <c r="F260" t="inlineStr">
        <is>
          <t>VÄSTERNORRLANDS LÄN</t>
        </is>
      </c>
      <c r="G260" t="inlineStr">
        <is>
          <t>HÄRNÖSAND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46270</v>
      </c>
      <c r="F261" t="inlineStr">
        <is>
          <t>VÄSTERNORRLANDS LÄN</t>
        </is>
      </c>
      <c r="G261" t="inlineStr">
        <is>
          <t>HÄRNÖSAND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46270</v>
      </c>
      <c r="F262" t="inlineStr">
        <is>
          <t>VÄSTERNORRLANDS LÄN</t>
        </is>
      </c>
      <c r="G262" t="inlineStr">
        <is>
          <t>HÄRNÖSAND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46270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46270</v>
      </c>
      <c r="F264" t="inlineStr">
        <is>
          <t>VÄSTERNORRLANDS LÄN</t>
        </is>
      </c>
      <c r="G264" t="inlineStr">
        <is>
          <t>HÄRNÖSAND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46270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46270</v>
      </c>
      <c r="F266" t="inlineStr">
        <is>
          <t>VÄSTERNORRLANDS LÄN</t>
        </is>
      </c>
      <c r="G266" t="inlineStr">
        <is>
          <t>HÄRNÖSAND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46270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46270</v>
      </c>
      <c r="F268" t="inlineStr">
        <is>
          <t>VÄSTERNORRLANDS LÄN</t>
        </is>
      </c>
      <c r="G268" t="inlineStr">
        <is>
          <t>HÄRNÖSAND</t>
        </is>
      </c>
      <c r="I268" t="n">
        <v>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46270</v>
      </c>
      <c r="F269" t="inlineStr">
        <is>
          <t>VÄSTERNORRLANDS LÄN</t>
        </is>
      </c>
      <c r="G269" t="inlineStr">
        <is>
          <t>HÄRNÖSAND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46270</v>
      </c>
      <c r="F270" t="inlineStr">
        <is>
          <t>VÄSTERNORRLANDS LÄN</t>
        </is>
      </c>
      <c r="G270" t="inlineStr">
        <is>
          <t>HÄRNÖSAND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46270</v>
      </c>
      <c r="F271" t="inlineStr">
        <is>
          <t>VÄSTERNORRLANDS LÄN</t>
        </is>
      </c>
      <c r="G271" t="inlineStr">
        <is>
          <t>HÄRNÖSAND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46270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46270</v>
      </c>
      <c r="F273" t="inlineStr">
        <is>
          <t>VÄSTERNORRLANDS LÄN</t>
        </is>
      </c>
      <c r="G273" t="inlineStr">
        <is>
          <t>HÄRNÖSAND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46270</v>
      </c>
      <c r="F274" t="inlineStr">
        <is>
          <t>VÄSTERNORRLANDS LÄN</t>
        </is>
      </c>
      <c r="G274" t="inlineStr">
        <is>
          <t>HÄRNÖSAND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45729</v>
      </c>
      <c r="E275" s="1" t="n">
        <v>46270</v>
      </c>
      <c r="F275" t="inlineStr">
        <is>
          <t>VÄSTERNORRLANDS LÄN</t>
        </is>
      </c>
      <c r="G275" t="inlineStr">
        <is>
          <t>HÄRNÖSAND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46270</v>
      </c>
      <c r="F276" t="inlineStr">
        <is>
          <t>VÄSTERNORRLANDS LÄN</t>
        </is>
      </c>
      <c r="G276" t="inlineStr">
        <is>
          <t>HÄRNÖSAND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46270</v>
      </c>
      <c r="F277" t="inlineStr">
        <is>
          <t>VÄSTERNORRLANDS LÄN</t>
        </is>
      </c>
      <c r="G277" t="inlineStr">
        <is>
          <t>HÄRNÖSAND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46270</v>
      </c>
      <c r="F278" t="inlineStr">
        <is>
          <t>VÄSTERNORRLANDS LÄN</t>
        </is>
      </c>
      <c r="G278" t="inlineStr">
        <is>
          <t>HÄRNÖSAND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46270</v>
      </c>
      <c r="F279" t="inlineStr">
        <is>
          <t>VÄSTERNORRLANDS LÄN</t>
        </is>
      </c>
      <c r="G279" t="inlineStr">
        <is>
          <t>HÄRNÖSAND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46270</v>
      </c>
      <c r="F280" t="inlineStr">
        <is>
          <t>VÄSTERNORRLANDS LÄN</t>
        </is>
      </c>
      <c r="G280" t="inlineStr">
        <is>
          <t>HÄRNÖSAND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46270</v>
      </c>
      <c r="F281" t="inlineStr">
        <is>
          <t>VÄSTERNORRLANDS LÄN</t>
        </is>
      </c>
      <c r="G281" t="inlineStr">
        <is>
          <t>HÄRNÖSAND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45617</v>
      </c>
      <c r="E282" s="1" t="n">
        <v>46270</v>
      </c>
      <c r="F282" t="inlineStr">
        <is>
          <t>VÄSTERNORRLANDS LÄN</t>
        </is>
      </c>
      <c r="G282" t="inlineStr">
        <is>
          <t>HÄRNÖSAND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46270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46270</v>
      </c>
      <c r="F284" t="inlineStr">
        <is>
          <t>VÄSTERNORRLANDS LÄN</t>
        </is>
      </c>
      <c r="G284" t="inlineStr">
        <is>
          <t>HÄRNÖSAND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45769</v>
      </c>
      <c r="E285" s="1" t="n">
        <v>46270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45730</v>
      </c>
      <c r="E286" s="1" t="n">
        <v>46270</v>
      </c>
      <c r="F286" t="inlineStr">
        <is>
          <t>VÄSTERNORRLANDS LÄN</t>
        </is>
      </c>
      <c r="G286" t="inlineStr">
        <is>
          <t>HÄRNÖSAND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46270</v>
      </c>
      <c r="F287" t="inlineStr">
        <is>
          <t>VÄSTERNORRLANDS LÄN</t>
        </is>
      </c>
      <c r="G287" t="inlineStr">
        <is>
          <t>HÄRNÖSAND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46270</v>
      </c>
      <c r="F288" t="inlineStr">
        <is>
          <t>VÄSTERNORRLANDS LÄN</t>
        </is>
      </c>
      <c r="G288" t="inlineStr">
        <is>
          <t>HÄRNÖSAND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35387-2024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46270</v>
      </c>
      <c r="F289" t="inlineStr">
        <is>
          <t>VÄSTERNORRLANDS LÄN</t>
        </is>
      </c>
      <c r="G289" t="inlineStr">
        <is>
          <t>HÄRNÖSAND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46270</v>
      </c>
      <c r="F290" t="inlineStr">
        <is>
          <t>VÄSTERNORRLANDS LÄN</t>
        </is>
      </c>
      <c r="G290" t="inlineStr">
        <is>
          <t>HÄRNÖSAND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46270</v>
      </c>
      <c r="F291" t="inlineStr">
        <is>
          <t>VÄSTERNORRLANDS LÄN</t>
        </is>
      </c>
      <c r="G291" t="inlineStr">
        <is>
          <t>HÄRNÖSAND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46270</v>
      </c>
      <c r="F292" t="inlineStr">
        <is>
          <t>VÄSTERNORRLANDS LÄN</t>
        </is>
      </c>
      <c r="G292" t="inlineStr">
        <is>
          <t>HÄRNÖSAND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46270</v>
      </c>
      <c r="F293" t="inlineStr">
        <is>
          <t>VÄSTERNORRLANDS LÄN</t>
        </is>
      </c>
      <c r="G293" t="inlineStr">
        <is>
          <t>HÄRNÖSAND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46054</v>
      </c>
      <c r="E294" s="1" t="n">
        <v>46270</v>
      </c>
      <c r="F294" t="inlineStr">
        <is>
          <t>VÄSTERNORRLANDS LÄN</t>
        </is>
      </c>
      <c r="G294" t="inlineStr">
        <is>
          <t>HÄRNÖSAND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46270</v>
      </c>
      <c r="F295" t="inlineStr">
        <is>
          <t>VÄSTERNORRLANDS LÄN</t>
        </is>
      </c>
      <c r="G295" t="inlineStr">
        <is>
          <t>HÄRNÖSAND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46270</v>
      </c>
      <c r="F296" t="inlineStr">
        <is>
          <t>VÄSTERNORRLANDS LÄN</t>
        </is>
      </c>
      <c r="G296" t="inlineStr">
        <is>
          <t>HÄRNÖSAND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46270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46270</v>
      </c>
      <c r="F298" t="inlineStr">
        <is>
          <t>VÄSTERNORRLANDS LÄN</t>
        </is>
      </c>
      <c r="G298" t="inlineStr">
        <is>
          <t>HÄRNÖSAND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59408-2024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45638</v>
      </c>
      <c r="E299" s="1" t="n">
        <v>46270</v>
      </c>
      <c r="F299" t="inlineStr">
        <is>
          <t>VÄSTERNORRLANDS LÄN</t>
        </is>
      </c>
      <c r="G299" t="inlineStr">
        <is>
          <t>HÄRNÖSAND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46270</v>
      </c>
      <c r="F300" t="inlineStr">
        <is>
          <t>VÄSTERNORRLANDS LÄN</t>
        </is>
      </c>
      <c r="G300" t="inlineStr">
        <is>
          <t>HÄRNÖSAND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46270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44853</v>
      </c>
      <c r="E302" s="1" t="n">
        <v>46270</v>
      </c>
      <c r="F302" t="inlineStr">
        <is>
          <t>VÄSTERNORRLANDS LÄN</t>
        </is>
      </c>
      <c r="G302" t="inlineStr">
        <is>
          <t>HÄRNÖSAND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45147</v>
      </c>
      <c r="E303" s="1" t="n">
        <v>46270</v>
      </c>
      <c r="F303" t="inlineStr">
        <is>
          <t>VÄSTERNORRLANDS LÄN</t>
        </is>
      </c>
      <c r="G303" t="inlineStr">
        <is>
          <t>HÄRNÖSAND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46270</v>
      </c>
      <c r="F304" t="inlineStr">
        <is>
          <t>VÄSTERNORRLANDS LÄN</t>
        </is>
      </c>
      <c r="G304" t="inlineStr">
        <is>
          <t>HÄRNÖSAND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45320</v>
      </c>
      <c r="E305" s="1" t="n">
        <v>46270</v>
      </c>
      <c r="F305" t="inlineStr">
        <is>
          <t>VÄSTERNORRLANDS LÄN</t>
        </is>
      </c>
      <c r="G305" t="inlineStr">
        <is>
          <t>HÄRNÖSAND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46270</v>
      </c>
      <c r="F306" t="inlineStr">
        <is>
          <t>VÄSTERNORRLANDS LÄN</t>
        </is>
      </c>
      <c r="G306" t="inlineStr">
        <is>
          <t>HÄRNÖSAND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46270</v>
      </c>
      <c r="F307" t="inlineStr">
        <is>
          <t>VÄSTERNORRLANDS LÄN</t>
        </is>
      </c>
      <c r="G307" t="inlineStr">
        <is>
          <t>HÄRNÖSAND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46270</v>
      </c>
      <c r="F308" t="inlineStr">
        <is>
          <t>VÄSTERNORRLANDS LÄN</t>
        </is>
      </c>
      <c r="G308" t="inlineStr">
        <is>
          <t>HÄRNÖSAND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45793</v>
      </c>
      <c r="E309" s="1" t="n">
        <v>46270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46270</v>
      </c>
      <c r="F310" t="inlineStr">
        <is>
          <t>VÄSTERNORRLANDS LÄN</t>
        </is>
      </c>
      <c r="G310" t="inlineStr">
        <is>
          <t>HÄRNÖSAND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55773-2025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45972</v>
      </c>
      <c r="E311" s="1" t="n">
        <v>46270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12.2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46270</v>
      </c>
      <c r="F312" t="inlineStr">
        <is>
          <t>VÄSTERNORRLANDS LÄN</t>
        </is>
      </c>
      <c r="G312" t="inlineStr">
        <is>
          <t>HÄRNÖSAND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46270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Kyrkan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46065</v>
      </c>
      <c r="E314" s="1" t="n">
        <v>46270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55772-2025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45972</v>
      </c>
      <c r="E315" s="1" t="n">
        <v>46270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46270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Kyrkan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46270</v>
      </c>
      <c r="F317" t="inlineStr">
        <is>
          <t>VÄSTERNORRLANDS LÄN</t>
        </is>
      </c>
      <c r="G317" t="inlineStr">
        <is>
          <t>HÄRNÖSAND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46270</v>
      </c>
      <c r="F318" t="inlineStr">
        <is>
          <t>VÄSTERNORRLANDS LÄN</t>
        </is>
      </c>
      <c r="G318" t="inlineStr">
        <is>
          <t>HÄRNÖSAND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45072</v>
      </c>
      <c r="E319" s="1" t="n">
        <v>46270</v>
      </c>
      <c r="F319" t="inlineStr">
        <is>
          <t>VÄSTERNORRLANDS LÄN</t>
        </is>
      </c>
      <c r="G319" t="inlineStr">
        <is>
          <t>HÄRNÖSAND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46270</v>
      </c>
      <c r="F320" t="inlineStr">
        <is>
          <t>VÄSTERNORRLANDS LÄN</t>
        </is>
      </c>
      <c r="G320" t="inlineStr">
        <is>
          <t>HÄRNÖSAND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56633-2025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46270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46270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46270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57041-2025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46270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46270</v>
      </c>
      <c r="F325" t="inlineStr">
        <is>
          <t>VÄSTERNORRLANDS LÄN</t>
        </is>
      </c>
      <c r="G325" t="inlineStr">
        <is>
          <t>HÄRNÖSAND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32180-2024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45511</v>
      </c>
      <c r="E326" s="1" t="n">
        <v>46270</v>
      </c>
      <c r="F326" t="inlineStr">
        <is>
          <t>VÄSTERNORRLANDS LÄN</t>
        </is>
      </c>
      <c r="G326" t="inlineStr">
        <is>
          <t>HÄRNÖSAND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57099-2025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46270</v>
      </c>
      <c r="F327" t="inlineStr">
        <is>
          <t>VÄSTERNORRLANDS LÄN</t>
        </is>
      </c>
      <c r="G327" t="inlineStr">
        <is>
          <t>HÄRNÖSAND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46270</v>
      </c>
      <c r="F328" t="inlineStr">
        <is>
          <t>VÄSTERNORRLANDS LÄN</t>
        </is>
      </c>
      <c r="G328" t="inlineStr">
        <is>
          <t>HÄRNÖSAND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57132-2025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45979</v>
      </c>
      <c r="E329" s="1" t="n">
        <v>46270</v>
      </c>
      <c r="F329" t="inlineStr">
        <is>
          <t>VÄSTERNORRLANDS LÄN</t>
        </is>
      </c>
      <c r="G329" t="inlineStr">
        <is>
          <t>HÄRNÖSAND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46270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46270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45979</v>
      </c>
      <c r="E332" s="1" t="n">
        <v>46270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46270</v>
      </c>
      <c r="F333" t="inlineStr">
        <is>
          <t>VÄSTERNORRLANDS LÄN</t>
        </is>
      </c>
      <c r="G333" t="inlineStr">
        <is>
          <t>HÄRNÖSAND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46270</v>
      </c>
      <c r="F334" t="inlineStr">
        <is>
          <t>VÄSTERNORRLANDS LÄN</t>
        </is>
      </c>
      <c r="G334" t="inlineStr">
        <is>
          <t>HÄRNÖSAND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46270</v>
      </c>
      <c r="F335" t="inlineStr">
        <is>
          <t>VÄSTERNORRLANDS LÄN</t>
        </is>
      </c>
      <c r="G335" t="inlineStr">
        <is>
          <t>HÄRNÖSAND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46070</v>
      </c>
      <c r="E336" s="1" t="n">
        <v>46270</v>
      </c>
      <c r="F336" t="inlineStr">
        <is>
          <t>VÄSTERNORRLANDS LÄN</t>
        </is>
      </c>
      <c r="G336" t="inlineStr">
        <is>
          <t>HÄRNÖSAND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45981</v>
      </c>
      <c r="E337" s="1" t="n">
        <v>46270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46071</v>
      </c>
      <c r="E338" s="1" t="n">
        <v>46270</v>
      </c>
      <c r="F338" t="inlineStr">
        <is>
          <t>VÄSTERNORRLANDS LÄN</t>
        </is>
      </c>
      <c r="G338" t="inlineStr">
        <is>
          <t>HÄRNÖSAND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46270</v>
      </c>
      <c r="F339" t="inlineStr">
        <is>
          <t>VÄSTERNORRLANDS LÄN</t>
        </is>
      </c>
      <c r="G339" t="inlineStr">
        <is>
          <t>HÄRNÖSAND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57877-2025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46270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44728</v>
      </c>
      <c r="E341" s="1" t="n">
        <v>46270</v>
      </c>
      <c r="F341" t="inlineStr">
        <is>
          <t>VÄSTERNORRLANDS LÄN</t>
        </is>
      </c>
      <c r="G341" t="inlineStr">
        <is>
          <t>HÄRNÖSAND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46072</v>
      </c>
      <c r="E342" s="1" t="n">
        <v>46270</v>
      </c>
      <c r="F342" t="inlineStr">
        <is>
          <t>VÄSTERNORRLANDS LÄN</t>
        </is>
      </c>
      <c r="G342" t="inlineStr">
        <is>
          <t>HÄRNÖSAND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46270</v>
      </c>
      <c r="F343" t="inlineStr">
        <is>
          <t>VÄSTERNORRLANDS LÄN</t>
        </is>
      </c>
      <c r="G343" t="inlineStr">
        <is>
          <t>HÄRNÖSAND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44971</v>
      </c>
      <c r="E344" s="1" t="n">
        <v>46270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46077</v>
      </c>
      <c r="E345" s="1" t="n">
        <v>46270</v>
      </c>
      <c r="F345" t="inlineStr">
        <is>
          <t>VÄSTERNORRLANDS LÄN</t>
        </is>
      </c>
      <c r="G345" t="inlineStr">
        <is>
          <t>HÄRNÖSAND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46270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45987</v>
      </c>
      <c r="E347" s="1" t="n">
        <v>46270</v>
      </c>
      <c r="F347" t="inlineStr">
        <is>
          <t>VÄSTERNORRLANDS LÄN</t>
        </is>
      </c>
      <c r="G347" t="inlineStr">
        <is>
          <t>HÄRNÖSAND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34161-2022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44791</v>
      </c>
      <c r="E348" s="1" t="n">
        <v>46270</v>
      </c>
      <c r="F348" t="inlineStr">
        <is>
          <t>VÄSTERNORRLANDS LÄN</t>
        </is>
      </c>
      <c r="G348" t="inlineStr">
        <is>
          <t>HÄRNÖSAND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63375-2023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46270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45126</v>
      </c>
      <c r="E350" s="1" t="n">
        <v>46270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11202-2026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46080</v>
      </c>
      <c r="E351" s="1" t="n">
        <v>46270</v>
      </c>
      <c r="F351" t="inlineStr">
        <is>
          <t>VÄSTERNORRLANDS LÄN</t>
        </is>
      </c>
      <c r="G351" t="inlineStr">
        <is>
          <t>HÄRNÖSAND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46270</v>
      </c>
      <c r="F352" t="inlineStr">
        <is>
          <t>VÄSTERNORRLANDS LÄN</t>
        </is>
      </c>
      <c r="G352" t="inlineStr">
        <is>
          <t>HÄRNÖSAND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46270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46270</v>
      </c>
      <c r="F354" t="inlineStr">
        <is>
          <t>VÄSTERNORRLANDS LÄN</t>
        </is>
      </c>
      <c r="G354" t="inlineStr">
        <is>
          <t>HÄRNÖSAND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45735-2023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46270</v>
      </c>
      <c r="F355" t="inlineStr">
        <is>
          <t>VÄSTERNORRLANDS LÄN</t>
        </is>
      </c>
      <c r="G355" t="inlineStr">
        <is>
          <t>HÄRNÖSAND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46270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45376</v>
      </c>
      <c r="E357" s="1" t="n">
        <v>46270</v>
      </c>
      <c r="F357" t="inlineStr">
        <is>
          <t>VÄSTERNORRLANDS LÄN</t>
        </is>
      </c>
      <c r="G357" t="inlineStr">
        <is>
          <t>HÄRNÖSAND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44869</v>
      </c>
      <c r="E358" s="1" t="n">
        <v>46270</v>
      </c>
      <c r="F358" t="inlineStr">
        <is>
          <t>VÄSTERNORRLANDS LÄN</t>
        </is>
      </c>
      <c r="G358" t="inlineStr">
        <is>
          <t>HÄRNÖSAND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13611-2023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45006</v>
      </c>
      <c r="E359" s="1" t="n">
        <v>46270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46270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46270</v>
      </c>
      <c r="F361" t="inlineStr">
        <is>
          <t>VÄSTERNORRLANDS LÄN</t>
        </is>
      </c>
      <c r="G361" t="inlineStr">
        <is>
          <t>HÄRNÖSAND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46270</v>
      </c>
      <c r="F362" t="inlineStr">
        <is>
          <t>VÄSTERNORRLANDS LÄN</t>
        </is>
      </c>
      <c r="G362" t="inlineStr">
        <is>
          <t>HÄRNÖSAND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46270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46270</v>
      </c>
      <c r="F364" t="inlineStr">
        <is>
          <t>VÄSTERNORRLANDS LÄN</t>
        </is>
      </c>
      <c r="G364" t="inlineStr">
        <is>
          <t>HÄRNÖSAND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46270</v>
      </c>
      <c r="F365" t="inlineStr">
        <is>
          <t>VÄSTERNORRLANDS LÄN</t>
        </is>
      </c>
      <c r="G365" t="inlineStr">
        <is>
          <t>HÄRNÖSAND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46270</v>
      </c>
      <c r="F366" t="inlineStr">
        <is>
          <t>VÄSTERNORRLANDS LÄN</t>
        </is>
      </c>
      <c r="G366" t="inlineStr">
        <is>
          <t>HÄRNÖSAND</t>
        </is>
      </c>
      <c r="I366" t="n">
        <v>12.5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16866-2024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45409</v>
      </c>
      <c r="E367" s="1" t="n">
        <v>46270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46270</v>
      </c>
      <c r="F368" t="inlineStr">
        <is>
          <t>VÄSTERNORRLANDS LÄN</t>
        </is>
      </c>
      <c r="G368" t="inlineStr">
        <is>
          <t>HÄRNÖSAND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45409</v>
      </c>
      <c r="E369" s="1" t="n">
        <v>46270</v>
      </c>
      <c r="F369" t="inlineStr">
        <is>
          <t>VÄSTERNORRLANDS LÄN</t>
        </is>
      </c>
      <c r="G369" t="inlineStr">
        <is>
          <t>HÄRNÖSAND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46085</v>
      </c>
      <c r="E370" s="1" t="n">
        <v>46270</v>
      </c>
      <c r="F370" t="inlineStr">
        <is>
          <t>VÄSTERNORRLANDS LÄN</t>
        </is>
      </c>
      <c r="G370" t="inlineStr">
        <is>
          <t>HÄRNÖSAND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46064</v>
      </c>
      <c r="E371" s="1" t="n">
        <v>46270</v>
      </c>
      <c r="F371" t="inlineStr">
        <is>
          <t>VÄSTERNORRLANDS LÄN</t>
        </is>
      </c>
      <c r="G371" t="inlineStr">
        <is>
          <t>HÄRNÖSAND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46270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Övriga statliga verk och myndigheter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46270</v>
      </c>
      <c r="F373" t="inlineStr">
        <is>
          <t>VÄSTERNORRLANDS LÄN</t>
        </is>
      </c>
      <c r="G373" t="inlineStr">
        <is>
          <t>HÄRNÖSAND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46270</v>
      </c>
      <c r="F374" t="inlineStr">
        <is>
          <t>VÄSTERNORRLANDS LÄN</t>
        </is>
      </c>
      <c r="G374" t="inlineStr">
        <is>
          <t>HÄRNÖSAND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46091</v>
      </c>
      <c r="E375" s="1" t="n">
        <v>46270</v>
      </c>
      <c r="F375" t="inlineStr">
        <is>
          <t>VÄSTERNORRLANDS LÄN</t>
        </is>
      </c>
      <c r="G375" t="inlineStr">
        <is>
          <t>HÄRNÖSAND</t>
        </is>
      </c>
      <c r="I375" t="n">
        <v>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46270</v>
      </c>
      <c r="F376" t="inlineStr">
        <is>
          <t>VÄSTERNORRLANDS LÄN</t>
        </is>
      </c>
      <c r="G376" t="inlineStr">
        <is>
          <t>HÄRNÖSAND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12650-2026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46091</v>
      </c>
      <c r="E377" s="1" t="n">
        <v>46270</v>
      </c>
      <c r="F377" t="inlineStr">
        <is>
          <t>VÄSTERNORRLANDS LÄN</t>
        </is>
      </c>
      <c r="G377" t="inlineStr">
        <is>
          <t>HÄRNÖSAND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35785-2023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45147</v>
      </c>
      <c r="E378" s="1" t="n">
        <v>46270</v>
      </c>
      <c r="F378" t="inlineStr">
        <is>
          <t>VÄSTERNORRLANDS LÄN</t>
        </is>
      </c>
      <c r="G378" t="inlineStr">
        <is>
          <t>HÄRNÖSAND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12623-2026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46091</v>
      </c>
      <c r="E379" s="1" t="n">
        <v>46270</v>
      </c>
      <c r="F379" t="inlineStr">
        <is>
          <t>VÄSTERNORRLANDS LÄN</t>
        </is>
      </c>
      <c r="G379" t="inlineStr">
        <is>
          <t>HÄRNÖSAND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45462</v>
      </c>
      <c r="E380" s="1" t="n">
        <v>46270</v>
      </c>
      <c r="F380" t="inlineStr">
        <is>
          <t>VÄSTERNORRLANDS LÄN</t>
        </is>
      </c>
      <c r="G380" t="inlineStr">
        <is>
          <t>HÄRNÖSAND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45161</v>
      </c>
      <c r="E381" s="1" t="n">
        <v>46270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46270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46270</v>
      </c>
      <c r="F383" t="inlineStr">
        <is>
          <t>VÄSTERNORRLANDS LÄN</t>
        </is>
      </c>
      <c r="G383" t="inlineStr">
        <is>
          <t>HÄRNÖSAND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45091</v>
      </c>
      <c r="E384" s="1" t="n">
        <v>46270</v>
      </c>
      <c r="F384" t="inlineStr">
        <is>
          <t>VÄSTERNORRLANDS LÄN</t>
        </is>
      </c>
      <c r="G384" t="inlineStr">
        <is>
          <t>HÄRNÖSAND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13488-2026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46270</v>
      </c>
      <c r="F385" t="inlineStr">
        <is>
          <t>VÄSTERNORRLANDS LÄN</t>
        </is>
      </c>
      <c r="G385" t="inlineStr">
        <is>
          <t>HÄRNÖSAND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44937</v>
      </c>
      <c r="E386" s="1" t="n">
        <v>46270</v>
      </c>
      <c r="F386" t="inlineStr">
        <is>
          <t>VÄSTERNORRLANDS LÄN</t>
        </is>
      </c>
      <c r="G386" t="inlineStr">
        <is>
          <t>HÄRNÖSAND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14936-2026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46270</v>
      </c>
      <c r="F387" t="inlineStr">
        <is>
          <t>VÄSTERNORRLANDS LÄN</t>
        </is>
      </c>
      <c r="G387" t="inlineStr">
        <is>
          <t>HÄRNÖSAND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11045-2025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46270</v>
      </c>
      <c r="F388" t="inlineStr">
        <is>
          <t>VÄSTERNORRLANDS LÄN</t>
        </is>
      </c>
      <c r="G388" t="inlineStr">
        <is>
          <t>HÄRNÖSAND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45733</v>
      </c>
      <c r="E389" s="1" t="n">
        <v>46270</v>
      </c>
      <c r="F389" t="inlineStr">
        <is>
          <t>VÄSTERNORRLANDS LÄN</t>
        </is>
      </c>
      <c r="G389" t="inlineStr">
        <is>
          <t>HÄRNÖSAND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46270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16.2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46270</v>
      </c>
      <c r="F391" t="inlineStr">
        <is>
          <t>VÄSTERNORRLANDS LÄN</t>
        </is>
      </c>
      <c r="G391" t="inlineStr">
        <is>
          <t>HÄRNÖSAND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45293</v>
      </c>
      <c r="E392" s="1" t="n">
        <v>46270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46270</v>
      </c>
      <c r="F393" t="inlineStr">
        <is>
          <t>VÄSTERNORRLANDS LÄN</t>
        </is>
      </c>
      <c r="G393" t="inlineStr">
        <is>
          <t>HÄRNÖSAND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46270</v>
      </c>
      <c r="F394" t="inlineStr">
        <is>
          <t>VÄSTERNORRLANDS LÄN</t>
        </is>
      </c>
      <c r="G394" t="inlineStr">
        <is>
          <t>HÄRNÖSAND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46270</v>
      </c>
      <c r="F395" t="inlineStr">
        <is>
          <t>VÄSTERNORRLANDS LÄN</t>
        </is>
      </c>
      <c r="G395" t="inlineStr">
        <is>
          <t>HÄRNÖSAND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46105</v>
      </c>
      <c r="E396" s="1" t="n">
        <v>46270</v>
      </c>
      <c r="F396" t="inlineStr">
        <is>
          <t>VÄSTERNORRLANDS LÄN</t>
        </is>
      </c>
      <c r="G396" t="inlineStr">
        <is>
          <t>HÄRNÖSAND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14018-2024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45392</v>
      </c>
      <c r="E397" s="1" t="n">
        <v>46270</v>
      </c>
      <c r="F397" t="inlineStr">
        <is>
          <t>VÄSTERNORRLANDS LÄN</t>
        </is>
      </c>
      <c r="G397" t="inlineStr">
        <is>
          <t>HÄRNÖSAND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18885-2023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45044</v>
      </c>
      <c r="E398" s="1" t="n">
        <v>46270</v>
      </c>
      <c r="F398" t="inlineStr">
        <is>
          <t>VÄSTERNORRLANDS LÄN</t>
        </is>
      </c>
      <c r="G398" t="inlineStr">
        <is>
          <t>HÄRNÖSAND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46107</v>
      </c>
      <c r="E399" s="1" t="n">
        <v>46270</v>
      </c>
      <c r="F399" t="inlineStr">
        <is>
          <t>VÄSTERNORRLANDS LÄN</t>
        </is>
      </c>
      <c r="G399" t="inlineStr">
        <is>
          <t>HÄRNÖSAND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44951</v>
      </c>
      <c r="E400" s="1" t="n">
        <v>46270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46270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46270</v>
      </c>
      <c r="F402" t="inlineStr">
        <is>
          <t>VÄSTERNORRLANDS LÄN</t>
        </is>
      </c>
      <c r="G402" t="inlineStr">
        <is>
          <t>HÄRNÖSAND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59073-2022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44897</v>
      </c>
      <c r="E403" s="1" t="n">
        <v>46270</v>
      </c>
      <c r="F403" t="inlineStr">
        <is>
          <t>VÄSTERNORRLANDS LÄN</t>
        </is>
      </c>
      <c r="G403" t="inlineStr">
        <is>
          <t>HÄRNÖSAND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46270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16705-2026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46270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25430-2022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44732</v>
      </c>
      <c r="E406" s="1" t="n">
        <v>46270</v>
      </c>
      <c r="F406" t="inlineStr">
        <is>
          <t>VÄSTERNORRLANDS LÄN</t>
        </is>
      </c>
      <c r="G406" t="inlineStr">
        <is>
          <t>HÄRNÖSAND</t>
        </is>
      </c>
      <c r="I406" t="n">
        <v>18.7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17661-2026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46270</v>
      </c>
      <c r="F407" t="inlineStr">
        <is>
          <t>VÄSTERNORRLANDS LÄN</t>
        </is>
      </c>
      <c r="G407" t="inlineStr">
        <is>
          <t>HÄRNÖSAND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5896-2022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44596</v>
      </c>
      <c r="E408" s="1" t="n">
        <v>46270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Övriga statliga verk och myndigheter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21471-2022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44706</v>
      </c>
      <c r="E409" s="1" t="n">
        <v>46270</v>
      </c>
      <c r="F409" t="inlineStr">
        <is>
          <t>VÄSTERNORRLANDS LÄN</t>
        </is>
      </c>
      <c r="G409" t="inlineStr">
        <is>
          <t>HÄRNÖSAND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32421-2024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46270</v>
      </c>
      <c r="F410" t="inlineStr">
        <is>
          <t>VÄSTERNORRLANDS LÄN</t>
        </is>
      </c>
      <c r="G410" t="inlineStr">
        <is>
          <t>HÄRNÖSAND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46270</v>
      </c>
      <c r="F411" t="inlineStr">
        <is>
          <t>VÄSTERNORRLANDS LÄN</t>
        </is>
      </c>
      <c r="G411" t="inlineStr">
        <is>
          <t>HÄRNÖSAND</t>
        </is>
      </c>
      <c r="I411" t="n">
        <v>8.300000000000001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46270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31.9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46127</v>
      </c>
      <c r="E413" s="1" t="n">
        <v>46270</v>
      </c>
      <c r="F413" t="inlineStr">
        <is>
          <t>VÄSTERNORRLANDS LÄN</t>
        </is>
      </c>
      <c r="G413" t="inlineStr">
        <is>
          <t>HÄRNÖSAND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61337-2024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45646</v>
      </c>
      <c r="E414" s="1" t="n">
        <v>46270</v>
      </c>
      <c r="F414" t="inlineStr">
        <is>
          <t>VÄSTERNORRLANDS LÄN</t>
        </is>
      </c>
      <c r="G414" t="inlineStr">
        <is>
          <t>HÄRNÖSAND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46270</v>
      </c>
      <c r="F415" t="inlineStr">
        <is>
          <t>VÄSTERNORRLANDS LÄN</t>
        </is>
      </c>
      <c r="G415" t="inlineStr">
        <is>
          <t>HÄRNÖSAND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46133</v>
      </c>
      <c r="E416" s="1" t="n">
        <v>46270</v>
      </c>
      <c r="F416" t="inlineStr">
        <is>
          <t>VÄSTERNORRLANDS LÄN</t>
        </is>
      </c>
      <c r="G416" t="inlineStr">
        <is>
          <t>HÄRNÖSAND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46270</v>
      </c>
      <c r="F417" t="inlineStr">
        <is>
          <t>VÄSTERNORRLANDS LÄN</t>
        </is>
      </c>
      <c r="G417" t="inlineStr">
        <is>
          <t>HÄRNÖSAND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46270</v>
      </c>
      <c r="F418" t="inlineStr">
        <is>
          <t>VÄSTERNORRLANDS LÄN</t>
        </is>
      </c>
      <c r="G418" t="inlineStr">
        <is>
          <t>HÄRNÖSAND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54091-2024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45616</v>
      </c>
      <c r="E419" s="1" t="n">
        <v>46270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45320</v>
      </c>
      <c r="E420" s="1" t="n">
        <v>46270</v>
      </c>
      <c r="F420" t="inlineStr">
        <is>
          <t>VÄSTERNORRLANDS LÄN</t>
        </is>
      </c>
      <c r="G420" t="inlineStr">
        <is>
          <t>HÄRNÖSAND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45035</v>
      </c>
      <c r="E421" s="1" t="n">
        <v>46270</v>
      </c>
      <c r="F421" t="inlineStr">
        <is>
          <t>VÄSTERNORRLANDS LÄN</t>
        </is>
      </c>
      <c r="G421" t="inlineStr">
        <is>
          <t>HÄRNÖSAND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46270</v>
      </c>
      <c r="F422" t="inlineStr">
        <is>
          <t>VÄSTERNORRLANDS LÄN</t>
        </is>
      </c>
      <c r="G422" t="inlineStr">
        <is>
          <t>HÄRNÖSAND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47552-2022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44853</v>
      </c>
      <c r="E423" s="1" t="n">
        <v>46270</v>
      </c>
      <c r="F423" t="inlineStr">
        <is>
          <t>VÄSTERNORRLANDS LÄN</t>
        </is>
      </c>
      <c r="G423" t="inlineStr">
        <is>
          <t>HÄRNÖSAND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34619-2023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45138</v>
      </c>
      <c r="E424" s="1" t="n">
        <v>46270</v>
      </c>
      <c r="F424" t="inlineStr">
        <is>
          <t>VÄSTERNORRLANDS LÄN</t>
        </is>
      </c>
      <c r="G424" t="inlineStr">
        <is>
          <t>HÄRNÖSAND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45531</v>
      </c>
      <c r="E425" s="1" t="n">
        <v>46270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46270</v>
      </c>
      <c r="F426" t="inlineStr">
        <is>
          <t>VÄSTERNORRLANDS LÄN</t>
        </is>
      </c>
      <c r="G426" t="inlineStr">
        <is>
          <t>HÄRNÖSAND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45390</v>
      </c>
      <c r="E427" s="1" t="n">
        <v>46270</v>
      </c>
      <c r="F427" t="inlineStr">
        <is>
          <t>VÄSTERNORRLANDS LÄN</t>
        </is>
      </c>
      <c r="G427" t="inlineStr">
        <is>
          <t>HÄRNÖSAND</t>
        </is>
      </c>
      <c r="I427" t="n">
        <v>14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45678</v>
      </c>
      <c r="E428" s="1" t="n">
        <v>46270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45072</v>
      </c>
      <c r="E429" s="1" t="n">
        <v>46270</v>
      </c>
      <c r="F429" t="inlineStr">
        <is>
          <t>VÄSTERNORRLANDS LÄN</t>
        </is>
      </c>
      <c r="G429" t="inlineStr">
        <is>
          <t>HÄRNÖSAND</t>
        </is>
      </c>
      <c r="H429" t="inlineStr">
        <is>
          <t>Kyrkan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16979-2022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44676</v>
      </c>
      <c r="E430" s="1" t="n">
        <v>46270</v>
      </c>
      <c r="F430" t="inlineStr">
        <is>
          <t>VÄSTERNORRLANDS LÄN</t>
        </is>
      </c>
      <c r="G430" t="inlineStr">
        <is>
          <t>HÄRNÖSAND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46270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Kyrkan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19900-2025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46270</v>
      </c>
      <c r="F432" t="inlineStr">
        <is>
          <t>VÄSTERNORRLANDS LÄN</t>
        </is>
      </c>
      <c r="G432" t="inlineStr">
        <is>
          <t>HÄRNÖSAND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45015</v>
      </c>
      <c r="E433" s="1" t="n">
        <v>46270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45749</v>
      </c>
      <c r="E434" s="1" t="n">
        <v>46270</v>
      </c>
      <c r="F434" t="inlineStr">
        <is>
          <t>VÄSTERNORRLANDS LÄN</t>
        </is>
      </c>
      <c r="G434" t="inlineStr">
        <is>
          <t>HÄRNÖSAND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45904</v>
      </c>
      <c r="E435" s="1" t="n">
        <v>46270</v>
      </c>
      <c r="F435" t="inlineStr">
        <is>
          <t>VÄSTERNORRLANDS LÄN</t>
        </is>
      </c>
      <c r="G435" t="inlineStr">
        <is>
          <t>HÄRNÖSAND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46024</v>
      </c>
      <c r="E436" s="1" t="n">
        <v>46270</v>
      </c>
      <c r="F436" t="inlineStr">
        <is>
          <t>VÄSTERNORRLANDS LÄN</t>
        </is>
      </c>
      <c r="G436" t="inlineStr">
        <is>
          <t>HÄRNÖSAND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45313</v>
      </c>
      <c r="E437" s="1" t="n">
        <v>46270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45825</v>
      </c>
      <c r="E438" s="1" t="n">
        <v>46270</v>
      </c>
      <c r="F438" t="inlineStr">
        <is>
          <t>VÄSTERNORRLANDS LÄN</t>
        </is>
      </c>
      <c r="G438" t="inlineStr">
        <is>
          <t>HÄRNÖSAND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45526</v>
      </c>
      <c r="E439" s="1" t="n">
        <v>46270</v>
      </c>
      <c r="F439" t="inlineStr">
        <is>
          <t>VÄSTERNORRLANDS LÄN</t>
        </is>
      </c>
      <c r="G439" t="inlineStr">
        <is>
          <t>HÄRNÖSAND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45622</v>
      </c>
      <c r="E440" s="1" t="n">
        <v>46270</v>
      </c>
      <c r="F440" t="inlineStr">
        <is>
          <t>VÄSTERNORRLANDS LÄN</t>
        </is>
      </c>
      <c r="G440" t="inlineStr">
        <is>
          <t>HÄRNÖSAND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45523</v>
      </c>
      <c r="E441" s="1" t="n">
        <v>46270</v>
      </c>
      <c r="F441" t="inlineStr">
        <is>
          <t>VÄSTERNORRLANDS LÄN</t>
        </is>
      </c>
      <c r="G441" t="inlineStr">
        <is>
          <t>HÄRNÖSAND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38920-2025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45887</v>
      </c>
      <c r="E442" s="1" t="n">
        <v>46270</v>
      </c>
      <c r="F442" t="inlineStr">
        <is>
          <t>VÄSTERNORRLANDS LÄN</t>
        </is>
      </c>
      <c r="G442" t="inlineStr">
        <is>
          <t>HÄRNÖSAND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44971</v>
      </c>
      <c r="E443" s="1" t="n">
        <v>46270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46270</v>
      </c>
      <c r="F444" t="inlineStr">
        <is>
          <t>VÄSTERNORRLANDS LÄN</t>
        </is>
      </c>
      <c r="G444" t="inlineStr">
        <is>
          <t>HÄRNÖSAND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35969-2023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45148</v>
      </c>
      <c r="E445" s="1" t="n">
        <v>46270</v>
      </c>
      <c r="F445" t="inlineStr">
        <is>
          <t>VÄSTERNORRLANDS LÄN</t>
        </is>
      </c>
      <c r="G445" t="inlineStr">
        <is>
          <t>HÄRNÖSAND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46270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45687-2022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44845</v>
      </c>
      <c r="E447" s="1" t="n">
        <v>46270</v>
      </c>
      <c r="F447" t="inlineStr">
        <is>
          <t>VÄSTERNORRLANDS LÄN</t>
        </is>
      </c>
      <c r="G447" t="inlineStr">
        <is>
          <t>HÄRNÖSAND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9658-2026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46270</v>
      </c>
      <c r="F448" t="inlineStr">
        <is>
          <t>VÄSTERNORRLANDS LÄN</t>
        </is>
      </c>
      <c r="G448" t="inlineStr">
        <is>
          <t>HÄRNÖSAND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46142</v>
      </c>
      <c r="E449" s="1" t="n">
        <v>46270</v>
      </c>
      <c r="F449" t="inlineStr">
        <is>
          <t>VÄSTERNORRLANDS LÄN</t>
        </is>
      </c>
      <c r="G449" t="inlineStr">
        <is>
          <t>HÄRNÖSAND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45409</v>
      </c>
      <c r="E450" s="1" t="n">
        <v>46270</v>
      </c>
      <c r="F450" t="inlineStr">
        <is>
          <t>VÄSTERNORRLANDS LÄN</t>
        </is>
      </c>
      <c r="G450" t="inlineStr">
        <is>
          <t>HÄRNÖSAND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44580</v>
      </c>
      <c r="E451" s="1" t="n">
        <v>46270</v>
      </c>
      <c r="F451" t="inlineStr">
        <is>
          <t>VÄSTERNORRLANDS LÄN</t>
        </is>
      </c>
      <c r="G451" t="inlineStr">
        <is>
          <t>HÄRNÖSAND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46270</v>
      </c>
      <c r="F452" t="inlineStr">
        <is>
          <t>VÄSTERNORRLANDS LÄN</t>
        </is>
      </c>
      <c r="G452" t="inlineStr">
        <is>
          <t>HÄRNÖSAND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58588-2022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44894</v>
      </c>
      <c r="E453" s="1" t="n">
        <v>46270</v>
      </c>
      <c r="F453" t="inlineStr">
        <is>
          <t>VÄSTERNORRLANDS LÄN</t>
        </is>
      </c>
      <c r="G453" t="inlineStr">
        <is>
          <t>HÄRNÖSAND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45366</v>
      </c>
      <c r="E454" s="1" t="n">
        <v>46270</v>
      </c>
      <c r="F454" t="inlineStr">
        <is>
          <t>VÄSTERNORRLANDS LÄN</t>
        </is>
      </c>
      <c r="G454" t="inlineStr">
        <is>
          <t>HÄRNÖSAND</t>
        </is>
      </c>
      <c r="I454" t="n">
        <v>8.4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45251</v>
      </c>
      <c r="E455" s="1" t="n">
        <v>46270</v>
      </c>
      <c r="F455" t="inlineStr">
        <is>
          <t>VÄSTERNORRLANDS LÄN</t>
        </is>
      </c>
      <c r="G455" t="inlineStr">
        <is>
          <t>HÄRNÖSAND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61102-2021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44498</v>
      </c>
      <c r="E456" s="1" t="n">
        <v>46270</v>
      </c>
      <c r="F456" t="inlineStr">
        <is>
          <t>VÄSTERNORRLANDS LÄN</t>
        </is>
      </c>
      <c r="G456" t="inlineStr">
        <is>
          <t>HÄRNÖSAND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46270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46150</v>
      </c>
      <c r="E458" s="1" t="n">
        <v>46270</v>
      </c>
      <c r="F458" t="inlineStr">
        <is>
          <t>VÄSTERNORRLANDS LÄN</t>
        </is>
      </c>
      <c r="G458" t="inlineStr">
        <is>
          <t>HÄRNÖSAND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46270</v>
      </c>
      <c r="F459" t="inlineStr">
        <is>
          <t>VÄSTERNORRLANDS LÄN</t>
        </is>
      </c>
      <c r="G459" t="inlineStr">
        <is>
          <t>HÄRNÖSAND</t>
        </is>
      </c>
      <c r="I459" t="n">
        <v>16.7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46270</v>
      </c>
      <c r="F460" t="inlineStr">
        <is>
          <t>VÄSTERNORRLANDS LÄN</t>
        </is>
      </c>
      <c r="G460" t="inlineStr">
        <is>
          <t>HÄRNÖSAND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50338-2022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44865</v>
      </c>
      <c r="E461" s="1" t="n">
        <v>46270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45699</v>
      </c>
      <c r="E462" s="1" t="n">
        <v>46270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46270</v>
      </c>
      <c r="F463" t="inlineStr">
        <is>
          <t>VÄSTERNORRLANDS LÄN</t>
        </is>
      </c>
      <c r="G463" t="inlineStr">
        <is>
          <t>HÄRNÖSAND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47224-2025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46270</v>
      </c>
      <c r="F464" t="inlineStr">
        <is>
          <t>VÄSTERNORRLANDS LÄN</t>
        </is>
      </c>
      <c r="G464" t="inlineStr">
        <is>
          <t>HÄRNÖSAND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45044</v>
      </c>
      <c r="E465" s="1" t="n">
        <v>46270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31408-2024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45502</v>
      </c>
      <c r="E466" s="1" t="n">
        <v>46270</v>
      </c>
      <c r="F466" t="inlineStr">
        <is>
          <t>VÄSTERNORRLANDS LÄN</t>
        </is>
      </c>
      <c r="G466" t="inlineStr">
        <is>
          <t>HÄRNÖSAND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46270</v>
      </c>
      <c r="F467" t="inlineStr">
        <is>
          <t>VÄSTERNORRLANDS LÄN</t>
        </is>
      </c>
      <c r="G467" t="inlineStr">
        <is>
          <t>HÄRNÖSAND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24452-2022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44726</v>
      </c>
      <c r="E468" s="1" t="n">
        <v>46270</v>
      </c>
      <c r="F468" t="inlineStr">
        <is>
          <t>VÄSTERNORRLANDS LÄN</t>
        </is>
      </c>
      <c r="G468" t="inlineStr">
        <is>
          <t>HÄRNÖSAND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46270</v>
      </c>
      <c r="F469" t="inlineStr">
        <is>
          <t>VÄSTERNORRLANDS LÄN</t>
        </is>
      </c>
      <c r="G469" t="inlineStr">
        <is>
          <t>HÄRNÖSAND</t>
        </is>
      </c>
      <c r="I469" t="n">
        <v>9.199999999999999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23176-2026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46270</v>
      </c>
      <c r="F470" t="inlineStr">
        <is>
          <t>VÄSTERNORRLANDS LÄN</t>
        </is>
      </c>
      <c r="G470" t="inlineStr">
        <is>
          <t>HÄRNÖSAND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46270</v>
      </c>
      <c r="F471" t="inlineStr">
        <is>
          <t>VÄSTERNORRLANDS LÄN</t>
        </is>
      </c>
      <c r="G471" t="inlineStr">
        <is>
          <t>HÄRNÖSAND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45786</v>
      </c>
      <c r="E472" s="1" t="n">
        <v>46270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31.8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22852-2025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45790</v>
      </c>
      <c r="E473" s="1" t="n">
        <v>46270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31.8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46270</v>
      </c>
      <c r="F474" t="inlineStr">
        <is>
          <t>VÄSTERNORRLANDS LÄN</t>
        </is>
      </c>
      <c r="G474" t="inlineStr">
        <is>
          <t>HÄRNÖSAND</t>
        </is>
      </c>
      <c r="I474" t="n">
        <v>9.199999999999999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56165-2022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44889</v>
      </c>
      <c r="E475" s="1" t="n">
        <v>46270</v>
      </c>
      <c r="F475" t="inlineStr">
        <is>
          <t>VÄSTERNORRLANDS LÄN</t>
        </is>
      </c>
      <c r="G475" t="inlineStr">
        <is>
          <t>HÄRNÖSAND</t>
        </is>
      </c>
      <c r="H475" t="inlineStr">
        <is>
          <t>SCA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22990-2026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46160</v>
      </c>
      <c r="E476" s="1" t="n">
        <v>46270</v>
      </c>
      <c r="F476" t="inlineStr">
        <is>
          <t>VÄSTERNORRLANDS LÄN</t>
        </is>
      </c>
      <c r="G476" t="inlineStr">
        <is>
          <t>HÄRNÖSAND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27694-2025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45813</v>
      </c>
      <c r="E477" s="1" t="n">
        <v>46270</v>
      </c>
      <c r="F477" t="inlineStr">
        <is>
          <t>VÄSTERNORRLANDS LÄN</t>
        </is>
      </c>
      <c r="G477" t="inlineStr">
        <is>
          <t>HÄRNÖSAND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46270</v>
      </c>
      <c r="F478" t="inlineStr">
        <is>
          <t>VÄSTERNORRLANDS LÄN</t>
        </is>
      </c>
      <c r="G478" t="inlineStr">
        <is>
          <t>HÄRNÖSAND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46270</v>
      </c>
      <c r="F479" t="inlineStr">
        <is>
          <t>VÄSTERNORRLANDS LÄN</t>
        </is>
      </c>
      <c r="G479" t="inlineStr">
        <is>
          <t>HÄRNÖSAND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46270</v>
      </c>
      <c r="F480" t="inlineStr">
        <is>
          <t>VÄSTERNORRLANDS LÄN</t>
        </is>
      </c>
      <c r="G480" t="inlineStr">
        <is>
          <t>HÄRNÖSAND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46270</v>
      </c>
      <c r="F481" t="inlineStr">
        <is>
          <t>VÄSTERNORRLANDS LÄN</t>
        </is>
      </c>
      <c r="G481" t="inlineStr">
        <is>
          <t>HÄRNÖSAND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29813-2022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44755</v>
      </c>
      <c r="E482" s="1" t="n">
        <v>46270</v>
      </c>
      <c r="F482" t="inlineStr">
        <is>
          <t>VÄSTERNORRLANDS LÄN</t>
        </is>
      </c>
      <c r="G482" t="inlineStr">
        <is>
          <t>HÄRNÖSAND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46270</v>
      </c>
      <c r="F483" t="inlineStr">
        <is>
          <t>VÄSTERNORRLANDS LÄN</t>
        </is>
      </c>
      <c r="G483" t="inlineStr">
        <is>
          <t>HÄRNÖSAND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54252-2022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44881</v>
      </c>
      <c r="E484" s="1" t="n">
        <v>46270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45194</v>
      </c>
      <c r="E485" s="1" t="n">
        <v>46270</v>
      </c>
      <c r="F485" t="inlineStr">
        <is>
          <t>VÄSTERNORRLANDS LÄN</t>
        </is>
      </c>
      <c r="G485" t="inlineStr">
        <is>
          <t>HÄRNÖSAND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46270</v>
      </c>
      <c r="F486" t="inlineStr">
        <is>
          <t>VÄSTERNORRLANDS LÄN</t>
        </is>
      </c>
      <c r="G486" t="inlineStr">
        <is>
          <t>HÄRNÖSAND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23231-2026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46270</v>
      </c>
      <c r="F487" t="inlineStr">
        <is>
          <t>VÄSTERNORRLANDS LÄN</t>
        </is>
      </c>
      <c r="G487" t="inlineStr">
        <is>
          <t>HÄRNÖSAND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31165-2025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45832</v>
      </c>
      <c r="E488" s="1" t="n">
        <v>46270</v>
      </c>
      <c r="F488" t="inlineStr">
        <is>
          <t>VÄSTERNORRLANDS LÄN</t>
        </is>
      </c>
      <c r="G488" t="inlineStr">
        <is>
          <t>HÄRNÖSAND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31546-2024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45505</v>
      </c>
      <c r="E489" s="1" t="n">
        <v>46270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44847</v>
      </c>
      <c r="E490" s="1" t="n">
        <v>46270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Kyrkan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46270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Kyrkan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46270</v>
      </c>
      <c r="F492" t="inlineStr">
        <is>
          <t>VÄSTERNORRLANDS LÄN</t>
        </is>
      </c>
      <c r="G492" t="inlineStr">
        <is>
          <t>HÄRNÖSAND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46270</v>
      </c>
      <c r="F493" t="inlineStr">
        <is>
          <t>VÄSTERNORRLANDS LÄN</t>
        </is>
      </c>
      <c r="G493" t="inlineStr">
        <is>
          <t>HÄRNÖSAND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45723</v>
      </c>
      <c r="E494" s="1" t="n">
        <v>46270</v>
      </c>
      <c r="F494" t="inlineStr">
        <is>
          <t>VÄSTERNORRLANDS LÄN</t>
        </is>
      </c>
      <c r="G494" t="inlineStr">
        <is>
          <t>HÄRNÖSAND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45482</v>
      </c>
      <c r="E495" s="1" t="n">
        <v>46270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45638</v>
      </c>
      <c r="E496" s="1" t="n">
        <v>46270</v>
      </c>
      <c r="F496" t="inlineStr">
        <is>
          <t>VÄSTERNORRLANDS LÄN</t>
        </is>
      </c>
      <c r="G496" t="inlineStr">
        <is>
          <t>HÄRNÖSAND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46270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45328</v>
      </c>
      <c r="E498" s="1" t="n">
        <v>46270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21585-2026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46270</v>
      </c>
      <c r="F499" t="inlineStr">
        <is>
          <t>VÄSTERNORRLANDS LÄN</t>
        </is>
      </c>
      <c r="G499" t="inlineStr">
        <is>
          <t>HÄRNÖSAND</t>
        </is>
      </c>
      <c r="I499" t="n">
        <v>13.8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13604-2024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46270</v>
      </c>
      <c r="F500" t="inlineStr">
        <is>
          <t>VÄSTERNORRLANDS LÄN</t>
        </is>
      </c>
      <c r="G500" t="inlineStr">
        <is>
          <t>HÄRNÖSAND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46270</v>
      </c>
      <c r="F501" t="inlineStr">
        <is>
          <t>VÄSTERNORRLANDS LÄN</t>
        </is>
      </c>
      <c r="G501" t="inlineStr">
        <is>
          <t>HÄRNÖSAND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58467-2025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46270</v>
      </c>
      <c r="F502" t="inlineStr">
        <is>
          <t>VÄSTERNORRLANDS LÄN</t>
        </is>
      </c>
      <c r="G502" t="inlineStr">
        <is>
          <t>HÄRNÖSAND</t>
        </is>
      </c>
      <c r="I502" t="n">
        <v>12.3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60970-2021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46270</v>
      </c>
      <c r="F503" t="inlineStr">
        <is>
          <t>VÄSTERNORRLANDS LÄN</t>
        </is>
      </c>
      <c r="G503" t="inlineStr">
        <is>
          <t>HÄRNÖSAND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52987-2022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44875</v>
      </c>
      <c r="E504" s="1" t="n">
        <v>46270</v>
      </c>
      <c r="F504" t="inlineStr">
        <is>
          <t>VÄSTERNORRLANDS LÄN</t>
        </is>
      </c>
      <c r="G504" t="inlineStr">
        <is>
          <t>HÄRNÖSAND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47702-2021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44448</v>
      </c>
      <c r="E505" s="1" t="n">
        <v>46270</v>
      </c>
      <c r="F505" t="inlineStr">
        <is>
          <t>VÄSTERNORRLANDS LÄN</t>
        </is>
      </c>
      <c r="G505" t="inlineStr">
        <is>
          <t>HÄRNÖSAND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69269-2021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44531</v>
      </c>
      <c r="E506" s="1" t="n">
        <v>46270</v>
      </c>
      <c r="F506" t="inlineStr">
        <is>
          <t>VÄSTERNORRLANDS LÄN</t>
        </is>
      </c>
      <c r="G506" t="inlineStr">
        <is>
          <t>HÄRNÖSAND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45729</v>
      </c>
      <c r="E507" s="1" t="n">
        <v>46270</v>
      </c>
      <c r="F507" t="inlineStr">
        <is>
          <t>VÄSTERNORRLANDS LÄN</t>
        </is>
      </c>
      <c r="G507" t="inlineStr">
        <is>
          <t>HÄRNÖSAND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38146-2024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45545</v>
      </c>
      <c r="E508" s="1" t="n">
        <v>46270</v>
      </c>
      <c r="F508" t="inlineStr">
        <is>
          <t>VÄSTERNORRLANDS LÄN</t>
        </is>
      </c>
      <c r="G508" t="inlineStr">
        <is>
          <t>HÄRNÖSAND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46270</v>
      </c>
      <c r="F509" t="inlineStr">
        <is>
          <t>VÄSTERNORRLANDS LÄN</t>
        </is>
      </c>
      <c r="G509" t="inlineStr">
        <is>
          <t>HÄRNÖSAND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46270</v>
      </c>
      <c r="F510" t="inlineStr">
        <is>
          <t>VÄSTERNORRLANDS LÄN</t>
        </is>
      </c>
      <c r="G510" t="inlineStr">
        <is>
          <t>HÄRNÖSAND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49346-2024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45595</v>
      </c>
      <c r="E511" s="1" t="n">
        <v>46270</v>
      </c>
      <c r="F511" t="inlineStr">
        <is>
          <t>VÄSTERNORRLANDS LÄN</t>
        </is>
      </c>
      <c r="G511" t="inlineStr">
        <is>
          <t>HÄRNÖSAND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49364-2024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45595</v>
      </c>
      <c r="E512" s="1" t="n">
        <v>46270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46270</v>
      </c>
      <c r="F513" t="inlineStr">
        <is>
          <t>VÄSTERNORRLANDS LÄN</t>
        </is>
      </c>
      <c r="G513" t="inlineStr">
        <is>
          <t>HÄRNÖSAND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64377-2023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45280</v>
      </c>
      <c r="E514" s="1" t="n">
        <v>46270</v>
      </c>
      <c r="F514" t="inlineStr">
        <is>
          <t>VÄSTERNORRLANDS LÄN</t>
        </is>
      </c>
      <c r="G514" t="inlineStr">
        <is>
          <t>HÄRNÖSAND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19827-2022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44694</v>
      </c>
      <c r="E515" s="1" t="n">
        <v>46270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43266-2025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45910</v>
      </c>
      <c r="E516" s="1" t="n">
        <v>46270</v>
      </c>
      <c r="F516" t="inlineStr">
        <is>
          <t>VÄSTERNORRLANDS LÄN</t>
        </is>
      </c>
      <c r="G516" t="inlineStr">
        <is>
          <t>HÄRNÖSAND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13417-2026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46270</v>
      </c>
      <c r="F517" t="inlineStr">
        <is>
          <t>VÄSTERNORRLANDS LÄN</t>
        </is>
      </c>
      <c r="G517" t="inlineStr">
        <is>
          <t>HÄRNÖSAND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46165</v>
      </c>
      <c r="E518" s="1" t="n">
        <v>46270</v>
      </c>
      <c r="F518" t="inlineStr">
        <is>
          <t>VÄSTERNORRLANDS LÄN</t>
        </is>
      </c>
      <c r="G518" t="inlineStr">
        <is>
          <t>HÄRNÖSAND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27912-2022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44743</v>
      </c>
      <c r="E519" s="1" t="n">
        <v>46270</v>
      </c>
      <c r="F519" t="inlineStr">
        <is>
          <t>VÄSTERNORRLANDS LÄN</t>
        </is>
      </c>
      <c r="G519" t="inlineStr">
        <is>
          <t>HÄRNÖSAND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25251-2026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46175</v>
      </c>
      <c r="E520" s="1" t="n">
        <v>46270</v>
      </c>
      <c r="F520" t="inlineStr">
        <is>
          <t>VÄSTERNORRLANDS LÄN</t>
        </is>
      </c>
      <c r="G520" t="inlineStr">
        <is>
          <t>HÄRNÖSAND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44806</v>
      </c>
      <c r="E521" s="1" t="n">
        <v>46270</v>
      </c>
      <c r="F521" t="inlineStr">
        <is>
          <t>VÄSTERNORRLANDS LÄN</t>
        </is>
      </c>
      <c r="G521" t="inlineStr">
        <is>
          <t>HÄRNÖSAND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37172-2022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46270</v>
      </c>
      <c r="F522" t="inlineStr">
        <is>
          <t>VÄSTERNORRLANDS LÄN</t>
        </is>
      </c>
      <c r="G522" t="inlineStr">
        <is>
          <t>HÄRNÖSAND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45714</v>
      </c>
      <c r="E523" s="1" t="n">
        <v>46270</v>
      </c>
      <c r="F523" t="inlineStr">
        <is>
          <t>VÄSTERNORRLANDS LÄN</t>
        </is>
      </c>
      <c r="G523" t="inlineStr">
        <is>
          <t>HÄRNÖSAND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46270</v>
      </c>
      <c r="F524" t="inlineStr">
        <is>
          <t>VÄSTERNORRLANDS LÄN</t>
        </is>
      </c>
      <c r="G524" t="inlineStr">
        <is>
          <t>HÄRNÖSAND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55058-2023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45229</v>
      </c>
      <c r="E525" s="1" t="n">
        <v>46270</v>
      </c>
      <c r="F525" t="inlineStr">
        <is>
          <t>VÄSTERNORRLANDS LÄN</t>
        </is>
      </c>
      <c r="G525" t="inlineStr">
        <is>
          <t>HÄRNÖSAND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46270</v>
      </c>
      <c r="F526" t="inlineStr">
        <is>
          <t>VÄSTERNORRLANDS LÄN</t>
        </is>
      </c>
      <c r="G526" t="inlineStr">
        <is>
          <t>HÄRNÖSAND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46270</v>
      </c>
      <c r="F527" t="inlineStr">
        <is>
          <t>VÄSTERNORRLANDS LÄN</t>
        </is>
      </c>
      <c r="G527" t="inlineStr">
        <is>
          <t>HÄRNÖSAND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46177</v>
      </c>
      <c r="E528" s="1" t="n">
        <v>46270</v>
      </c>
      <c r="F528" t="inlineStr">
        <is>
          <t>VÄSTERNORRLANDS LÄN</t>
        </is>
      </c>
      <c r="G528" t="inlineStr">
        <is>
          <t>HÄRNÖSAND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46270</v>
      </c>
      <c r="F529" t="inlineStr">
        <is>
          <t>VÄSTERNORRLANDS LÄN</t>
        </is>
      </c>
      <c r="G529" t="inlineStr">
        <is>
          <t>HÄRNÖSAND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46177</v>
      </c>
      <c r="E530" s="1" t="n">
        <v>46270</v>
      </c>
      <c r="F530" t="inlineStr">
        <is>
          <t>VÄSTERNORRLANDS LÄN</t>
        </is>
      </c>
      <c r="G530" t="inlineStr">
        <is>
          <t>HÄRNÖSAND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46177</v>
      </c>
      <c r="E531" s="1" t="n">
        <v>46270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10.2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46270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46178</v>
      </c>
      <c r="E533" s="1" t="n">
        <v>46270</v>
      </c>
      <c r="F533" t="inlineStr">
        <is>
          <t>VÄSTERNORRLANDS LÄN</t>
        </is>
      </c>
      <c r="G533" t="inlineStr">
        <is>
          <t>HÄRNÖSAND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46270</v>
      </c>
      <c r="F534" t="inlineStr">
        <is>
          <t>VÄSTERNORRLANDS LÄN</t>
        </is>
      </c>
      <c r="G534" t="inlineStr">
        <is>
          <t>HÄRNÖSAND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46270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25974-2026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46270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46270</v>
      </c>
      <c r="F537" t="inlineStr">
        <is>
          <t>VÄSTERNORRLANDS LÄN</t>
        </is>
      </c>
      <c r="G537" t="inlineStr">
        <is>
          <t>HÄRNÖSAND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58869-2023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45250</v>
      </c>
      <c r="E538" s="1" t="n">
        <v>46270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45580</v>
      </c>
      <c r="E539" s="1" t="n">
        <v>46270</v>
      </c>
      <c r="F539" t="inlineStr">
        <is>
          <t>VÄSTERNORRLANDS LÄN</t>
        </is>
      </c>
      <c r="G539" t="inlineStr">
        <is>
          <t>HÄRNÖSAND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46181</v>
      </c>
      <c r="E540" s="1" t="n">
        <v>46270</v>
      </c>
      <c r="F540" t="inlineStr">
        <is>
          <t>VÄSTERNORRLANDS LÄN</t>
        </is>
      </c>
      <c r="G540" t="inlineStr">
        <is>
          <t>HÄRNÖSAND</t>
        </is>
      </c>
      <c r="I540" t="n">
        <v>8.6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46184</v>
      </c>
      <c r="E541" s="1" t="n">
        <v>46270</v>
      </c>
      <c r="F541" t="inlineStr">
        <is>
          <t>VÄSTERNORRLANDS LÄN</t>
        </is>
      </c>
      <c r="G541" t="inlineStr">
        <is>
          <t>HÄRNÖSAND</t>
        </is>
      </c>
      <c r="I541" t="n">
        <v>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64749-2023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45281</v>
      </c>
      <c r="E542" s="1" t="n">
        <v>46270</v>
      </c>
      <c r="F542" t="inlineStr">
        <is>
          <t>VÄSTERNORRLANDS LÄN</t>
        </is>
      </c>
      <c r="G542" t="inlineStr">
        <is>
          <t>HÄRNÖSAND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6258-2023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44957</v>
      </c>
      <c r="E543" s="1" t="n">
        <v>46270</v>
      </c>
      <c r="F543" t="inlineStr">
        <is>
          <t>VÄSTERNORRLANDS LÄN</t>
        </is>
      </c>
      <c r="G543" t="inlineStr">
        <is>
          <t>HÄRNÖSAND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46270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46270</v>
      </c>
      <c r="F545" t="inlineStr">
        <is>
          <t>VÄSTERNORRLANDS LÄN</t>
        </is>
      </c>
      <c r="G545" t="inlineStr">
        <is>
          <t>HÄRNÖSAND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27977-2024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45476</v>
      </c>
      <c r="E546" s="1" t="n">
        <v>46270</v>
      </c>
      <c r="F546" t="inlineStr">
        <is>
          <t>VÄSTERNORRLANDS LÄN</t>
        </is>
      </c>
      <c r="G546" t="inlineStr">
        <is>
          <t>HÄRNÖSAND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45476</v>
      </c>
      <c r="E547" s="1" t="n">
        <v>46270</v>
      </c>
      <c r="F547" t="inlineStr">
        <is>
          <t>VÄSTERNORRLANDS LÄN</t>
        </is>
      </c>
      <c r="G547" t="inlineStr">
        <is>
          <t>HÄRNÖSAND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45800</v>
      </c>
      <c r="E548" s="1" t="n">
        <v>46270</v>
      </c>
      <c r="F548" t="inlineStr">
        <is>
          <t>VÄSTERNORRLANDS LÄN</t>
        </is>
      </c>
      <c r="G548" t="inlineStr">
        <is>
          <t>HÄRNÖSAND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46270</v>
      </c>
      <c r="F549" t="inlineStr">
        <is>
          <t>VÄSTERNORRLANDS LÄN</t>
        </is>
      </c>
      <c r="G549" t="inlineStr">
        <is>
          <t>HÄRNÖSAND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45166</v>
      </c>
      <c r="E550" s="1" t="n">
        <v>46270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48047-2022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44855</v>
      </c>
      <c r="E551" s="1" t="n">
        <v>46270</v>
      </c>
      <c r="F551" t="inlineStr">
        <is>
          <t>VÄSTERNORRLANDS LÄN</t>
        </is>
      </c>
      <c r="G551" t="inlineStr">
        <is>
          <t>HÄRNÖSAND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56395-2022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44890</v>
      </c>
      <c r="E552" s="1" t="n">
        <v>46270</v>
      </c>
      <c r="F552" t="inlineStr">
        <is>
          <t>VÄSTERNORRLANDS LÄN</t>
        </is>
      </c>
      <c r="G552" t="inlineStr">
        <is>
          <t>HÄRNÖSAND</t>
        </is>
      </c>
      <c r="H552" t="inlineStr">
        <is>
          <t>Kyrkan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46270</v>
      </c>
      <c r="F553" t="inlineStr">
        <is>
          <t>VÄSTERNORRLANDS LÄN</t>
        </is>
      </c>
      <c r="G553" t="inlineStr">
        <is>
          <t>HÄRNÖSAND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46270</v>
      </c>
      <c r="F554" t="inlineStr">
        <is>
          <t>VÄSTERNORRLANDS LÄN</t>
        </is>
      </c>
      <c r="G554" t="inlineStr">
        <is>
          <t>HÄRNÖSAND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46232</v>
      </c>
      <c r="E555" s="1" t="n">
        <v>46270</v>
      </c>
      <c r="F555" t="inlineStr">
        <is>
          <t>VÄSTERNORRLANDS LÄN</t>
        </is>
      </c>
      <c r="G555" t="inlineStr">
        <is>
          <t>HÄRNÖSAND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46270</v>
      </c>
      <c r="F556" t="inlineStr">
        <is>
          <t>VÄSTERNORRLANDS LÄN</t>
        </is>
      </c>
      <c r="G556" t="inlineStr">
        <is>
          <t>HÄRNÖSAND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27421-2026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46189</v>
      </c>
      <c r="E557" s="1" t="n">
        <v>46270</v>
      </c>
      <c r="F557" t="inlineStr">
        <is>
          <t>VÄSTERNORRLANDS LÄN</t>
        </is>
      </c>
      <c r="G557" t="inlineStr">
        <is>
          <t>HÄRNÖSAND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46270</v>
      </c>
      <c r="F558" t="inlineStr">
        <is>
          <t>VÄSTERNORRLANDS LÄN</t>
        </is>
      </c>
      <c r="G558" t="inlineStr">
        <is>
          <t>HÄRNÖSAND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27460-2026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46189</v>
      </c>
      <c r="E559" s="1" t="n">
        <v>46270</v>
      </c>
      <c r="F559" t="inlineStr">
        <is>
          <t>VÄSTERNORRLANDS LÄN</t>
        </is>
      </c>
      <c r="G559" t="inlineStr">
        <is>
          <t>HÄRNÖSAND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46270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32293-2026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46237</v>
      </c>
      <c r="E561" s="1" t="n">
        <v>46270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44945</v>
      </c>
      <c r="E562" s="1" t="n">
        <v>46270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46270</v>
      </c>
      <c r="F563" t="inlineStr">
        <is>
          <t>VÄSTERNORRLANDS LÄN</t>
        </is>
      </c>
      <c r="G563" t="inlineStr">
        <is>
          <t>HÄRNÖSAND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46270</v>
      </c>
      <c r="F564" t="inlineStr">
        <is>
          <t>VÄSTERNORRLANDS LÄN</t>
        </is>
      </c>
      <c r="G564" t="inlineStr">
        <is>
          <t>HÄRNÖSAND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46239</v>
      </c>
      <c r="E565" s="1" t="n">
        <v>46270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46270</v>
      </c>
      <c r="F566" t="inlineStr">
        <is>
          <t>VÄSTERNORRLANDS LÄN</t>
        </is>
      </c>
      <c r="G566" t="inlineStr">
        <is>
          <t>HÄRNÖSAND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46195</v>
      </c>
      <c r="E567" s="1" t="n">
        <v>46270</v>
      </c>
      <c r="F567" t="inlineStr">
        <is>
          <t>VÄSTERNORRLANDS LÄN</t>
        </is>
      </c>
      <c r="G567" t="inlineStr">
        <is>
          <t>HÄRNÖSAND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46270</v>
      </c>
      <c r="F568" t="inlineStr">
        <is>
          <t>VÄSTERNORRLANDS LÄN</t>
        </is>
      </c>
      <c r="G568" t="inlineStr">
        <is>
          <t>HÄRNÖSAND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44903</v>
      </c>
      <c r="E569" s="1" t="n">
        <v>46270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46270</v>
      </c>
      <c r="F570" t="inlineStr">
        <is>
          <t>VÄSTERNORRLANDS LÄN</t>
        </is>
      </c>
      <c r="G570" t="inlineStr">
        <is>
          <t>HÄRNÖSAND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45251</v>
      </c>
      <c r="E571" s="1" t="n">
        <v>46270</v>
      </c>
      <c r="F571" t="inlineStr">
        <is>
          <t>VÄSTERNORRLANDS LÄN</t>
        </is>
      </c>
      <c r="G571" t="inlineStr">
        <is>
          <t>HÄRNÖSAND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45512</v>
      </c>
      <c r="E572" s="1" t="n">
        <v>46270</v>
      </c>
      <c r="F572" t="inlineStr">
        <is>
          <t>VÄSTERNORRLANDS LÄN</t>
        </is>
      </c>
      <c r="G572" t="inlineStr">
        <is>
          <t>HÄRNÖSAND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46270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44497</v>
      </c>
      <c r="E574" s="1" t="n">
        <v>46270</v>
      </c>
      <c r="F574" t="inlineStr">
        <is>
          <t>VÄSTERNORRLANDS LÄN</t>
        </is>
      </c>
      <c r="G574" t="inlineStr">
        <is>
          <t>HÄRNÖSAND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62333-2021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44502</v>
      </c>
      <c r="E575" s="1" t="n">
        <v>46270</v>
      </c>
      <c r="F575" t="inlineStr">
        <is>
          <t>VÄSTERNORRLANDS LÄN</t>
        </is>
      </c>
      <c r="G575" t="inlineStr">
        <is>
          <t>HÄRNÖSAND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4092-2024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46270</v>
      </c>
      <c r="F576" t="inlineStr">
        <is>
          <t>VÄSTERNORRLANDS LÄN</t>
        </is>
      </c>
      <c r="G576" t="inlineStr">
        <is>
          <t>HÄRNÖSAND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59715-2024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45639</v>
      </c>
      <c r="E577" s="1" t="n">
        <v>46270</v>
      </c>
      <c r="F577" t="inlineStr">
        <is>
          <t>VÄSTERNORRLANDS LÄN</t>
        </is>
      </c>
      <c r="G577" t="inlineStr">
        <is>
          <t>HÄRNÖSAND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8220-2022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44609</v>
      </c>
      <c r="E578" s="1" t="n">
        <v>46270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Övriga statliga verk och myndigheter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46270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Kyrkan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44952</v>
      </c>
      <c r="E580" s="1" t="n">
        <v>46270</v>
      </c>
      <c r="F580" t="inlineStr">
        <is>
          <t>VÄSTERNORRLANDS LÄN</t>
        </is>
      </c>
      <c r="G580" t="inlineStr">
        <is>
          <t>HÄRNÖSAND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46133</v>
      </c>
      <c r="E581" s="1" t="n">
        <v>46270</v>
      </c>
      <c r="F581" t="inlineStr">
        <is>
          <t>VÄSTERNORRLANDS LÄN</t>
        </is>
      </c>
      <c r="G581" t="inlineStr">
        <is>
          <t>HÄRNÖSAND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46270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28319-2022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44747</v>
      </c>
      <c r="E583" s="1" t="n">
        <v>46270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46270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46270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36496-2023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45152</v>
      </c>
      <c r="E586" s="1" t="n">
        <v>46270</v>
      </c>
      <c r="F586" t="inlineStr">
        <is>
          <t>VÄSTERNORRLANDS LÄN</t>
        </is>
      </c>
      <c r="G586" t="inlineStr">
        <is>
          <t>HÄRNÖSAND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46270</v>
      </c>
      <c r="F587" t="inlineStr">
        <is>
          <t>VÄSTERNORRLANDS LÄN</t>
        </is>
      </c>
      <c r="G587" t="inlineStr">
        <is>
          <t>HÄRNÖSAND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46270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28368-2023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45099</v>
      </c>
      <c r="E589" s="1" t="n">
        <v>46270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46270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46205</v>
      </c>
      <c r="E591" s="1" t="n">
        <v>46270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29877-2026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46205</v>
      </c>
      <c r="E592" s="1" t="n">
        <v>46270</v>
      </c>
      <c r="F592" t="inlineStr">
        <is>
          <t>VÄSTERNORRLANDS LÄN</t>
        </is>
      </c>
      <c r="G592" t="inlineStr">
        <is>
          <t>HÄRNÖSAND</t>
        </is>
      </c>
      <c r="I592" t="n">
        <v>14.6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46270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57154-2024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45629</v>
      </c>
      <c r="E594" s="1" t="n">
        <v>46270</v>
      </c>
      <c r="F594" t="inlineStr">
        <is>
          <t>VÄSTERNORRLANDS LÄN</t>
        </is>
      </c>
      <c r="G594" t="inlineStr">
        <is>
          <t>HÄRNÖSAND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30216-2026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46270</v>
      </c>
      <c r="F595" t="inlineStr">
        <is>
          <t>VÄSTERNORRLANDS LÄN</t>
        </is>
      </c>
      <c r="G595" t="inlineStr">
        <is>
          <t>HÄRNÖSAND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12533-2023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45000</v>
      </c>
      <c r="E596" s="1" t="n">
        <v>46270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12543-2023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45000</v>
      </c>
      <c r="E597" s="1" t="n">
        <v>46270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46270</v>
      </c>
      <c r="F598" t="inlineStr">
        <is>
          <t>VÄSTERNORRLANDS LÄN</t>
        </is>
      </c>
      <c r="G598" t="inlineStr">
        <is>
          <t>HÄRNÖSAND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39954-2022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44819</v>
      </c>
      <c r="E599" s="1" t="n">
        <v>46270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30017-2026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46270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25746-2025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45800</v>
      </c>
      <c r="E601" s="1" t="n">
        <v>46270</v>
      </c>
      <c r="F601" t="inlineStr">
        <is>
          <t>VÄSTERNORRLANDS LÄN</t>
        </is>
      </c>
      <c r="G601" t="inlineStr">
        <is>
          <t>HÄRNÖSAND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30201-2026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46206</v>
      </c>
      <c r="E602" s="1" t="n">
        <v>46270</v>
      </c>
      <c r="F602" t="inlineStr">
        <is>
          <t>VÄSTERNORRLANDS LÄN</t>
        </is>
      </c>
      <c r="G602" t="inlineStr">
        <is>
          <t>HÄRNÖSAND</t>
        </is>
      </c>
      <c r="I602" t="n">
        <v>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18348-2025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45762</v>
      </c>
      <c r="E603" s="1" t="n">
        <v>46270</v>
      </c>
      <c r="F603" t="inlineStr">
        <is>
          <t>VÄSTERNORRLANDS LÄN</t>
        </is>
      </c>
      <c r="G603" t="inlineStr">
        <is>
          <t>HÄRNÖSAND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46206</v>
      </c>
      <c r="E604" s="1" t="n">
        <v>46270</v>
      </c>
      <c r="F604" t="inlineStr">
        <is>
          <t>VÄSTERNORRLANDS LÄN</t>
        </is>
      </c>
      <c r="G604" t="inlineStr">
        <is>
          <t>HÄRNÖSAND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33659-2026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46248</v>
      </c>
      <c r="E605" s="1" t="n">
        <v>46270</v>
      </c>
      <c r="F605" t="inlineStr">
        <is>
          <t>VÄSTERNORRLANDS LÄN</t>
        </is>
      </c>
      <c r="G605" t="inlineStr">
        <is>
          <t>HÄRNÖSAND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34028-2026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46252</v>
      </c>
      <c r="E606" s="1" t="n">
        <v>46270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45163</v>
      </c>
      <c r="E607" s="1" t="n">
        <v>46270</v>
      </c>
      <c r="F607" t="inlineStr">
        <is>
          <t>VÄSTERNORRLANDS LÄN</t>
        </is>
      </c>
      <c r="G607" t="inlineStr">
        <is>
          <t>HÄRNÖSAND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30413-2026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46209</v>
      </c>
      <c r="E608" s="1" t="n">
        <v>46270</v>
      </c>
      <c r="F608" t="inlineStr">
        <is>
          <t>VÄSTERNORRLANDS LÄN</t>
        </is>
      </c>
      <c r="G608" t="inlineStr">
        <is>
          <t>HÄRNÖSAND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45107</v>
      </c>
      <c r="E609" s="1" t="n">
        <v>46270</v>
      </c>
      <c r="F609" t="inlineStr">
        <is>
          <t>VÄSTERNORRLANDS LÄN</t>
        </is>
      </c>
      <c r="G609" t="inlineStr">
        <is>
          <t>HÄRNÖSAND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45685</v>
      </c>
      <c r="E610" s="1" t="n">
        <v>46270</v>
      </c>
      <c r="F610" t="inlineStr">
        <is>
          <t>VÄSTERNORRLANDS LÄN</t>
        </is>
      </c>
      <c r="G610" t="inlineStr">
        <is>
          <t>HÄRNÖSAND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46211</v>
      </c>
      <c r="E611" s="1" t="n">
        <v>46270</v>
      </c>
      <c r="F611" t="inlineStr">
        <is>
          <t>VÄSTERNORRLANDS LÄN</t>
        </is>
      </c>
      <c r="G611" t="inlineStr">
        <is>
          <t>HÄRNÖSAND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46270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20821-2025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46270</v>
      </c>
      <c r="F613" t="inlineStr">
        <is>
          <t>VÄSTERNORRLANDS LÄN</t>
        </is>
      </c>
      <c r="G613" t="inlineStr">
        <is>
          <t>HÄRNÖSAND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45782</v>
      </c>
      <c r="E614" s="1" t="n">
        <v>46270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45782</v>
      </c>
      <c r="E615" s="1" t="n">
        <v>46270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12.3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30711-2026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46270</v>
      </c>
      <c r="F616" t="inlineStr">
        <is>
          <t>VÄSTERNORRLANDS LÄN</t>
        </is>
      </c>
      <c r="G616" t="inlineStr">
        <is>
          <t>HÄRNÖSAND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42343-2024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45562</v>
      </c>
      <c r="E617" s="1" t="n">
        <v>46270</v>
      </c>
      <c r="F617" t="inlineStr">
        <is>
          <t>VÄSTERNORRLANDS LÄN</t>
        </is>
      </c>
      <c r="G617" t="inlineStr">
        <is>
          <t>HÄRNÖSAND</t>
        </is>
      </c>
      <c r="I617" t="n">
        <v>15.6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30907-2026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46213</v>
      </c>
      <c r="E618" s="1" t="n">
        <v>46270</v>
      </c>
      <c r="F618" t="inlineStr">
        <is>
          <t>VÄSTERNORRLANDS LÄN</t>
        </is>
      </c>
      <c r="G618" t="inlineStr">
        <is>
          <t>HÄRNÖSAND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45502-2024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45578</v>
      </c>
      <c r="E619" s="1" t="n">
        <v>46270</v>
      </c>
      <c r="F619" t="inlineStr">
        <is>
          <t>VÄSTERNORRLANDS LÄN</t>
        </is>
      </c>
      <c r="G619" t="inlineStr">
        <is>
          <t>HÄRNÖSAND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34768-2026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46258</v>
      </c>
      <c r="E620" s="1" t="n">
        <v>46270</v>
      </c>
      <c r="F620" t="inlineStr">
        <is>
          <t>VÄSTERNORRLANDS LÄN</t>
        </is>
      </c>
      <c r="G620" t="inlineStr">
        <is>
          <t>HÄRNÖSAND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46215</v>
      </c>
      <c r="E621" s="1" t="n">
        <v>46270</v>
      </c>
      <c r="F621" t="inlineStr">
        <is>
          <t>VÄSTERNORRLANDS LÄN</t>
        </is>
      </c>
      <c r="G621" t="inlineStr">
        <is>
          <t>HÄRNÖSAND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31050-2026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46215</v>
      </c>
      <c r="E622" s="1" t="n">
        <v>46270</v>
      </c>
      <c r="F622" t="inlineStr">
        <is>
          <t>VÄSTERNORRLANDS LÄN</t>
        </is>
      </c>
      <c r="G622" t="inlineStr">
        <is>
          <t>HÄRNÖSAND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7793-2024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45348</v>
      </c>
      <c r="E623" s="1" t="n">
        <v>46270</v>
      </c>
      <c r="F623" t="inlineStr">
        <is>
          <t>VÄSTERNORRLANDS LÄN</t>
        </is>
      </c>
      <c r="G623" t="inlineStr">
        <is>
          <t>HÄRNÖSAND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46213</v>
      </c>
      <c r="E624" s="1" t="n">
        <v>46270</v>
      </c>
      <c r="F624" t="inlineStr">
        <is>
          <t>VÄSTERNORRLANDS LÄN</t>
        </is>
      </c>
      <c r="G624" t="inlineStr">
        <is>
          <t>HÄRNÖSAND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46270</v>
      </c>
      <c r="F625" t="inlineStr">
        <is>
          <t>VÄSTERNORRLANDS LÄN</t>
        </is>
      </c>
      <c r="G625" t="inlineStr">
        <is>
          <t>HÄRNÖSAND</t>
        </is>
      </c>
      <c r="I625" t="n">
        <v>13.6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44590-2024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45574</v>
      </c>
      <c r="E626" s="1" t="n">
        <v>46270</v>
      </c>
      <c r="F626" t="inlineStr">
        <is>
          <t>VÄSTERNORRLANDS LÄN</t>
        </is>
      </c>
      <c r="G626" t="inlineStr">
        <is>
          <t>HÄRNÖSAND</t>
        </is>
      </c>
      <c r="I626" t="n">
        <v>11.9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35125-2026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46260</v>
      </c>
      <c r="E627" s="1" t="n">
        <v>46270</v>
      </c>
      <c r="F627" t="inlineStr">
        <is>
          <t>VÄSTERNORRLANDS LÄN</t>
        </is>
      </c>
      <c r="G627" t="inlineStr">
        <is>
          <t>HÄRNÖSAND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45791</v>
      </c>
      <c r="E628" s="1" t="n">
        <v>46270</v>
      </c>
      <c r="F628" t="inlineStr">
        <is>
          <t>VÄSTERNORRLANDS LÄN</t>
        </is>
      </c>
      <c r="G628" t="inlineStr">
        <is>
          <t>HÄRNÖSAND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45342</v>
      </c>
      <c r="E629" s="1" t="n">
        <v>46270</v>
      </c>
      <c r="F629" t="inlineStr">
        <is>
          <t>VÄSTERNORRLANDS LÄN</t>
        </is>
      </c>
      <c r="G629" t="inlineStr">
        <is>
          <t>HÄRNÖSAND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19949-2024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45433</v>
      </c>
      <c r="E630" s="1" t="n">
        <v>46270</v>
      </c>
      <c r="F630" t="inlineStr">
        <is>
          <t>VÄSTERNORRLANDS LÄN</t>
        </is>
      </c>
      <c r="G630" t="inlineStr">
        <is>
          <t>HÄRNÖSAND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8475-2024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45351</v>
      </c>
      <c r="E631" s="1" t="n">
        <v>46270</v>
      </c>
      <c r="F631" t="inlineStr">
        <is>
          <t>VÄSTERNORRLANDS LÄN</t>
        </is>
      </c>
      <c r="G631" t="inlineStr">
        <is>
          <t>HÄRNÖSAND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23825-2025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45793</v>
      </c>
      <c r="E632" s="1" t="n">
        <v>46270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31503-2026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46219</v>
      </c>
      <c r="E633" s="1" t="n">
        <v>46270</v>
      </c>
      <c r="F633" t="inlineStr">
        <is>
          <t>VÄSTERNORRLANDS LÄN</t>
        </is>
      </c>
      <c r="G633" t="inlineStr">
        <is>
          <t>HÄRNÖSAND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31504-2026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46219</v>
      </c>
      <c r="E634" s="1" t="n">
        <v>46270</v>
      </c>
      <c r="F634" t="inlineStr">
        <is>
          <t>VÄSTERNORRLANDS LÄN</t>
        </is>
      </c>
      <c r="G634" t="inlineStr">
        <is>
          <t>HÄRNÖSAND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46270</v>
      </c>
      <c r="F635" t="inlineStr">
        <is>
          <t>VÄSTERNORRLANDS LÄN</t>
        </is>
      </c>
      <c r="G635" t="inlineStr">
        <is>
          <t>HÄRNÖSAND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45585-2024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46270</v>
      </c>
      <c r="F636" t="inlineStr">
        <is>
          <t>VÄSTERNORRLANDS LÄN</t>
        </is>
      </c>
      <c r="G636" t="inlineStr">
        <is>
          <t>HÄRNÖSAND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44571</v>
      </c>
      <c r="E637" s="1" t="n">
        <v>46270</v>
      </c>
      <c r="F637" t="inlineStr">
        <is>
          <t>VÄSTERNORRLANDS LÄN</t>
        </is>
      </c>
      <c r="G637" t="inlineStr">
        <is>
          <t>HÄRNÖSAND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46270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46270</v>
      </c>
      <c r="F639" t="inlineStr">
        <is>
          <t>VÄSTERNORRLANDS LÄN</t>
        </is>
      </c>
      <c r="G639" t="inlineStr">
        <is>
          <t>HÄRNÖSAND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61944-2023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45266</v>
      </c>
      <c r="E640" s="1" t="n">
        <v>46270</v>
      </c>
      <c r="F640" t="inlineStr">
        <is>
          <t>VÄSTERNORRLANDS LÄN</t>
        </is>
      </c>
      <c r="G640" t="inlineStr">
        <is>
          <t>HÄRNÖSAND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23186-2026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46161</v>
      </c>
      <c r="E641" s="1" t="n">
        <v>46270</v>
      </c>
      <c r="F641" t="inlineStr">
        <is>
          <t>VÄSTERNORRLANDS LÄN</t>
        </is>
      </c>
      <c r="G641" t="inlineStr">
        <is>
          <t>HÄRNÖSAND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35563-2026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46262</v>
      </c>
      <c r="E642" s="1" t="n">
        <v>46270</v>
      </c>
      <c r="F642" t="inlineStr">
        <is>
          <t>VÄSTERNORRLANDS LÄN</t>
        </is>
      </c>
      <c r="G642" t="inlineStr">
        <is>
          <t>HÄRNÖSAND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35670-2026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46265</v>
      </c>
      <c r="E643" s="1" t="n">
        <v>46270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22.1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4299-2021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44393</v>
      </c>
      <c r="E644" s="1" t="n">
        <v>46270</v>
      </c>
      <c r="F644" t="inlineStr">
        <is>
          <t>VÄSTERNORRLANDS LÄN</t>
        </is>
      </c>
      <c r="G644" t="inlineStr">
        <is>
          <t>HÄRNÖSAND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382-2024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45323</v>
      </c>
      <c r="E645" s="1" t="n">
        <v>46270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10.6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831-2025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45733</v>
      </c>
      <c r="E646" s="1" t="n">
        <v>46270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113.3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1148-2025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45755</v>
      </c>
      <c r="E647" s="1" t="n">
        <v>46270</v>
      </c>
      <c r="F647" t="inlineStr">
        <is>
          <t>VÄSTERNORRLANDS LÄN</t>
        </is>
      </c>
      <c r="G647" t="inlineStr">
        <is>
          <t>HÄRNÖSAND</t>
        </is>
      </c>
      <c r="I647" t="n">
        <v>10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1559-2025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45793</v>
      </c>
      <c r="E648" s="1" t="n">
        <v>46270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525-2026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46078</v>
      </c>
      <c r="E649" s="1" t="n">
        <v>46270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484-2026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46073</v>
      </c>
      <c r="E650" s="1" t="n">
        <v>46270</v>
      </c>
      <c r="F650" t="inlineStr">
        <is>
          <t>VÄSTERNORRLANDS LÄN</t>
        </is>
      </c>
      <c r="G650" t="inlineStr">
        <is>
          <t>HÄRNÖSAND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723-2026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46093</v>
      </c>
      <c r="E651" s="1" t="n">
        <v>46270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1428-2026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46156</v>
      </c>
      <c r="E652" s="1" t="n">
        <v>46270</v>
      </c>
      <c r="F652" t="inlineStr">
        <is>
          <t>VÄSTERNORRLANDS LÄN</t>
        </is>
      </c>
      <c r="G652" t="inlineStr">
        <is>
          <t>HÄRNÖSAND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>
      <c r="A653" t="inlineStr">
        <is>
          <t>S 2294-2026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46267</v>
      </c>
      <c r="E653" s="1" t="n">
        <v>46270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2026-09-05T02:07:54Z</dcterms:created>
  <dcterms:modified xmlns:dcterms="http://purl.org/dc/terms/" xmlns:xsi="http://www.w3.org/2001/XMLSchema-instance" xsi:type="dcterms:W3CDTF">2026-09-05T02:07:54Z</dcterms:modified>
</cp:coreProperties>
</file>