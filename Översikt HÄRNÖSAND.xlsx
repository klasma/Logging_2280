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46299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46299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46299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46299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46299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46299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46299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46299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46299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46299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46299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46299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46299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46299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46299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46299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46299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46299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46299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46299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46299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46299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46299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46299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46299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46299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46299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46299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46299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46299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46299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46299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46299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46299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46299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46299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46299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46299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46299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46299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46299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46299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46299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46299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46299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46299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46299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46299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46299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46299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46299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46299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46299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46299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46299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46299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46299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7853-2024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46299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4.1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HYPERLINK("https://klasma.github.io/Logging_2280/artfynd/A 7853-2024 artfynd.xlsx", "A 7853-2024")</f>
        <v/>
      </c>
      <c r="X75">
        <f>HYPERLINK("https://klasma.github.io/Logging_2280/kartor/A 7853-2024 karta.png", "A 7853-2024")</f>
        <v/>
      </c>
      <c r="Y75">
        <f>HYPERLINK("https://klasma.github.io/Logging_2280/kartor_geotiff/A 7853-2024 georefererad karta.tif", "A 7853-2024")</f>
        <v/>
      </c>
      <c r="AA75">
        <f>HYPERLINK("https://klasma.github.io/Logging_2280/klagomål/A 7853-2024 FSC-klagomål.docx", "A 7853-2024")</f>
        <v/>
      </c>
      <c r="AB75">
        <f>HYPERLINK("https://klasma.github.io/Logging_2280/klagomålsmail/A 7853-2024 FSC-klagomål mail.docx", "A 7853-2024")</f>
        <v/>
      </c>
      <c r="AC75">
        <f>HYPERLINK("https://klasma.github.io/Logging_2280/tillsyn/A 7853-2024 tillsynsbegäran.docx", "A 7853-2024")</f>
        <v/>
      </c>
      <c r="AD75">
        <f>HYPERLINK("https://klasma.github.io/Logging_2280/tillsynsmail/A 7853-2024 tillsynsbegäran mail.docx", "A 7853-2024")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46299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46299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46299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46299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46299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46299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46299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46299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46299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46299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46299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46299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46299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46299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74325-2021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46299</v>
      </c>
      <c r="F90" t="inlineStr">
        <is>
          <t>VÄSTERNORRLANDS LÄN</t>
        </is>
      </c>
      <c r="G90" t="inlineStr">
        <is>
          <t>HÄRNÖSAND</t>
        </is>
      </c>
      <c r="I90" t="n">
        <v>4.6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Skogshare</t>
        </is>
      </c>
      <c r="W90">
        <f>HYPERLINK("https://klasma.github.io/Logging_2280/artfynd/A 74325-2021 artfynd.xlsx", "A 74325-2021")</f>
        <v/>
      </c>
      <c r="X90">
        <f>HYPERLINK("https://klasma.github.io/Logging_2280/kartor/A 74325-2021 karta.png", "A 74325-2021")</f>
        <v/>
      </c>
      <c r="Y90">
        <f>HYPERLINK("https://klasma.github.io/Logging_2280/kartor_geotiff/A 74325-2021 georefererad karta.tif", "A 74325-2021")</f>
        <v/>
      </c>
      <c r="AA90">
        <f>HYPERLINK("https://klasma.github.io/Logging_2280/klagomål/A 74325-2021 FSC-klagomål.docx", "A 74325-2021")</f>
        <v/>
      </c>
      <c r="AB90">
        <f>HYPERLINK("https://klasma.github.io/Logging_2280/klagomålsmail/A 74325-2021 FSC-klagomål mail.docx", "A 74325-2021")</f>
        <v/>
      </c>
      <c r="AC90">
        <f>HYPERLINK("https://klasma.github.io/Logging_2280/tillsyn/A 74325-2021 tillsynsbegäran.docx", "A 74325-2021")</f>
        <v/>
      </c>
      <c r="AD90">
        <f>HYPERLINK("https://klasma.github.io/Logging_2280/tillsynsmail/A 74325-2021 tillsynsbegäran mail.docx", "A 74325-2021")</f>
        <v/>
      </c>
    </row>
    <row r="91" ht="15" customHeight="1">
      <c r="A91" t="inlineStr">
        <is>
          <t>A 11546-2024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46299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HYPERLINK("https://klasma.github.io/Logging_2280/artfynd/A 11546-2024 artfynd.xlsx", "A 11546-2024")</f>
        <v/>
      </c>
      <c r="X91">
        <f>HYPERLINK("https://klasma.github.io/Logging_2280/kartor/A 11546-2024 karta.png", "A 11546-2024")</f>
        <v/>
      </c>
      <c r="Y91">
        <f>HYPERLINK("https://klasma.github.io/Logging_2280/kartor_geotiff/A 11546-2024 georefererad karta.tif", "A 11546-2024")</f>
        <v/>
      </c>
      <c r="AA91">
        <f>HYPERLINK("https://klasma.github.io/Logging_2280/klagomål/A 11546-2024 FSC-klagomål.docx", "A 11546-2024")</f>
        <v/>
      </c>
      <c r="AB91">
        <f>HYPERLINK("https://klasma.github.io/Logging_2280/klagomålsmail/A 11546-2024 FSC-klagomål mail.docx", "A 11546-2024")</f>
        <v/>
      </c>
      <c r="AC91">
        <f>HYPERLINK("https://klasma.github.io/Logging_2280/tillsyn/A 11546-2024 tillsynsbegäran.docx", "A 11546-2024")</f>
        <v/>
      </c>
      <c r="AD91">
        <f>HYPERLINK("https://klasma.github.io/Logging_2280/tillsynsmail/A 11546-2024 tillsynsbegäran mail.docx", "A 11546-2024")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46299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46299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46299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46299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46299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46299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46299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46299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56004-2021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46299</v>
      </c>
      <c r="F100" t="inlineStr">
        <is>
          <t>VÄSTERNORRLANDS LÄN</t>
        </is>
      </c>
      <c r="G100" t="inlineStr">
        <is>
          <t>HÄRNÖSAND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46299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46299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46299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46299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46299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46299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46299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46299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46299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46299</v>
      </c>
      <c r="F110" t="inlineStr">
        <is>
          <t>VÄSTERNORRLANDS LÄN</t>
        </is>
      </c>
      <c r="G110" t="inlineStr">
        <is>
          <t>HÄRNÖSAND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46299</v>
      </c>
      <c r="F111" t="inlineStr">
        <is>
          <t>VÄSTERNORRLANDS LÄN</t>
        </is>
      </c>
      <c r="G111" t="inlineStr">
        <is>
          <t>HÄRNÖSAND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55790-2021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44476</v>
      </c>
      <c r="E112" s="1" t="n">
        <v>46299</v>
      </c>
      <c r="F112" t="inlineStr">
        <is>
          <t>VÄSTERNORRLANDS LÄN</t>
        </is>
      </c>
      <c r="G112" t="inlineStr">
        <is>
          <t>HÄRNÖSAND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44664</v>
      </c>
      <c r="E113" s="1" t="n">
        <v>46299</v>
      </c>
      <c r="F113" t="inlineStr">
        <is>
          <t>VÄSTERNORRLANDS LÄN</t>
        </is>
      </c>
      <c r="G113" t="inlineStr">
        <is>
          <t>HÄRNÖSAND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36649-2022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44804</v>
      </c>
      <c r="E114" s="1" t="n">
        <v>46299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46299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46299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46299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46299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44581</v>
      </c>
      <c r="E119" s="1" t="n">
        <v>46299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46299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46299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46299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46299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46299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46299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46299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46299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46299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46299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46299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46299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46299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46299</v>
      </c>
      <c r="F133" t="inlineStr">
        <is>
          <t>VÄSTERNORRLANDS LÄN</t>
        </is>
      </c>
      <c r="G133" t="inlineStr">
        <is>
          <t>HÄRNÖSAND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46299</v>
      </c>
      <c r="F134" t="inlineStr">
        <is>
          <t>VÄSTERNORRLANDS LÄN</t>
        </is>
      </c>
      <c r="G134" t="inlineStr">
        <is>
          <t>HÄRNÖSAND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46299</v>
      </c>
      <c r="F135" t="inlineStr">
        <is>
          <t>VÄSTERNORRLANDS LÄN</t>
        </is>
      </c>
      <c r="G135" t="inlineStr">
        <is>
          <t>HÄRNÖSAND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45293</v>
      </c>
      <c r="E136" s="1" t="n">
        <v>46299</v>
      </c>
      <c r="F136" t="inlineStr">
        <is>
          <t>VÄSTERNORRLANDS LÄN</t>
        </is>
      </c>
      <c r="G136" t="inlineStr">
        <is>
          <t>HÄRNÖSAND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46299</v>
      </c>
      <c r="F137" t="inlineStr">
        <is>
          <t>VÄSTERNORRLANDS LÄN</t>
        </is>
      </c>
      <c r="G137" t="inlineStr">
        <is>
          <t>HÄRNÖSAND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46299</v>
      </c>
      <c r="F138" t="inlineStr">
        <is>
          <t>VÄSTERNORRLANDS LÄN</t>
        </is>
      </c>
      <c r="G138" t="inlineStr">
        <is>
          <t>HÄRNÖSAND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44881</v>
      </c>
      <c r="E139" s="1" t="n">
        <v>46299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44641</v>
      </c>
      <c r="E140" s="1" t="n">
        <v>46299</v>
      </c>
      <c r="F140" t="inlineStr">
        <is>
          <t>VÄSTERNORRLANDS LÄN</t>
        </is>
      </c>
      <c r="G140" t="inlineStr">
        <is>
          <t>HÄRNÖSAND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49039-2023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45209</v>
      </c>
      <c r="E141" s="1" t="n">
        <v>46299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45667</v>
      </c>
      <c r="E142" s="1" t="n">
        <v>46299</v>
      </c>
      <c r="F142" t="inlineStr">
        <is>
          <t>VÄSTERNORRLANDS LÄN</t>
        </is>
      </c>
      <c r="G142" t="inlineStr">
        <is>
          <t>HÄRNÖSAND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46299</v>
      </c>
      <c r="F143" t="inlineStr">
        <is>
          <t>VÄSTERNORRLANDS LÄN</t>
        </is>
      </c>
      <c r="G143" t="inlineStr">
        <is>
          <t>HÄRNÖSAND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46299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46299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46299</v>
      </c>
      <c r="F146" t="inlineStr">
        <is>
          <t>VÄSTERNORRLANDS LÄN</t>
        </is>
      </c>
      <c r="G146" t="inlineStr">
        <is>
          <t>HÄRNÖSAND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46299</v>
      </c>
      <c r="F147" t="inlineStr">
        <is>
          <t>VÄSTERNORRLANDS LÄN</t>
        </is>
      </c>
      <c r="G147" t="inlineStr">
        <is>
          <t>HÄRNÖSAND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46299</v>
      </c>
      <c r="F148" t="inlineStr">
        <is>
          <t>VÄSTERNORRLANDS LÄN</t>
        </is>
      </c>
      <c r="G148" t="inlineStr">
        <is>
          <t>HÄRNÖSAND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45496</v>
      </c>
      <c r="E149" s="1" t="n">
        <v>46299</v>
      </c>
      <c r="F149" t="inlineStr">
        <is>
          <t>VÄSTERNORRLANDS LÄN</t>
        </is>
      </c>
      <c r="G149" t="inlineStr">
        <is>
          <t>HÄRNÖSAND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46299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46299</v>
      </c>
      <c r="F151" t="inlineStr">
        <is>
          <t>VÄSTERNORRLANDS LÄN</t>
        </is>
      </c>
      <c r="G151" t="inlineStr">
        <is>
          <t>HÄRNÖSAND</t>
        </is>
      </c>
      <c r="I151" t="n">
        <v>11.9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46299</v>
      </c>
      <c r="F152" t="inlineStr">
        <is>
          <t>VÄSTERNORRLANDS LÄN</t>
        </is>
      </c>
      <c r="G152" t="inlineStr">
        <is>
          <t>HÄRNÖSAND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46299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46299</v>
      </c>
      <c r="F154" t="inlineStr">
        <is>
          <t>VÄSTERNORRLANDS LÄN</t>
        </is>
      </c>
      <c r="G154" t="inlineStr">
        <is>
          <t>HÄRNÖSAND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46299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46299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46299</v>
      </c>
      <c r="F157" t="inlineStr">
        <is>
          <t>VÄSTERNORRLANDS LÄN</t>
        </is>
      </c>
      <c r="G157" t="inlineStr">
        <is>
          <t>HÄRNÖSAND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46299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44809</v>
      </c>
      <c r="E159" s="1" t="n">
        <v>46299</v>
      </c>
      <c r="F159" t="inlineStr">
        <is>
          <t>VÄSTERNORRLANDS LÄN</t>
        </is>
      </c>
      <c r="G159" t="inlineStr">
        <is>
          <t>HÄRNÖSAND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45757</v>
      </c>
      <c r="E160" s="1" t="n">
        <v>46299</v>
      </c>
      <c r="F160" t="inlineStr">
        <is>
          <t>VÄSTERNORRLANDS LÄN</t>
        </is>
      </c>
      <c r="G160" t="inlineStr">
        <is>
          <t>HÄRNÖSAND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46299</v>
      </c>
      <c r="F161" t="inlineStr">
        <is>
          <t>VÄSTERNORRLANDS LÄN</t>
        </is>
      </c>
      <c r="G161" t="inlineStr">
        <is>
          <t>HÄRNÖSAND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46299</v>
      </c>
      <c r="F162" t="inlineStr">
        <is>
          <t>VÄSTERNORRLANDS LÄN</t>
        </is>
      </c>
      <c r="G162" t="inlineStr">
        <is>
          <t>HÄRNÖSAND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46299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46023</v>
      </c>
      <c r="E164" s="1" t="n">
        <v>46299</v>
      </c>
      <c r="F164" t="inlineStr">
        <is>
          <t>VÄSTERNORRLANDS LÄN</t>
        </is>
      </c>
      <c r="G164" t="inlineStr">
        <is>
          <t>HÄRNÖSAND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46023</v>
      </c>
      <c r="E165" s="1" t="n">
        <v>46299</v>
      </c>
      <c r="F165" t="inlineStr">
        <is>
          <t>VÄSTERNORRLANDS LÄN</t>
        </is>
      </c>
      <c r="G165" t="inlineStr">
        <is>
          <t>HÄRNÖSAND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46299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46299</v>
      </c>
      <c r="F167" t="inlineStr">
        <is>
          <t>VÄSTERNORRLANDS LÄN</t>
        </is>
      </c>
      <c r="G167" t="inlineStr">
        <is>
          <t>HÄRNÖSAND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46299</v>
      </c>
      <c r="F168" t="inlineStr">
        <is>
          <t>VÄSTERNORRLANDS LÄN</t>
        </is>
      </c>
      <c r="G168" t="inlineStr">
        <is>
          <t>HÄRNÖSAND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46299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45300</v>
      </c>
      <c r="E170" s="1" t="n">
        <v>46299</v>
      </c>
      <c r="F170" t="inlineStr">
        <is>
          <t>VÄSTERNORRLANDS LÄN</t>
        </is>
      </c>
      <c r="G170" t="inlineStr">
        <is>
          <t>HÄRNÖSAND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46299</v>
      </c>
      <c r="F171" t="inlineStr">
        <is>
          <t>VÄSTERNORRLANDS LÄN</t>
        </is>
      </c>
      <c r="G171" t="inlineStr">
        <is>
          <t>HÄRNÖSAND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45228</v>
      </c>
      <c r="E172" s="1" t="n">
        <v>46299</v>
      </c>
      <c r="F172" t="inlineStr">
        <is>
          <t>VÄSTERNORRLANDS LÄN</t>
        </is>
      </c>
      <c r="G172" t="inlineStr">
        <is>
          <t>HÄRNÖSAND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46026</v>
      </c>
      <c r="E173" s="1" t="n">
        <v>46299</v>
      </c>
      <c r="F173" t="inlineStr">
        <is>
          <t>VÄSTERNORRLANDS LÄN</t>
        </is>
      </c>
      <c r="G173" t="inlineStr">
        <is>
          <t>HÄRNÖSAND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46299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45350</v>
      </c>
      <c r="E175" s="1" t="n">
        <v>46299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46299</v>
      </c>
      <c r="F176" t="inlineStr">
        <is>
          <t>VÄSTERNORRLANDS LÄN</t>
        </is>
      </c>
      <c r="G176" t="inlineStr">
        <is>
          <t>HÄRNÖSAND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46299</v>
      </c>
      <c r="F177" t="inlineStr">
        <is>
          <t>VÄSTERNORRLANDS LÄN</t>
        </is>
      </c>
      <c r="G177" t="inlineStr">
        <is>
          <t>HÄRNÖSAND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46299</v>
      </c>
      <c r="F178" t="inlineStr">
        <is>
          <t>VÄSTERNORRLANDS LÄN</t>
        </is>
      </c>
      <c r="G178" t="inlineStr">
        <is>
          <t>HÄRNÖSAND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46299</v>
      </c>
      <c r="F179" t="inlineStr">
        <is>
          <t>VÄSTERNORRLANDS LÄN</t>
        </is>
      </c>
      <c r="G179" t="inlineStr">
        <is>
          <t>HÄRNÖSAND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45897</v>
      </c>
      <c r="E180" s="1" t="n">
        <v>46299</v>
      </c>
      <c r="F180" t="inlineStr">
        <is>
          <t>VÄSTERNORRLANDS LÄN</t>
        </is>
      </c>
      <c r="G180" t="inlineStr">
        <is>
          <t>HÄRNÖSAND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46299</v>
      </c>
      <c r="F181" t="inlineStr">
        <is>
          <t>VÄSTERNORRLANDS LÄN</t>
        </is>
      </c>
      <c r="G181" t="inlineStr">
        <is>
          <t>HÄRNÖSAND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46299</v>
      </c>
      <c r="F182" t="inlineStr">
        <is>
          <t>VÄSTERNORRLANDS LÄN</t>
        </is>
      </c>
      <c r="G182" t="inlineStr">
        <is>
          <t>HÄRNÖSAND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46029</v>
      </c>
      <c r="E183" s="1" t="n">
        <v>46299</v>
      </c>
      <c r="F183" t="inlineStr">
        <is>
          <t>VÄSTERNORRLANDS LÄN</t>
        </is>
      </c>
      <c r="G183" t="inlineStr">
        <is>
          <t>HÄRNÖSAND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46299</v>
      </c>
      <c r="F184" t="inlineStr">
        <is>
          <t>VÄSTERNORRLANDS LÄN</t>
        </is>
      </c>
      <c r="G184" t="inlineStr">
        <is>
          <t>HÄRNÖSAND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46299</v>
      </c>
      <c r="F185" t="inlineStr">
        <is>
          <t>VÄSTERNORRLANDS LÄN</t>
        </is>
      </c>
      <c r="G185" t="inlineStr">
        <is>
          <t>HÄRNÖSAND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46299</v>
      </c>
      <c r="F186" t="inlineStr">
        <is>
          <t>VÄSTERNORRLANDS LÄN</t>
        </is>
      </c>
      <c r="G186" t="inlineStr">
        <is>
          <t>HÄRNÖSAND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46299</v>
      </c>
      <c r="F187" t="inlineStr">
        <is>
          <t>VÄSTERNORRLANDS LÄN</t>
        </is>
      </c>
      <c r="G187" t="inlineStr">
        <is>
          <t>HÄRNÖSAND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46299</v>
      </c>
      <c r="F188" t="inlineStr">
        <is>
          <t>VÄSTERNORRLANDS LÄN</t>
        </is>
      </c>
      <c r="G188" t="inlineStr">
        <is>
          <t>HÄRNÖSAND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41562-2025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45901</v>
      </c>
      <c r="E189" s="1" t="n">
        <v>46299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46299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45482</v>
      </c>
      <c r="E191" s="1" t="n">
        <v>46299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46299</v>
      </c>
      <c r="F192" t="inlineStr">
        <is>
          <t>VÄSTERNORRLANDS LÄN</t>
        </is>
      </c>
      <c r="G192" t="inlineStr">
        <is>
          <t>HÄRNÖSAND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46299</v>
      </c>
      <c r="F193" t="inlineStr">
        <is>
          <t>VÄSTERNORRLANDS LÄN</t>
        </is>
      </c>
      <c r="G193" t="inlineStr">
        <is>
          <t>HÄRNÖSAND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46299</v>
      </c>
      <c r="F194" t="inlineStr">
        <is>
          <t>VÄSTERNORRLANDS LÄN</t>
        </is>
      </c>
      <c r="G194" t="inlineStr">
        <is>
          <t>HÄRNÖSAND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46299</v>
      </c>
      <c r="F195" t="inlineStr">
        <is>
          <t>VÄSTERNORRLANDS LÄN</t>
        </is>
      </c>
      <c r="G195" t="inlineStr">
        <is>
          <t>HÄRNÖSAND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46299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46299</v>
      </c>
      <c r="F197" t="inlineStr">
        <is>
          <t>VÄSTERNORRLANDS LÄN</t>
        </is>
      </c>
      <c r="G197" t="inlineStr">
        <is>
          <t>HÄRNÖSAND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46299</v>
      </c>
      <c r="F198" t="inlineStr">
        <is>
          <t>VÄSTERNORRLANDS LÄN</t>
        </is>
      </c>
      <c r="G198" t="inlineStr">
        <is>
          <t>HÄRNÖSAND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46299</v>
      </c>
      <c r="F199" t="inlineStr">
        <is>
          <t>VÄSTERNORRLANDS LÄN</t>
        </is>
      </c>
      <c r="G199" t="inlineStr">
        <is>
          <t>HÄRNÖSAND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46299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46299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46299</v>
      </c>
      <c r="F202" t="inlineStr">
        <is>
          <t>VÄSTERNORRLANDS LÄN</t>
        </is>
      </c>
      <c r="G202" t="inlineStr">
        <is>
          <t>HÄRNÖSAND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46299</v>
      </c>
      <c r="F203" t="inlineStr">
        <is>
          <t>VÄSTERNORRLANDS LÄN</t>
        </is>
      </c>
      <c r="G203" t="inlineStr">
        <is>
          <t>HÄRNÖSAND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46299</v>
      </c>
      <c r="F204" t="inlineStr">
        <is>
          <t>VÄSTERNORRLANDS LÄN</t>
        </is>
      </c>
      <c r="G204" t="inlineStr">
        <is>
          <t>HÄRNÖSAND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46299</v>
      </c>
      <c r="F205" t="inlineStr">
        <is>
          <t>VÄSTERNORRLANDS LÄN</t>
        </is>
      </c>
      <c r="G205" t="inlineStr">
        <is>
          <t>HÄRNÖSAND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46299</v>
      </c>
      <c r="F206" t="inlineStr">
        <is>
          <t>VÄSTERNORRLANDS LÄN</t>
        </is>
      </c>
      <c r="G206" t="inlineStr">
        <is>
          <t>HÄRNÖSAND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46299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45139</v>
      </c>
      <c r="E208" s="1" t="n">
        <v>46299</v>
      </c>
      <c r="F208" t="inlineStr">
        <is>
          <t>VÄSTERNORRLANDS LÄN</t>
        </is>
      </c>
      <c r="G208" t="inlineStr">
        <is>
          <t>HÄRNÖSAND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55583-2021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46299</v>
      </c>
      <c r="F209" t="inlineStr">
        <is>
          <t>VÄSTERNORRLANDS LÄN</t>
        </is>
      </c>
      <c r="G209" t="inlineStr">
        <is>
          <t>HÄRNÖSAND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46299</v>
      </c>
      <c r="F210" t="inlineStr">
        <is>
          <t>VÄSTERNORRLANDS LÄN</t>
        </is>
      </c>
      <c r="G210" t="inlineStr">
        <is>
          <t>HÄRNÖSAND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46299</v>
      </c>
      <c r="F211" t="inlineStr">
        <is>
          <t>VÄSTERNORRLANDS LÄN</t>
        </is>
      </c>
      <c r="G211" t="inlineStr">
        <is>
          <t>HÄRNÖSAND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46299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46299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46299</v>
      </c>
      <c r="F214" t="inlineStr">
        <is>
          <t>VÄSTERNORRLANDS LÄN</t>
        </is>
      </c>
      <c r="G214" t="inlineStr">
        <is>
          <t>HÄRNÖSAND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46299</v>
      </c>
      <c r="F215" t="inlineStr">
        <is>
          <t>VÄSTERNORRLANDS LÄN</t>
        </is>
      </c>
      <c r="G215" t="inlineStr">
        <is>
          <t>HÄRNÖSAND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46299</v>
      </c>
      <c r="F216" t="inlineStr">
        <is>
          <t>VÄSTERNORRLANDS LÄN</t>
        </is>
      </c>
      <c r="G216" t="inlineStr">
        <is>
          <t>HÄRNÖSAND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46299</v>
      </c>
      <c r="F217" t="inlineStr">
        <is>
          <t>VÄSTERNORRLANDS LÄN</t>
        </is>
      </c>
      <c r="G217" t="inlineStr">
        <is>
          <t>HÄRNÖSAND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46299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46299</v>
      </c>
      <c r="F219" t="inlineStr">
        <is>
          <t>VÄSTERNORRLANDS LÄN</t>
        </is>
      </c>
      <c r="G219" t="inlineStr">
        <is>
          <t>HÄRNÖSAND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46299</v>
      </c>
      <c r="F220" t="inlineStr">
        <is>
          <t>VÄSTERNORRLANDS LÄN</t>
        </is>
      </c>
      <c r="G220" t="inlineStr">
        <is>
          <t>HÄRNÖSAND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46299</v>
      </c>
      <c r="F221" t="inlineStr">
        <is>
          <t>VÄSTERNORRLANDS LÄN</t>
        </is>
      </c>
      <c r="G221" t="inlineStr">
        <is>
          <t>HÄRNÖSAND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46052</v>
      </c>
      <c r="E222" s="1" t="n">
        <v>46299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44853</v>
      </c>
      <c r="E223" s="1" t="n">
        <v>46299</v>
      </c>
      <c r="F223" t="inlineStr">
        <is>
          <t>VÄSTERNORRLANDS LÄN</t>
        </is>
      </c>
      <c r="G223" t="inlineStr">
        <is>
          <t>HÄRNÖSAND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46299</v>
      </c>
      <c r="F224" t="inlineStr">
        <is>
          <t>VÄSTERNORRLANDS LÄN</t>
        </is>
      </c>
      <c r="G224" t="inlineStr">
        <is>
          <t>HÄRNÖSAND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65222-2023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45289</v>
      </c>
      <c r="E225" s="1" t="n">
        <v>46299</v>
      </c>
      <c r="F225" t="inlineStr">
        <is>
          <t>VÄSTERNORRLANDS LÄN</t>
        </is>
      </c>
      <c r="G225" t="inlineStr">
        <is>
          <t>HÄRNÖSAND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46299</v>
      </c>
      <c r="F226" t="inlineStr">
        <is>
          <t>VÄSTERNORRLANDS LÄN</t>
        </is>
      </c>
      <c r="G226" t="inlineStr">
        <is>
          <t>HÄRNÖSAND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45981-2025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45924</v>
      </c>
      <c r="E227" s="1" t="n">
        <v>46299</v>
      </c>
      <c r="F227" t="inlineStr">
        <is>
          <t>VÄSTERNORRLANDS LÄN</t>
        </is>
      </c>
      <c r="G227" t="inlineStr">
        <is>
          <t>HÄRNÖSAND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46299</v>
      </c>
      <c r="F228" t="inlineStr">
        <is>
          <t>VÄSTERNORRLANDS LÄN</t>
        </is>
      </c>
      <c r="G228" t="inlineStr">
        <is>
          <t>HÄRNÖSAND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46299</v>
      </c>
      <c r="F229" t="inlineStr">
        <is>
          <t>VÄSTERNORRLANDS LÄN</t>
        </is>
      </c>
      <c r="G229" t="inlineStr">
        <is>
          <t>HÄRNÖSAND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46299</v>
      </c>
      <c r="F230" t="inlineStr">
        <is>
          <t>VÄSTERNORRLANDS LÄN</t>
        </is>
      </c>
      <c r="G230" t="inlineStr">
        <is>
          <t>HÄRNÖSAND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46299</v>
      </c>
      <c r="F231" t="inlineStr">
        <is>
          <t>VÄSTERNORRLANDS LÄN</t>
        </is>
      </c>
      <c r="G231" t="inlineStr">
        <is>
          <t>HÄRNÖSAND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45289</v>
      </c>
      <c r="E232" s="1" t="n">
        <v>46299</v>
      </c>
      <c r="F232" t="inlineStr">
        <is>
          <t>VÄSTERNORRLANDS LÄN</t>
        </is>
      </c>
      <c r="G232" t="inlineStr">
        <is>
          <t>HÄRNÖSAND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46299</v>
      </c>
      <c r="F233" t="inlineStr">
        <is>
          <t>VÄSTERNORRLANDS LÄN</t>
        </is>
      </c>
      <c r="G233" t="inlineStr">
        <is>
          <t>HÄRNÖSAND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64023-2023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45278</v>
      </c>
      <c r="E234" s="1" t="n">
        <v>46299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46065</v>
      </c>
      <c r="E235" s="1" t="n">
        <v>46299</v>
      </c>
      <c r="F235" t="inlineStr">
        <is>
          <t>VÄSTERNORRLANDS LÄN</t>
        </is>
      </c>
      <c r="G235" t="inlineStr">
        <is>
          <t>HÄRNÖSAND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46065</v>
      </c>
      <c r="E236" s="1" t="n">
        <v>46299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Kyrkan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46065</v>
      </c>
      <c r="E237" s="1" t="n">
        <v>46299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Kyrkan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46299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Kyrkan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46299</v>
      </c>
      <c r="F239" t="inlineStr">
        <is>
          <t>VÄSTERNORRLANDS LÄN</t>
        </is>
      </c>
      <c r="G239" t="inlineStr">
        <is>
          <t>HÄRNÖSAND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46299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46299</v>
      </c>
      <c r="F241" t="inlineStr">
        <is>
          <t>VÄSTERNORRLANDS LÄN</t>
        </is>
      </c>
      <c r="G241" t="inlineStr">
        <is>
          <t>HÄRNÖSAND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46299</v>
      </c>
      <c r="F242" t="inlineStr">
        <is>
          <t>VÄSTERNORRLANDS LÄN</t>
        </is>
      </c>
      <c r="G242" t="inlineStr">
        <is>
          <t>HÄRNÖSAND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46299</v>
      </c>
      <c r="F243" t="inlineStr">
        <is>
          <t>VÄSTERNORRLANDS LÄN</t>
        </is>
      </c>
      <c r="G243" t="inlineStr">
        <is>
          <t>HÄRNÖSAND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46299</v>
      </c>
      <c r="F244" t="inlineStr">
        <is>
          <t>VÄSTERNORRLANDS LÄN</t>
        </is>
      </c>
      <c r="G244" t="inlineStr">
        <is>
          <t>HÄRNÖSAND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46299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46299</v>
      </c>
      <c r="F246" t="inlineStr">
        <is>
          <t>VÄSTERNORRLANDS LÄN</t>
        </is>
      </c>
      <c r="G246" t="inlineStr">
        <is>
          <t>HÄRNÖSAND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46299</v>
      </c>
      <c r="F247" t="inlineStr">
        <is>
          <t>VÄSTERNORRLANDS LÄN</t>
        </is>
      </c>
      <c r="G247" t="inlineStr">
        <is>
          <t>HÄRNÖSAND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46070</v>
      </c>
      <c r="E248" s="1" t="n">
        <v>46299</v>
      </c>
      <c r="F248" t="inlineStr">
        <is>
          <t>VÄSTERNORRLANDS LÄN</t>
        </is>
      </c>
      <c r="G248" t="inlineStr">
        <is>
          <t>HÄRNÖSAND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46299</v>
      </c>
      <c r="F249" t="inlineStr">
        <is>
          <t>VÄSTERNORRLANDS LÄN</t>
        </is>
      </c>
      <c r="G249" t="inlineStr">
        <is>
          <t>HÄRNÖSAND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46299</v>
      </c>
      <c r="F250" t="inlineStr">
        <is>
          <t>VÄSTERNORRLANDS LÄN</t>
        </is>
      </c>
      <c r="G250" t="inlineStr">
        <is>
          <t>HÄRNÖSAND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46299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46299</v>
      </c>
      <c r="F252" t="inlineStr">
        <is>
          <t>VÄSTERNORRLANDS LÄN</t>
        </is>
      </c>
      <c r="G252" t="inlineStr">
        <is>
          <t>HÄRNÖSAND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45578</v>
      </c>
      <c r="E253" s="1" t="n">
        <v>46299</v>
      </c>
      <c r="F253" t="inlineStr">
        <is>
          <t>VÄSTERNORRLANDS LÄN</t>
        </is>
      </c>
      <c r="G253" t="inlineStr">
        <is>
          <t>HÄRNÖSAND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46072</v>
      </c>
      <c r="E254" s="1" t="n">
        <v>46299</v>
      </c>
      <c r="F254" t="inlineStr">
        <is>
          <t>VÄSTERNORRLANDS LÄN</t>
        </is>
      </c>
      <c r="G254" t="inlineStr">
        <is>
          <t>HÄRNÖSAND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46299</v>
      </c>
      <c r="F255" t="inlineStr">
        <is>
          <t>VÄSTERNORRLANDS LÄN</t>
        </is>
      </c>
      <c r="G255" t="inlineStr">
        <is>
          <t>HÄRNÖSAND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45749</v>
      </c>
      <c r="E256" s="1" t="n">
        <v>46299</v>
      </c>
      <c r="F256" t="inlineStr">
        <is>
          <t>VÄSTERNORRLANDS LÄN</t>
        </is>
      </c>
      <c r="G256" t="inlineStr">
        <is>
          <t>HÄRNÖSAND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46077</v>
      </c>
      <c r="E257" s="1" t="n">
        <v>46299</v>
      </c>
      <c r="F257" t="inlineStr">
        <is>
          <t>VÄSTERNORRLANDS LÄN</t>
        </is>
      </c>
      <c r="G257" t="inlineStr">
        <is>
          <t>HÄRNÖSAND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45811</v>
      </c>
      <c r="E258" s="1" t="n">
        <v>46299</v>
      </c>
      <c r="F258" t="inlineStr">
        <is>
          <t>VÄSTERNORRLANDS LÄN</t>
        </is>
      </c>
      <c r="G258" t="inlineStr">
        <is>
          <t>HÄRNÖSAND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44728</v>
      </c>
      <c r="E259" s="1" t="n">
        <v>46299</v>
      </c>
      <c r="F259" t="inlineStr">
        <is>
          <t>VÄSTERNORRLANDS LÄN</t>
        </is>
      </c>
      <c r="G259" t="inlineStr">
        <is>
          <t>HÄRNÖSAND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46299</v>
      </c>
      <c r="F260" t="inlineStr">
        <is>
          <t>VÄSTERNORRLANDS LÄN</t>
        </is>
      </c>
      <c r="G260" t="inlineStr">
        <is>
          <t>HÄRNÖSAND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11202-2026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46080</v>
      </c>
      <c r="E261" s="1" t="n">
        <v>46299</v>
      </c>
      <c r="F261" t="inlineStr">
        <is>
          <t>VÄSTERNORRLANDS LÄN</t>
        </is>
      </c>
      <c r="G261" t="inlineStr">
        <is>
          <t>HÄRNÖSAND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46299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46299</v>
      </c>
      <c r="F263" t="inlineStr">
        <is>
          <t>VÄSTERNORRLANDS LÄN</t>
        </is>
      </c>
      <c r="G263" t="inlineStr">
        <is>
          <t>HÄRNÖSAND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45496</v>
      </c>
      <c r="E264" s="1" t="n">
        <v>46299</v>
      </c>
      <c r="F264" t="inlineStr">
        <is>
          <t>VÄSTERNORRLANDS LÄN</t>
        </is>
      </c>
      <c r="G264" t="inlineStr">
        <is>
          <t>HÄRNÖSAND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46299</v>
      </c>
      <c r="F265" t="inlineStr">
        <is>
          <t>VÄSTERNORRLANDS LÄN</t>
        </is>
      </c>
      <c r="G265" t="inlineStr">
        <is>
          <t>HÄRNÖSAND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46299</v>
      </c>
      <c r="F266" t="inlineStr">
        <is>
          <t>VÄSTERNORRLANDS LÄN</t>
        </is>
      </c>
      <c r="G266" t="inlineStr">
        <is>
          <t>HÄRNÖSAND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46087</v>
      </c>
      <c r="E267" s="1" t="n">
        <v>46299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Övriga statliga verk och myndigheter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46299</v>
      </c>
      <c r="F268" t="inlineStr">
        <is>
          <t>VÄSTERNORRLANDS LÄN</t>
        </is>
      </c>
      <c r="G268" t="inlineStr">
        <is>
          <t>HÄRNÖSAND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46299</v>
      </c>
      <c r="F269" t="inlineStr">
        <is>
          <t>VÄSTERNORRLANDS LÄN</t>
        </is>
      </c>
      <c r="G269" t="inlineStr">
        <is>
          <t>HÄRNÖSAND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46299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46299</v>
      </c>
      <c r="F271" t="inlineStr">
        <is>
          <t>VÄSTERNORRLANDS LÄN</t>
        </is>
      </c>
      <c r="G271" t="inlineStr">
        <is>
          <t>HÄRNÖSAND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46299</v>
      </c>
      <c r="F272" t="inlineStr">
        <is>
          <t>VÄSTERNORRLANDS LÄN</t>
        </is>
      </c>
      <c r="G272" t="inlineStr">
        <is>
          <t>HÄRNÖSAND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46299</v>
      </c>
      <c r="F273" t="inlineStr">
        <is>
          <t>VÄSTERNORRLANDS LÄN</t>
        </is>
      </c>
      <c r="G273" t="inlineStr">
        <is>
          <t>HÄRNÖSAND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12650-2026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46091</v>
      </c>
      <c r="E274" s="1" t="n">
        <v>46299</v>
      </c>
      <c r="F274" t="inlineStr">
        <is>
          <t>VÄSTERNORRLANDS LÄN</t>
        </is>
      </c>
      <c r="G274" t="inlineStr">
        <is>
          <t>HÄRNÖSAND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46299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29429-2024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45483</v>
      </c>
      <c r="E276" s="1" t="n">
        <v>46299</v>
      </c>
      <c r="F276" t="inlineStr">
        <is>
          <t>VÄSTERNORRLANDS LÄN</t>
        </is>
      </c>
      <c r="G276" t="inlineStr">
        <is>
          <t>HÄRNÖSAND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46299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46299</v>
      </c>
      <c r="F278" t="inlineStr">
        <is>
          <t>VÄSTERNORRLANDS LÄN</t>
        </is>
      </c>
      <c r="G278" t="inlineStr">
        <is>
          <t>HÄRNÖSAND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44603</v>
      </c>
      <c r="E279" s="1" t="n">
        <v>46299</v>
      </c>
      <c r="F279" t="inlineStr">
        <is>
          <t>VÄSTERNORRLANDS LÄN</t>
        </is>
      </c>
      <c r="G279" t="inlineStr">
        <is>
          <t>HÄRNÖSAND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46299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41147-2023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45173</v>
      </c>
      <c r="E281" s="1" t="n">
        <v>46299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45203</v>
      </c>
      <c r="E282" s="1" t="n">
        <v>46299</v>
      </c>
      <c r="F282" t="inlineStr">
        <is>
          <t>VÄSTERNORRLANDS LÄN</t>
        </is>
      </c>
      <c r="G282" t="inlineStr">
        <is>
          <t>HÄRNÖSAND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46299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40452-2023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45168</v>
      </c>
      <c r="E284" s="1" t="n">
        <v>46299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46299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46299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46299</v>
      </c>
      <c r="F287" t="inlineStr">
        <is>
          <t>VÄSTERNORRLANDS LÄN</t>
        </is>
      </c>
      <c r="G287" t="inlineStr">
        <is>
          <t>HÄRNÖSAND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46299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46299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46299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46299</v>
      </c>
      <c r="F291" t="inlineStr">
        <is>
          <t>VÄSTERNORRLANDS LÄN</t>
        </is>
      </c>
      <c r="G291" t="inlineStr">
        <is>
          <t>HÄRNÖSAND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46299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44980</v>
      </c>
      <c r="E293" s="1" t="n">
        <v>46299</v>
      </c>
      <c r="F293" t="inlineStr">
        <is>
          <t>VÄSTERNORRLANDS LÄN</t>
        </is>
      </c>
      <c r="G293" t="inlineStr">
        <is>
          <t>HÄRNÖSAND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46299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46299</v>
      </c>
      <c r="F295" t="inlineStr">
        <is>
          <t>VÄSTERNORRLANDS LÄN</t>
        </is>
      </c>
      <c r="G295" t="inlineStr">
        <is>
          <t>HÄRNÖSAND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46299</v>
      </c>
      <c r="F296" t="inlineStr">
        <is>
          <t>VÄSTERNORRLANDS LÄN</t>
        </is>
      </c>
      <c r="G296" t="inlineStr">
        <is>
          <t>HÄRNÖSAND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46299</v>
      </c>
      <c r="F297" t="inlineStr">
        <is>
          <t>VÄSTERNORRLANDS LÄN</t>
        </is>
      </c>
      <c r="G297" t="inlineStr">
        <is>
          <t>HÄRNÖSAND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46299</v>
      </c>
      <c r="F298" t="inlineStr">
        <is>
          <t>VÄSTERNORRLANDS LÄN</t>
        </is>
      </c>
      <c r="G298" t="inlineStr">
        <is>
          <t>HÄRNÖSAND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46299</v>
      </c>
      <c r="F299" t="inlineStr">
        <is>
          <t>VÄSTERNORRLANDS LÄN</t>
        </is>
      </c>
      <c r="G299" t="inlineStr">
        <is>
          <t>HÄRNÖSAND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46299</v>
      </c>
      <c r="F300" t="inlineStr">
        <is>
          <t>VÄSTERNORRLANDS LÄN</t>
        </is>
      </c>
      <c r="G300" t="inlineStr">
        <is>
          <t>HÄRNÖSAND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46299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46299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46299</v>
      </c>
      <c r="F303" t="inlineStr">
        <is>
          <t>VÄSTERNORRLANDS LÄN</t>
        </is>
      </c>
      <c r="G303" t="inlineStr">
        <is>
          <t>HÄRNÖSAND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46299</v>
      </c>
      <c r="F304" t="inlineStr">
        <is>
          <t>VÄSTERNORRLANDS LÄN</t>
        </is>
      </c>
      <c r="G304" t="inlineStr">
        <is>
          <t>HÄRNÖSAND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46299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46299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46299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46299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46299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46299</v>
      </c>
      <c r="F310" t="inlineStr">
        <is>
          <t>VÄSTERNORRLANDS LÄN</t>
        </is>
      </c>
      <c r="G310" t="inlineStr">
        <is>
          <t>HÄRNÖSAND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46299</v>
      </c>
      <c r="F311" t="inlineStr">
        <is>
          <t>VÄSTERNORRLANDS LÄN</t>
        </is>
      </c>
      <c r="G311" t="inlineStr">
        <is>
          <t>HÄRNÖSAND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46299</v>
      </c>
      <c r="F312" t="inlineStr">
        <is>
          <t>VÄSTERNORRLANDS LÄN</t>
        </is>
      </c>
      <c r="G312" t="inlineStr">
        <is>
          <t>HÄRNÖSAND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46299</v>
      </c>
      <c r="F313" t="inlineStr">
        <is>
          <t>VÄSTERNORRLANDS LÄN</t>
        </is>
      </c>
      <c r="G313" t="inlineStr">
        <is>
          <t>HÄRNÖSAND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46299</v>
      </c>
      <c r="F314" t="inlineStr">
        <is>
          <t>VÄSTERNORRLANDS LÄN</t>
        </is>
      </c>
      <c r="G314" t="inlineStr">
        <is>
          <t>HÄRNÖSAND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46299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45825</v>
      </c>
      <c r="E316" s="1" t="n">
        <v>46299</v>
      </c>
      <c r="F316" t="inlineStr">
        <is>
          <t>VÄSTERNORRLANDS LÄN</t>
        </is>
      </c>
      <c r="G316" t="inlineStr">
        <is>
          <t>HÄRNÖSAND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45825</v>
      </c>
      <c r="E317" s="1" t="n">
        <v>46299</v>
      </c>
      <c r="F317" t="inlineStr">
        <is>
          <t>VÄSTERNORRLANDS LÄN</t>
        </is>
      </c>
      <c r="G317" t="inlineStr">
        <is>
          <t>HÄRNÖSAND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46299</v>
      </c>
      <c r="F318" t="inlineStr">
        <is>
          <t>VÄSTERNORRLANDS LÄN</t>
        </is>
      </c>
      <c r="G318" t="inlineStr">
        <is>
          <t>HÄRNÖSAND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46299</v>
      </c>
      <c r="F319" t="inlineStr">
        <is>
          <t>VÄSTERNORRLANDS LÄN</t>
        </is>
      </c>
      <c r="G319" t="inlineStr">
        <is>
          <t>HÄRNÖSAND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46299</v>
      </c>
      <c r="F320" t="inlineStr">
        <is>
          <t>VÄSTERNORRLANDS LÄN</t>
        </is>
      </c>
      <c r="G320" t="inlineStr">
        <is>
          <t>HÄRNÖSAND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8411-2024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45352</v>
      </c>
      <c r="E321" s="1" t="n">
        <v>46299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46299</v>
      </c>
      <c r="F322" t="inlineStr">
        <is>
          <t>VÄSTERNORRLANDS LÄN</t>
        </is>
      </c>
      <c r="G322" t="inlineStr">
        <is>
          <t>HÄRNÖSAND</t>
        </is>
      </c>
      <c r="I322" t="n">
        <v>10.8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46299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46299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45730</v>
      </c>
      <c r="E325" s="1" t="n">
        <v>46299</v>
      </c>
      <c r="F325" t="inlineStr">
        <is>
          <t>VÄSTERNORRLANDS LÄN</t>
        </is>
      </c>
      <c r="G325" t="inlineStr">
        <is>
          <t>HÄRNÖSAND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46122</v>
      </c>
      <c r="E326" s="1" t="n">
        <v>46299</v>
      </c>
      <c r="F326" t="inlineStr">
        <is>
          <t>VÄSTERNORRLANDS LÄN</t>
        </is>
      </c>
      <c r="G326" t="inlineStr">
        <is>
          <t>HÄRNÖSAND</t>
        </is>
      </c>
      <c r="I326" t="n">
        <v>8.300000000000001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46299</v>
      </c>
      <c r="F327" t="inlineStr">
        <is>
          <t>VÄSTERNORRLANDS LÄN</t>
        </is>
      </c>
      <c r="G327" t="inlineStr">
        <is>
          <t>HÄRNÖSAND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46299</v>
      </c>
      <c r="F328" t="inlineStr">
        <is>
          <t>VÄSTERNORRLANDS LÄN</t>
        </is>
      </c>
      <c r="G328" t="inlineStr">
        <is>
          <t>HÄRNÖSAND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46299</v>
      </c>
      <c r="F329" t="inlineStr">
        <is>
          <t>VÄSTERNORRLANDS LÄN</t>
        </is>
      </c>
      <c r="G329" t="inlineStr">
        <is>
          <t>HÄRNÖSAND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45126</v>
      </c>
      <c r="E330" s="1" t="n">
        <v>46299</v>
      </c>
      <c r="F330" t="inlineStr">
        <is>
          <t>VÄSTERNORRLANDS LÄN</t>
        </is>
      </c>
      <c r="G330" t="inlineStr">
        <is>
          <t>HÄRNÖSAND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46299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Kyrkan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59408-2024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45638</v>
      </c>
      <c r="E332" s="1" t="n">
        <v>46299</v>
      </c>
      <c r="F332" t="inlineStr">
        <is>
          <t>VÄSTERNORRLANDS LÄN</t>
        </is>
      </c>
      <c r="G332" t="inlineStr">
        <is>
          <t>HÄRNÖSAND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46299</v>
      </c>
      <c r="F333" t="inlineStr">
        <is>
          <t>VÄSTERNORRLANDS LÄN</t>
        </is>
      </c>
      <c r="G333" t="inlineStr">
        <is>
          <t>HÄRNÖSAND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46299</v>
      </c>
      <c r="F334" t="inlineStr">
        <is>
          <t>VÄSTERNORRLANDS LÄN</t>
        </is>
      </c>
      <c r="G334" t="inlineStr">
        <is>
          <t>HÄRNÖSAND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46299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45293</v>
      </c>
      <c r="E336" s="1" t="n">
        <v>46299</v>
      </c>
      <c r="F336" t="inlineStr">
        <is>
          <t>VÄSTERNORRLANDS LÄN</t>
        </is>
      </c>
      <c r="G336" t="inlineStr">
        <is>
          <t>HÄRNÖSAND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45180</v>
      </c>
      <c r="E337" s="1" t="n">
        <v>46299</v>
      </c>
      <c r="F337" t="inlineStr">
        <is>
          <t>VÄSTERNORRLANDS LÄN</t>
        </is>
      </c>
      <c r="G337" t="inlineStr">
        <is>
          <t>HÄRNÖSAND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46299</v>
      </c>
      <c r="F338" t="inlineStr">
        <is>
          <t>VÄSTERNORRLANDS LÄN</t>
        </is>
      </c>
      <c r="G338" t="inlineStr">
        <is>
          <t>HÄRNÖSAND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46299</v>
      </c>
      <c r="F339" t="inlineStr">
        <is>
          <t>VÄSTERNORRLANDS LÄN</t>
        </is>
      </c>
      <c r="G339" t="inlineStr">
        <is>
          <t>HÄRNÖSAND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46299</v>
      </c>
      <c r="F340" t="inlineStr">
        <is>
          <t>VÄSTERNORRLANDS LÄN</t>
        </is>
      </c>
      <c r="G340" t="inlineStr">
        <is>
          <t>HÄRNÖSAND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46299</v>
      </c>
      <c r="F341" t="inlineStr">
        <is>
          <t>VÄSTERNORRLANDS LÄN</t>
        </is>
      </c>
      <c r="G341" t="inlineStr">
        <is>
          <t>HÄRNÖSAND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46133</v>
      </c>
      <c r="E342" s="1" t="n">
        <v>46299</v>
      </c>
      <c r="F342" t="inlineStr">
        <is>
          <t>VÄSTERNORRLANDS LÄN</t>
        </is>
      </c>
      <c r="G342" t="inlineStr">
        <is>
          <t>HÄRNÖSAND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46299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46299</v>
      </c>
      <c r="F344" t="inlineStr">
        <is>
          <t>VÄSTERNORRLANDS LÄN</t>
        </is>
      </c>
      <c r="G344" t="inlineStr">
        <is>
          <t>HÄRNÖSAND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46299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46299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46299</v>
      </c>
      <c r="F347" t="inlineStr">
        <is>
          <t>VÄSTERNORRLANDS LÄN</t>
        </is>
      </c>
      <c r="G347" t="inlineStr">
        <is>
          <t>HÄRNÖSAND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31305-2025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46299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40237-2023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45168</v>
      </c>
      <c r="E349" s="1" t="n">
        <v>46299</v>
      </c>
      <c r="F349" t="inlineStr">
        <is>
          <t>VÄSTERNORRLANDS LÄN</t>
        </is>
      </c>
      <c r="G349" t="inlineStr">
        <is>
          <t>HÄRNÖSAND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45833</v>
      </c>
      <c r="E350" s="1" t="n">
        <v>46299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45293</v>
      </c>
      <c r="E351" s="1" t="n">
        <v>46299</v>
      </c>
      <c r="F351" t="inlineStr">
        <is>
          <t>VÄSTERNORRLANDS LÄN</t>
        </is>
      </c>
      <c r="G351" t="inlineStr">
        <is>
          <t>HÄRNÖSAND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46299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46299</v>
      </c>
      <c r="F353" t="inlineStr">
        <is>
          <t>VÄSTERNORRLANDS LÄN</t>
        </is>
      </c>
      <c r="G353" t="inlineStr">
        <is>
          <t>HÄRNÖSAND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46299</v>
      </c>
      <c r="F354" t="inlineStr">
        <is>
          <t>VÄSTERNORRLANDS LÄN</t>
        </is>
      </c>
      <c r="G354" t="inlineStr">
        <is>
          <t>HÄRNÖSAND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46299</v>
      </c>
      <c r="F355" t="inlineStr">
        <is>
          <t>VÄSTERNORRLANDS LÄN</t>
        </is>
      </c>
      <c r="G355" t="inlineStr">
        <is>
          <t>HÄRNÖSAND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46299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45837</v>
      </c>
      <c r="E357" s="1" t="n">
        <v>46299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46299</v>
      </c>
      <c r="F358" t="inlineStr">
        <is>
          <t>VÄSTERNORRLANDS LÄN</t>
        </is>
      </c>
      <c r="G358" t="inlineStr">
        <is>
          <t>HÄRNÖSAND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45168</v>
      </c>
      <c r="E359" s="1" t="n">
        <v>46299</v>
      </c>
      <c r="F359" t="inlineStr">
        <is>
          <t>VÄSTERNORRLANDS LÄN</t>
        </is>
      </c>
      <c r="G359" t="inlineStr">
        <is>
          <t>HÄRNÖSAND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46299</v>
      </c>
      <c r="F360" t="inlineStr">
        <is>
          <t>VÄSTERNORRLANDS LÄN</t>
        </is>
      </c>
      <c r="G360" t="inlineStr">
        <is>
          <t>HÄRNÖSAND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45072</v>
      </c>
      <c r="E361" s="1" t="n">
        <v>46299</v>
      </c>
      <c r="F361" t="inlineStr">
        <is>
          <t>VÄSTERNORRLANDS LÄN</t>
        </is>
      </c>
      <c r="G361" t="inlineStr">
        <is>
          <t>HÄRNÖSAND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44936</v>
      </c>
      <c r="E362" s="1" t="n">
        <v>46299</v>
      </c>
      <c r="F362" t="inlineStr">
        <is>
          <t>VÄSTERNORRLANDS LÄN</t>
        </is>
      </c>
      <c r="G362" t="inlineStr">
        <is>
          <t>HÄRNÖSAND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46299</v>
      </c>
      <c r="F363" t="inlineStr">
        <is>
          <t>VÄSTERNORRLANDS LÄN</t>
        </is>
      </c>
      <c r="G363" t="inlineStr">
        <is>
          <t>HÄRNÖSAND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45749</v>
      </c>
      <c r="E364" s="1" t="n">
        <v>46299</v>
      </c>
      <c r="F364" t="inlineStr">
        <is>
          <t>VÄSTERNORRLANDS LÄN</t>
        </is>
      </c>
      <c r="G364" t="inlineStr">
        <is>
          <t>HÄRNÖSAND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46299</v>
      </c>
      <c r="F365" t="inlineStr">
        <is>
          <t>VÄSTERNORRLANDS LÄN</t>
        </is>
      </c>
      <c r="G365" t="inlineStr">
        <is>
          <t>HÄRNÖSAND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46299</v>
      </c>
      <c r="F366" t="inlineStr">
        <is>
          <t>VÄSTERNORRLANDS LÄN</t>
        </is>
      </c>
      <c r="G366" t="inlineStr">
        <is>
          <t>HÄRNÖSAND</t>
        </is>
      </c>
      <c r="I366" t="n">
        <v>10.3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34736-2025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45848</v>
      </c>
      <c r="E367" s="1" t="n">
        <v>46299</v>
      </c>
      <c r="F367" t="inlineStr">
        <is>
          <t>VÄSTERNORRLANDS LÄN</t>
        </is>
      </c>
      <c r="G367" t="inlineStr">
        <is>
          <t>HÄRNÖSAND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34751-2025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45848</v>
      </c>
      <c r="E368" s="1" t="n">
        <v>46299</v>
      </c>
      <c r="F368" t="inlineStr">
        <is>
          <t>VÄSTERNORRLANDS LÄN</t>
        </is>
      </c>
      <c r="G368" t="inlineStr">
        <is>
          <t>HÄRNÖSAND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44971</v>
      </c>
      <c r="E369" s="1" t="n">
        <v>46299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45489</v>
      </c>
      <c r="E370" s="1" t="n">
        <v>46299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45853</v>
      </c>
      <c r="E371" s="1" t="n">
        <v>46299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44791</v>
      </c>
      <c r="E372" s="1" t="n">
        <v>46299</v>
      </c>
      <c r="F372" t="inlineStr">
        <is>
          <t>VÄSTERNORRLANDS LÄN</t>
        </is>
      </c>
      <c r="G372" t="inlineStr">
        <is>
          <t>HÄRNÖSAND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63375-2023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46299</v>
      </c>
      <c r="F373" t="inlineStr">
        <is>
          <t>VÄSTERNORRLANDS LÄN</t>
        </is>
      </c>
      <c r="G373" t="inlineStr">
        <is>
          <t>HÄRNÖSAND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46299</v>
      </c>
      <c r="F374" t="inlineStr">
        <is>
          <t>VÄSTERNORRLANDS LÄN</t>
        </is>
      </c>
      <c r="G374" t="inlineStr">
        <is>
          <t>HÄRNÖSAND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45685</v>
      </c>
      <c r="E375" s="1" t="n">
        <v>46299</v>
      </c>
      <c r="F375" t="inlineStr">
        <is>
          <t>VÄSTERNORRLANDS LÄN</t>
        </is>
      </c>
      <c r="G375" t="inlineStr">
        <is>
          <t>HÄRNÖSAND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44973</v>
      </c>
      <c r="E376" s="1" t="n">
        <v>46299</v>
      </c>
      <c r="F376" t="inlineStr">
        <is>
          <t>VÄSTERNORRLANDS LÄN</t>
        </is>
      </c>
      <c r="G376" t="inlineStr">
        <is>
          <t>HÄRNÖSAND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46299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45189</v>
      </c>
      <c r="E378" s="1" t="n">
        <v>46299</v>
      </c>
      <c r="F378" t="inlineStr">
        <is>
          <t>VÄSTERNORRLANDS LÄN</t>
        </is>
      </c>
      <c r="G378" t="inlineStr">
        <is>
          <t>HÄRNÖSAND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45376</v>
      </c>
      <c r="E379" s="1" t="n">
        <v>46299</v>
      </c>
      <c r="F379" t="inlineStr">
        <is>
          <t>VÄSTERNORRLANDS LÄN</t>
        </is>
      </c>
      <c r="G379" t="inlineStr">
        <is>
          <t>HÄRNÖSAND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44869</v>
      </c>
      <c r="E380" s="1" t="n">
        <v>46299</v>
      </c>
      <c r="F380" t="inlineStr">
        <is>
          <t>VÄSTERNORRLANDS LÄN</t>
        </is>
      </c>
      <c r="G380" t="inlineStr">
        <is>
          <t>HÄRNÖSAND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46299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Kyrkan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45771</v>
      </c>
      <c r="E382" s="1" t="n">
        <v>46299</v>
      </c>
      <c r="F382" t="inlineStr">
        <is>
          <t>VÄSTERNORRLANDS LÄN</t>
        </is>
      </c>
      <c r="G382" t="inlineStr">
        <is>
          <t>HÄRNÖSAND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13611-2023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45006</v>
      </c>
      <c r="E383" s="1" t="n">
        <v>46299</v>
      </c>
      <c r="F383" t="inlineStr">
        <is>
          <t>VÄSTERNORRLANDS LÄN</t>
        </is>
      </c>
      <c r="G383" t="inlineStr">
        <is>
          <t>HÄRNÖSAND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45741</v>
      </c>
      <c r="E384" s="1" t="n">
        <v>46299</v>
      </c>
      <c r="F384" t="inlineStr">
        <is>
          <t>VÄSTERNORRLANDS LÄN</t>
        </is>
      </c>
      <c r="G384" t="inlineStr">
        <is>
          <t>HÄRNÖSAND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45428</v>
      </c>
      <c r="E385" s="1" t="n">
        <v>46299</v>
      </c>
      <c r="F385" t="inlineStr">
        <is>
          <t>VÄSTERNORRLANDS LÄN</t>
        </is>
      </c>
      <c r="G385" t="inlineStr">
        <is>
          <t>HÄRNÖSAND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42197-2024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45562</v>
      </c>
      <c r="E386" s="1" t="n">
        <v>46299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42348-2025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45904</v>
      </c>
      <c r="E387" s="1" t="n">
        <v>46299</v>
      </c>
      <c r="F387" t="inlineStr">
        <is>
          <t>VÄSTERNORRLANDS LÄN</t>
        </is>
      </c>
      <c r="G387" t="inlineStr">
        <is>
          <t>HÄRNÖSAND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45793</v>
      </c>
      <c r="E388" s="1" t="n">
        <v>46299</v>
      </c>
      <c r="F388" t="inlineStr">
        <is>
          <t>VÄSTERNORRLANDS LÄN</t>
        </is>
      </c>
      <c r="G388" t="inlineStr">
        <is>
          <t>HÄRNÖSAND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46299</v>
      </c>
      <c r="F389" t="inlineStr">
        <is>
          <t>VÄSTERNORRLANDS LÄN</t>
        </is>
      </c>
      <c r="G389" t="inlineStr">
        <is>
          <t>HÄRNÖSAND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45409</v>
      </c>
      <c r="E390" s="1" t="n">
        <v>46299</v>
      </c>
      <c r="F390" t="inlineStr">
        <is>
          <t>VÄSTERNORRLANDS LÄN</t>
        </is>
      </c>
      <c r="G390" t="inlineStr">
        <is>
          <t>HÄRNÖSAND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46299</v>
      </c>
      <c r="F391" t="inlineStr">
        <is>
          <t>VÄSTERNORRLANDS LÄN</t>
        </is>
      </c>
      <c r="G391" t="inlineStr">
        <is>
          <t>HÄRNÖSAND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45645</v>
      </c>
      <c r="E392" s="1" t="n">
        <v>46299</v>
      </c>
      <c r="F392" t="inlineStr">
        <is>
          <t>VÄSTERNORRLANDS LÄN</t>
        </is>
      </c>
      <c r="G392" t="inlineStr">
        <is>
          <t>HÄRNÖSAND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46299</v>
      </c>
      <c r="F393" t="inlineStr">
        <is>
          <t>VÄSTERNORRLANDS LÄN</t>
        </is>
      </c>
      <c r="G393" t="inlineStr">
        <is>
          <t>HÄRNÖSAND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45409</v>
      </c>
      <c r="E394" s="1" t="n">
        <v>46299</v>
      </c>
      <c r="F394" t="inlineStr">
        <is>
          <t>VÄSTERNORRLANDS LÄN</t>
        </is>
      </c>
      <c r="G394" t="inlineStr">
        <is>
          <t>HÄRNÖSAND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46299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46299</v>
      </c>
      <c r="F396" t="inlineStr">
        <is>
          <t>VÄSTERNORRLANDS LÄN</t>
        </is>
      </c>
      <c r="G396" t="inlineStr">
        <is>
          <t>HÄRNÖSAND</t>
        </is>
      </c>
      <c r="I396" t="n">
        <v>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45741</v>
      </c>
      <c r="E397" s="1" t="n">
        <v>46299</v>
      </c>
      <c r="F397" t="inlineStr">
        <is>
          <t>VÄSTERNORRLANDS LÄN</t>
        </is>
      </c>
      <c r="G397" t="inlineStr">
        <is>
          <t>HÄRNÖSAND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45523</v>
      </c>
      <c r="E398" s="1" t="n">
        <v>46299</v>
      </c>
      <c r="F398" t="inlineStr">
        <is>
          <t>VÄSTERNORRLANDS LÄN</t>
        </is>
      </c>
      <c r="G398" t="inlineStr">
        <is>
          <t>HÄRNÖSAND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45887</v>
      </c>
      <c r="E399" s="1" t="n">
        <v>46299</v>
      </c>
      <c r="F399" t="inlineStr">
        <is>
          <t>VÄSTERNORRLANDS LÄN</t>
        </is>
      </c>
      <c r="G399" t="inlineStr">
        <is>
          <t>HÄRNÖSAND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45840</v>
      </c>
      <c r="E400" s="1" t="n">
        <v>46299</v>
      </c>
      <c r="F400" t="inlineStr">
        <is>
          <t>VÄSTERNORRLANDS LÄN</t>
        </is>
      </c>
      <c r="G400" t="inlineStr">
        <is>
          <t>HÄRNÖSAND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46299</v>
      </c>
      <c r="F401" t="inlineStr">
        <is>
          <t>VÄSTERNORRLANDS LÄN</t>
        </is>
      </c>
      <c r="G401" t="inlineStr">
        <is>
          <t>HÄRNÖSAND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46299</v>
      </c>
      <c r="F402" t="inlineStr">
        <is>
          <t>VÄSTERNORRLANDS LÄN</t>
        </is>
      </c>
      <c r="G402" t="inlineStr">
        <is>
          <t>HÄRNÖSAND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46299</v>
      </c>
      <c r="F403" t="inlineStr">
        <is>
          <t>VÄSTERNORRLANDS LÄN</t>
        </is>
      </c>
      <c r="G403" t="inlineStr">
        <is>
          <t>HÄRNÖSAND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45147</v>
      </c>
      <c r="E404" s="1" t="n">
        <v>46299</v>
      </c>
      <c r="F404" t="inlineStr">
        <is>
          <t>VÄSTERNORRLANDS LÄN</t>
        </is>
      </c>
      <c r="G404" t="inlineStr">
        <is>
          <t>HÄRNÖSAND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45462</v>
      </c>
      <c r="E405" s="1" t="n">
        <v>46299</v>
      </c>
      <c r="F405" t="inlineStr">
        <is>
          <t>VÄSTERNORRLANDS LÄN</t>
        </is>
      </c>
      <c r="G405" t="inlineStr">
        <is>
          <t>HÄRNÖSAND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38379-2023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46299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45418</v>
      </c>
      <c r="E407" s="1" t="n">
        <v>46299</v>
      </c>
      <c r="F407" t="inlineStr">
        <is>
          <t>VÄSTERNORRLANDS LÄN</t>
        </is>
      </c>
      <c r="G407" t="inlineStr">
        <is>
          <t>HÄRNÖSAND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26976-2023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45091</v>
      </c>
      <c r="E408" s="1" t="n">
        <v>46299</v>
      </c>
      <c r="F408" t="inlineStr">
        <is>
          <t>VÄSTERNORRLANDS LÄN</t>
        </is>
      </c>
      <c r="G408" t="inlineStr">
        <is>
          <t>HÄRNÖSAND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44937</v>
      </c>
      <c r="E409" s="1" t="n">
        <v>46299</v>
      </c>
      <c r="F409" t="inlineStr">
        <is>
          <t>VÄSTERNORRLANDS LÄN</t>
        </is>
      </c>
      <c r="G409" t="inlineStr">
        <is>
          <t>HÄRNÖSAND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46299</v>
      </c>
      <c r="F410" t="inlineStr">
        <is>
          <t>VÄSTERNORRLANDS LÄN</t>
        </is>
      </c>
      <c r="G410" t="inlineStr">
        <is>
          <t>HÄRNÖSAND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46299</v>
      </c>
      <c r="F411" t="inlineStr">
        <is>
          <t>VÄSTERNORRLANDS LÄN</t>
        </is>
      </c>
      <c r="G411" t="inlineStr">
        <is>
          <t>HÄRNÖSAND</t>
        </is>
      </c>
      <c r="I411" t="n">
        <v>16.7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46299</v>
      </c>
      <c r="F412" t="inlineStr">
        <is>
          <t>VÄSTERNORRLANDS LÄN</t>
        </is>
      </c>
      <c r="G412" t="inlineStr">
        <is>
          <t>HÄRNÖSAND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11045-2025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45723</v>
      </c>
      <c r="E413" s="1" t="n">
        <v>46299</v>
      </c>
      <c r="F413" t="inlineStr">
        <is>
          <t>VÄSTERNORRLANDS LÄN</t>
        </is>
      </c>
      <c r="G413" t="inlineStr">
        <is>
          <t>HÄRNÖSAND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45733</v>
      </c>
      <c r="E414" s="1" t="n">
        <v>46299</v>
      </c>
      <c r="F414" t="inlineStr">
        <is>
          <t>VÄSTERNORRLANDS LÄN</t>
        </is>
      </c>
      <c r="G414" t="inlineStr">
        <is>
          <t>HÄRNÖSAND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45874</v>
      </c>
      <c r="E415" s="1" t="n">
        <v>46299</v>
      </c>
      <c r="F415" t="inlineStr">
        <is>
          <t>VÄSTERNORRLANDS LÄN</t>
        </is>
      </c>
      <c r="G415" t="inlineStr">
        <is>
          <t>HÄRNÖSAND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46299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46299</v>
      </c>
      <c r="F417" t="inlineStr">
        <is>
          <t>VÄSTERNORRLANDS LÄN</t>
        </is>
      </c>
      <c r="G417" t="inlineStr">
        <is>
          <t>HÄRNÖSAND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47224-2025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45930</v>
      </c>
      <c r="E418" s="1" t="n">
        <v>46299</v>
      </c>
      <c r="F418" t="inlineStr">
        <is>
          <t>VÄSTERNORRLANDS LÄN</t>
        </is>
      </c>
      <c r="G418" t="inlineStr">
        <is>
          <t>HÄRNÖSAND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45293</v>
      </c>
      <c r="E419" s="1" t="n">
        <v>46299</v>
      </c>
      <c r="F419" t="inlineStr">
        <is>
          <t>VÄSTERNORRLANDS LÄN</t>
        </is>
      </c>
      <c r="G419" t="inlineStr">
        <is>
          <t>HÄRNÖSAND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46299</v>
      </c>
      <c r="F420" t="inlineStr">
        <is>
          <t>VÄSTERNORRLANDS LÄN</t>
        </is>
      </c>
      <c r="G420" t="inlineStr">
        <is>
          <t>HÄRNÖSAND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46299</v>
      </c>
      <c r="F421" t="inlineStr">
        <is>
          <t>VÄSTERNORRLANDS LÄN</t>
        </is>
      </c>
      <c r="G421" t="inlineStr">
        <is>
          <t>HÄRNÖSAND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18885-2023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45044</v>
      </c>
      <c r="E422" s="1" t="n">
        <v>46299</v>
      </c>
      <c r="F422" t="inlineStr">
        <is>
          <t>VÄSTERNORRLANDS LÄN</t>
        </is>
      </c>
      <c r="G422" t="inlineStr">
        <is>
          <t>HÄRNÖSAND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44951</v>
      </c>
      <c r="E423" s="1" t="n">
        <v>46299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46299</v>
      </c>
      <c r="F424" t="inlineStr">
        <is>
          <t>VÄSTERNORRLANDS LÄN</t>
        </is>
      </c>
      <c r="G424" t="inlineStr">
        <is>
          <t>HÄRNÖSAND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46299</v>
      </c>
      <c r="F425" t="inlineStr">
        <is>
          <t>VÄSTERNORRLANDS LÄN</t>
        </is>
      </c>
      <c r="G425" t="inlineStr">
        <is>
          <t>HÄRNÖSAND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46161</v>
      </c>
      <c r="E426" s="1" t="n">
        <v>46299</v>
      </c>
      <c r="F426" t="inlineStr">
        <is>
          <t>VÄSTERNORRLANDS LÄN</t>
        </is>
      </c>
      <c r="G426" t="inlineStr">
        <is>
          <t>HÄRNÖSAND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45786</v>
      </c>
      <c r="E427" s="1" t="n">
        <v>46299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31.8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45790</v>
      </c>
      <c r="E428" s="1" t="n">
        <v>46299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31.8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45874</v>
      </c>
      <c r="E429" s="1" t="n">
        <v>46299</v>
      </c>
      <c r="F429" t="inlineStr">
        <is>
          <t>VÄSTERNORRLANDS LÄN</t>
        </is>
      </c>
      <c r="G429" t="inlineStr">
        <is>
          <t>HÄRNÖSAND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46299</v>
      </c>
      <c r="F430" t="inlineStr">
        <is>
          <t>VÄSTERNORRLANDS LÄN</t>
        </is>
      </c>
      <c r="G430" t="inlineStr">
        <is>
          <t>HÄRNÖSAND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46299</v>
      </c>
      <c r="F431" t="inlineStr">
        <is>
          <t>VÄSTERNORRLANDS LÄN</t>
        </is>
      </c>
      <c r="G431" t="inlineStr">
        <is>
          <t>HÄRNÖSAND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46299</v>
      </c>
      <c r="F432" t="inlineStr">
        <is>
          <t>VÄSTERNORRLANDS LÄN</t>
        </is>
      </c>
      <c r="G432" t="inlineStr">
        <is>
          <t>HÄRNÖSAND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46299</v>
      </c>
      <c r="F433" t="inlineStr">
        <is>
          <t>VÄSTERNORRLANDS LÄN</t>
        </is>
      </c>
      <c r="G433" t="inlineStr">
        <is>
          <t>HÄRNÖSAND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46299</v>
      </c>
      <c r="F434" t="inlineStr">
        <is>
          <t>VÄSTERNORRLANDS LÄN</t>
        </is>
      </c>
      <c r="G434" t="inlineStr">
        <is>
          <t>HÄRNÖSAND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44897</v>
      </c>
      <c r="E435" s="1" t="n">
        <v>46299</v>
      </c>
      <c r="F435" t="inlineStr">
        <is>
          <t>VÄSTERNORRLANDS LÄN</t>
        </is>
      </c>
      <c r="G435" t="inlineStr">
        <is>
          <t>HÄRNÖSAND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46299</v>
      </c>
      <c r="F436" t="inlineStr">
        <is>
          <t>VÄSTERNORRLANDS LÄN</t>
        </is>
      </c>
      <c r="G436" t="inlineStr">
        <is>
          <t>HÄRNÖSAND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46299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45044</v>
      </c>
      <c r="E438" s="1" t="n">
        <v>46299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12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46299</v>
      </c>
      <c r="F439" t="inlineStr">
        <is>
          <t>VÄSTERNORRLANDS LÄN</t>
        </is>
      </c>
      <c r="G439" t="inlineStr">
        <is>
          <t>HÄRNÖSAND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46299</v>
      </c>
      <c r="F440" t="inlineStr">
        <is>
          <t>VÄSTERNORRLANDS LÄN</t>
        </is>
      </c>
      <c r="G440" t="inlineStr">
        <is>
          <t>HÄRNÖSAND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46299</v>
      </c>
      <c r="F441" t="inlineStr">
        <is>
          <t>VÄSTERNORRLANDS LÄN</t>
        </is>
      </c>
      <c r="G441" t="inlineStr">
        <is>
          <t>HÄRNÖSAND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46299</v>
      </c>
      <c r="F442" t="inlineStr">
        <is>
          <t>VÄSTERNORRLANDS LÄN</t>
        </is>
      </c>
      <c r="G442" t="inlineStr">
        <is>
          <t>HÄRNÖSAND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44732</v>
      </c>
      <c r="E443" s="1" t="n">
        <v>46299</v>
      </c>
      <c r="F443" t="inlineStr">
        <is>
          <t>VÄSTERNORRLANDS LÄN</t>
        </is>
      </c>
      <c r="G443" t="inlineStr">
        <is>
          <t>HÄRNÖSAND</t>
        </is>
      </c>
      <c r="I443" t="n">
        <v>18.7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44596</v>
      </c>
      <c r="E444" s="1" t="n">
        <v>46299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Övriga statliga verk och myndigheter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46299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45512</v>
      </c>
      <c r="E446" s="1" t="n">
        <v>46299</v>
      </c>
      <c r="F446" t="inlineStr">
        <is>
          <t>VÄSTERNORRLANDS LÄN</t>
        </is>
      </c>
      <c r="G446" t="inlineStr">
        <is>
          <t>HÄRNÖSAND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46299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46299</v>
      </c>
      <c r="F448" t="inlineStr">
        <is>
          <t>VÄSTERNORRLANDS LÄN</t>
        </is>
      </c>
      <c r="G448" t="inlineStr">
        <is>
          <t>HÄRNÖSAND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45880</v>
      </c>
      <c r="E449" s="1" t="n">
        <v>46299</v>
      </c>
      <c r="F449" t="inlineStr">
        <is>
          <t>VÄSTERNORRLANDS LÄN</t>
        </is>
      </c>
      <c r="G449" t="inlineStr">
        <is>
          <t>HÄRNÖSAND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46299</v>
      </c>
      <c r="F450" t="inlineStr">
        <is>
          <t>VÄSTERNORRLANDS LÄN</t>
        </is>
      </c>
      <c r="G450" t="inlineStr">
        <is>
          <t>HÄRNÖSAND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46299</v>
      </c>
      <c r="F451" t="inlineStr">
        <is>
          <t>VÄSTERNORRLANDS LÄN</t>
        </is>
      </c>
      <c r="G451" t="inlineStr">
        <is>
          <t>HÄRNÖSAND</t>
        </is>
      </c>
      <c r="I451" t="n">
        <v>13.8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46299</v>
      </c>
      <c r="F452" t="inlineStr">
        <is>
          <t>VÄSTERNORRLANDS LÄN</t>
        </is>
      </c>
      <c r="G452" t="inlineStr">
        <is>
          <t>HÄRNÖSAND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46299</v>
      </c>
      <c r="F453" t="inlineStr">
        <is>
          <t>VÄSTERNORRLANDS LÄN</t>
        </is>
      </c>
      <c r="G453" t="inlineStr">
        <is>
          <t>HÄRNÖSAND</t>
        </is>
      </c>
      <c r="I453" t="n">
        <v>12.3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46299</v>
      </c>
      <c r="F454" t="inlineStr">
        <is>
          <t>VÄSTERNORRLANDS LÄN</t>
        </is>
      </c>
      <c r="G454" t="inlineStr">
        <is>
          <t>HÄRNÖSAND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46299</v>
      </c>
      <c r="F455" t="inlineStr">
        <is>
          <t>VÄSTERNORRLANDS LÄN</t>
        </is>
      </c>
      <c r="G455" t="inlineStr">
        <is>
          <t>HÄRNÖSAND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46299</v>
      </c>
      <c r="F456" t="inlineStr">
        <is>
          <t>VÄSTERNORRLANDS LÄN</t>
        </is>
      </c>
      <c r="G456" t="inlineStr">
        <is>
          <t>HÄRNÖSAND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46299</v>
      </c>
      <c r="F457" t="inlineStr">
        <is>
          <t>VÄSTERNORRLANDS LÄN</t>
        </is>
      </c>
      <c r="G457" t="inlineStr">
        <is>
          <t>HÄRNÖSAND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45329</v>
      </c>
      <c r="E458" s="1" t="n">
        <v>46299</v>
      </c>
      <c r="F458" t="inlineStr">
        <is>
          <t>VÄSTERNORRLANDS LÄN</t>
        </is>
      </c>
      <c r="G458" t="inlineStr">
        <is>
          <t>HÄRNÖSAND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43266-2025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46299</v>
      </c>
      <c r="F459" t="inlineStr">
        <is>
          <t>VÄSTERNORRLANDS LÄN</t>
        </is>
      </c>
      <c r="G459" t="inlineStr">
        <is>
          <t>HÄRNÖSAND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46299</v>
      </c>
      <c r="F460" t="inlineStr">
        <is>
          <t>VÄSTERNORRLANDS LÄN</t>
        </is>
      </c>
      <c r="G460" t="inlineStr">
        <is>
          <t>HÄRNÖSAND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46165</v>
      </c>
      <c r="E461" s="1" t="n">
        <v>46299</v>
      </c>
      <c r="F461" t="inlineStr">
        <is>
          <t>VÄSTERNORRLANDS LÄN</t>
        </is>
      </c>
      <c r="G461" t="inlineStr">
        <is>
          <t>HÄRNÖSAND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46299</v>
      </c>
      <c r="F462" t="inlineStr">
        <is>
          <t>VÄSTERNORRLANDS LÄN</t>
        </is>
      </c>
      <c r="G462" t="inlineStr">
        <is>
          <t>HÄRNÖSAND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46299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46299</v>
      </c>
      <c r="F464" t="inlineStr">
        <is>
          <t>VÄSTERNORRLANDS LÄN</t>
        </is>
      </c>
      <c r="G464" t="inlineStr">
        <is>
          <t>HÄRNÖSAND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46299</v>
      </c>
      <c r="F465" t="inlineStr">
        <is>
          <t>VÄSTERNORRLANDS LÄN</t>
        </is>
      </c>
      <c r="G465" t="inlineStr">
        <is>
          <t>HÄRNÖSAND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46299</v>
      </c>
      <c r="F466" t="inlineStr">
        <is>
          <t>VÄSTERNORRLANDS LÄN</t>
        </is>
      </c>
      <c r="G466" t="inlineStr">
        <is>
          <t>HÄRNÖSAND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46299</v>
      </c>
      <c r="F467" t="inlineStr">
        <is>
          <t>VÄSTERNORRLANDS LÄN</t>
        </is>
      </c>
      <c r="G467" t="inlineStr">
        <is>
          <t>HÄRNÖSAND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46299</v>
      </c>
      <c r="F468" t="inlineStr">
        <is>
          <t>VÄSTERNORRLANDS LÄN</t>
        </is>
      </c>
      <c r="G468" t="inlineStr">
        <is>
          <t>HÄRNÖSAND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46299</v>
      </c>
      <c r="F469" t="inlineStr">
        <is>
          <t>VÄSTERNORRLANDS LÄN</t>
        </is>
      </c>
      <c r="G469" t="inlineStr">
        <is>
          <t>HÄRNÖSAND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46178</v>
      </c>
      <c r="E470" s="1" t="n">
        <v>46299</v>
      </c>
      <c r="F470" t="inlineStr">
        <is>
          <t>VÄSTERNORRLANDS LÄN</t>
        </is>
      </c>
      <c r="G470" t="inlineStr">
        <is>
          <t>HÄRNÖSAND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38926-2025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45887</v>
      </c>
      <c r="E471" s="1" t="n">
        <v>46299</v>
      </c>
      <c r="F471" t="inlineStr">
        <is>
          <t>VÄSTERNORRLANDS LÄN</t>
        </is>
      </c>
      <c r="G471" t="inlineStr">
        <is>
          <t>HÄRNÖSAND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54091-2024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45616</v>
      </c>
      <c r="E472" s="1" t="n">
        <v>46299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38567-2025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45884</v>
      </c>
      <c r="E473" s="1" t="n">
        <v>46299</v>
      </c>
      <c r="F473" t="inlineStr">
        <is>
          <t>VÄSTERNORRLANDS LÄN</t>
        </is>
      </c>
      <c r="G473" t="inlineStr">
        <is>
          <t>HÄRNÖSAND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45320</v>
      </c>
      <c r="E474" s="1" t="n">
        <v>46299</v>
      </c>
      <c r="F474" t="inlineStr">
        <is>
          <t>VÄSTERNORRLANDS LÄN</t>
        </is>
      </c>
      <c r="G474" t="inlineStr">
        <is>
          <t>HÄRNÖSAND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46177</v>
      </c>
      <c r="E475" s="1" t="n">
        <v>46299</v>
      </c>
      <c r="F475" t="inlineStr">
        <is>
          <t>VÄSTERNORRLANDS LÄN</t>
        </is>
      </c>
      <c r="G475" t="inlineStr">
        <is>
          <t>HÄRNÖSAND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25974-2026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46299</v>
      </c>
      <c r="F476" t="inlineStr">
        <is>
          <t>VÄSTERNORRLANDS LÄN</t>
        </is>
      </c>
      <c r="G476" t="inlineStr">
        <is>
          <t>HÄRNÖSAND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46299</v>
      </c>
      <c r="F477" t="inlineStr">
        <is>
          <t>VÄSTERNORRLANDS LÄN</t>
        </is>
      </c>
      <c r="G477" t="inlineStr">
        <is>
          <t>HÄRNÖSAND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45035</v>
      </c>
      <c r="E478" s="1" t="n">
        <v>46299</v>
      </c>
      <c r="F478" t="inlineStr">
        <is>
          <t>VÄSTERNORRLANDS LÄN</t>
        </is>
      </c>
      <c r="G478" t="inlineStr">
        <is>
          <t>HÄRNÖSAND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39433-2023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46299</v>
      </c>
      <c r="F479" t="inlineStr">
        <is>
          <t>VÄSTERNORRLANDS LÄN</t>
        </is>
      </c>
      <c r="G479" t="inlineStr">
        <is>
          <t>HÄRNÖSAND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46299</v>
      </c>
      <c r="F480" t="inlineStr">
        <is>
          <t>VÄSTERNORRLANDS LÄN</t>
        </is>
      </c>
      <c r="G480" t="inlineStr">
        <is>
          <t>HÄRNÖSAND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44853</v>
      </c>
      <c r="E481" s="1" t="n">
        <v>46299</v>
      </c>
      <c r="F481" t="inlineStr">
        <is>
          <t>VÄSTERNORRLANDS LÄN</t>
        </is>
      </c>
      <c r="G481" t="inlineStr">
        <is>
          <t>HÄRNÖSAND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46299</v>
      </c>
      <c r="F482" t="inlineStr">
        <is>
          <t>VÄSTERNORRLANDS LÄN</t>
        </is>
      </c>
      <c r="G482" t="inlineStr">
        <is>
          <t>HÄRNÖSAND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45138</v>
      </c>
      <c r="E483" s="1" t="n">
        <v>46299</v>
      </c>
      <c r="F483" t="inlineStr">
        <is>
          <t>VÄSTERNORRLANDS LÄN</t>
        </is>
      </c>
      <c r="G483" t="inlineStr">
        <is>
          <t>HÄRNÖSAND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45800</v>
      </c>
      <c r="E484" s="1" t="n">
        <v>46299</v>
      </c>
      <c r="F484" t="inlineStr">
        <is>
          <t>VÄSTERNORRLANDS LÄN</t>
        </is>
      </c>
      <c r="G484" t="inlineStr">
        <is>
          <t>HÄRNÖSAND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46299</v>
      </c>
      <c r="F485" t="inlineStr">
        <is>
          <t>VÄSTERNORRLANDS LÄN</t>
        </is>
      </c>
      <c r="G485" t="inlineStr">
        <is>
          <t>HÄRNÖSAND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46299</v>
      </c>
      <c r="F486" t="inlineStr">
        <is>
          <t>VÄSTERNORRLANDS LÄN</t>
        </is>
      </c>
      <c r="G486" t="inlineStr">
        <is>
          <t>HÄRNÖSAND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46299</v>
      </c>
      <c r="F487" t="inlineStr">
        <is>
          <t>VÄSTERNORRLANDS LÄN</t>
        </is>
      </c>
      <c r="G487" t="inlineStr">
        <is>
          <t>HÄRNÖSAND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45531</v>
      </c>
      <c r="E488" s="1" t="n">
        <v>46299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44867</v>
      </c>
      <c r="E489" s="1" t="n">
        <v>46299</v>
      </c>
      <c r="F489" t="inlineStr">
        <is>
          <t>VÄSTERNORRLANDS LÄN</t>
        </is>
      </c>
      <c r="G489" t="inlineStr">
        <is>
          <t>HÄRNÖSAND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46299</v>
      </c>
      <c r="F490" t="inlineStr">
        <is>
          <t>VÄSTERNORRLANDS LÄN</t>
        </is>
      </c>
      <c r="G490" t="inlineStr">
        <is>
          <t>HÄRNÖSAND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46299</v>
      </c>
      <c r="F491" t="inlineStr">
        <is>
          <t>VÄSTERNORRLANDS LÄN</t>
        </is>
      </c>
      <c r="G491" t="inlineStr">
        <is>
          <t>HÄRNÖSAND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46299</v>
      </c>
      <c r="F492" t="inlineStr">
        <is>
          <t>VÄSTERNORRLANDS LÄN</t>
        </is>
      </c>
      <c r="G492" t="inlineStr">
        <is>
          <t>HÄRNÖSAND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46299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13605-2024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46299</v>
      </c>
      <c r="F494" t="inlineStr">
        <is>
          <t>VÄSTERNORRLANDS LÄN</t>
        </is>
      </c>
      <c r="G494" t="inlineStr">
        <is>
          <t>HÄRNÖSAND</t>
        </is>
      </c>
      <c r="I494" t="n">
        <v>14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45678</v>
      </c>
      <c r="E495" s="1" t="n">
        <v>46299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46299</v>
      </c>
      <c r="F496" t="inlineStr">
        <is>
          <t>VÄSTERNORRLANDS LÄN</t>
        </is>
      </c>
      <c r="G496" t="inlineStr">
        <is>
          <t>HÄRNÖSAND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46299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46299</v>
      </c>
      <c r="F498" t="inlineStr">
        <is>
          <t>VÄSTERNORRLANDS LÄN</t>
        </is>
      </c>
      <c r="G498" t="inlineStr">
        <is>
          <t>HÄRNÖSAND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46299</v>
      </c>
      <c r="F499" t="inlineStr">
        <is>
          <t>VÄSTERNORRLANDS LÄN</t>
        </is>
      </c>
      <c r="G499" t="inlineStr">
        <is>
          <t>HÄRNÖSAND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46299</v>
      </c>
      <c r="F500" t="inlineStr">
        <is>
          <t>VÄSTERNORRLANDS LÄN</t>
        </is>
      </c>
      <c r="G500" t="inlineStr">
        <is>
          <t>HÄRNÖSAND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46299</v>
      </c>
      <c r="F501" t="inlineStr">
        <is>
          <t>VÄSTERNORRLANDS LÄN</t>
        </is>
      </c>
      <c r="G501" t="inlineStr">
        <is>
          <t>HÄRNÖSAND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45072</v>
      </c>
      <c r="E502" s="1" t="n">
        <v>46299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Kyrkan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16979-2022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44676</v>
      </c>
      <c r="E503" s="1" t="n">
        <v>46299</v>
      </c>
      <c r="F503" t="inlineStr">
        <is>
          <t>VÄSTERNORRLANDS LÄN</t>
        </is>
      </c>
      <c r="G503" t="inlineStr">
        <is>
          <t>HÄRNÖSAND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14874-2023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45015</v>
      </c>
      <c r="E504" s="1" t="n">
        <v>46299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16237-2025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45749</v>
      </c>
      <c r="E505" s="1" t="n">
        <v>46299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46299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46299</v>
      </c>
      <c r="F507" t="inlineStr">
        <is>
          <t>VÄSTERNORRLANDS LÄN</t>
        </is>
      </c>
      <c r="G507" t="inlineStr">
        <is>
          <t>HÄRNÖSAND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46299</v>
      </c>
      <c r="F508" t="inlineStr">
        <is>
          <t>VÄSTERNORRLANDS LÄN</t>
        </is>
      </c>
      <c r="G508" t="inlineStr">
        <is>
          <t>HÄRNÖSAND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46299</v>
      </c>
      <c r="F509" t="inlineStr">
        <is>
          <t>VÄSTERNORRLANDS LÄN</t>
        </is>
      </c>
      <c r="G509" t="inlineStr">
        <is>
          <t>HÄRNÖSAND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46299</v>
      </c>
      <c r="F510" t="inlineStr">
        <is>
          <t>VÄSTERNORRLANDS LÄN</t>
        </is>
      </c>
      <c r="G510" t="inlineStr">
        <is>
          <t>HÄRNÖSAND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46299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46299</v>
      </c>
      <c r="F512" t="inlineStr">
        <is>
          <t>VÄSTERNORRLANDS LÄN</t>
        </is>
      </c>
      <c r="G512" t="inlineStr">
        <is>
          <t>HÄRNÖSAND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46299</v>
      </c>
      <c r="F513" t="inlineStr">
        <is>
          <t>VÄSTERNORRLANDS LÄN</t>
        </is>
      </c>
      <c r="G513" t="inlineStr">
        <is>
          <t>HÄRNÖSAND</t>
        </is>
      </c>
      <c r="I513" t="n">
        <v>14.6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45313</v>
      </c>
      <c r="E514" s="1" t="n">
        <v>46299</v>
      </c>
      <c r="F514" t="inlineStr">
        <is>
          <t>VÄSTERNORRLANDS LÄN</t>
        </is>
      </c>
      <c r="G514" t="inlineStr">
        <is>
          <t>HÄRNÖSAND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46299</v>
      </c>
      <c r="F515" t="inlineStr">
        <is>
          <t>VÄSTERNORRLANDS LÄN</t>
        </is>
      </c>
      <c r="G515" t="inlineStr">
        <is>
          <t>HÄRNÖSAND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46299</v>
      </c>
      <c r="F516" t="inlineStr">
        <is>
          <t>VÄSTERNORRLANDS LÄN</t>
        </is>
      </c>
      <c r="G516" t="inlineStr">
        <is>
          <t>HÄRNÖSAND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30017-2026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46299</v>
      </c>
      <c r="F517" t="inlineStr">
        <is>
          <t>VÄSTERNORRLANDS LÄN</t>
        </is>
      </c>
      <c r="G517" t="inlineStr">
        <is>
          <t>HÄRNÖSAND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46299</v>
      </c>
      <c r="F518" t="inlineStr">
        <is>
          <t>VÄSTERNORRLANDS LÄN</t>
        </is>
      </c>
      <c r="G518" t="inlineStr">
        <is>
          <t>HÄRNÖSAND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46299</v>
      </c>
      <c r="F519" t="inlineStr">
        <is>
          <t>VÄSTERNORRLANDS LÄN</t>
        </is>
      </c>
      <c r="G519" t="inlineStr">
        <is>
          <t>HÄRNÖSAND</t>
        </is>
      </c>
      <c r="I519" t="n">
        <v>7.9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45622</v>
      </c>
      <c r="E520" s="1" t="n">
        <v>46299</v>
      </c>
      <c r="F520" t="inlineStr">
        <is>
          <t>VÄSTERNORRLANDS LÄN</t>
        </is>
      </c>
      <c r="G520" t="inlineStr">
        <is>
          <t>HÄRNÖSAND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46209</v>
      </c>
      <c r="E521" s="1" t="n">
        <v>46299</v>
      </c>
      <c r="F521" t="inlineStr">
        <is>
          <t>VÄSTERNORRLANDS LÄN</t>
        </is>
      </c>
      <c r="G521" t="inlineStr">
        <is>
          <t>HÄRNÖSAND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46299</v>
      </c>
      <c r="F522" t="inlineStr">
        <is>
          <t>VÄSTERNORRLANDS LÄN</t>
        </is>
      </c>
      <c r="G522" t="inlineStr">
        <is>
          <t>HÄRNÖSAND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44971</v>
      </c>
      <c r="E523" s="1" t="n">
        <v>46299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46299</v>
      </c>
      <c r="F524" t="inlineStr">
        <is>
          <t>VÄSTERNORRLANDS LÄN</t>
        </is>
      </c>
      <c r="G524" t="inlineStr">
        <is>
          <t>HÄRNÖSAND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45148</v>
      </c>
      <c r="E525" s="1" t="n">
        <v>46299</v>
      </c>
      <c r="F525" t="inlineStr">
        <is>
          <t>VÄSTERNORRLANDS LÄN</t>
        </is>
      </c>
      <c r="G525" t="inlineStr">
        <is>
          <t>HÄRNÖSAND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46299</v>
      </c>
      <c r="F526" t="inlineStr">
        <is>
          <t>VÄSTERNORRLANDS LÄN</t>
        </is>
      </c>
      <c r="G526" t="inlineStr">
        <is>
          <t>HÄRNÖSAND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44845</v>
      </c>
      <c r="E527" s="1" t="n">
        <v>46299</v>
      </c>
      <c r="F527" t="inlineStr">
        <is>
          <t>VÄSTERNORRLANDS LÄN</t>
        </is>
      </c>
      <c r="G527" t="inlineStr">
        <is>
          <t>HÄRNÖSAND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45409</v>
      </c>
      <c r="E528" s="1" t="n">
        <v>46299</v>
      </c>
      <c r="F528" t="inlineStr">
        <is>
          <t>VÄSTERNORRLANDS LÄN</t>
        </is>
      </c>
      <c r="G528" t="inlineStr">
        <is>
          <t>HÄRNÖSAND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46299</v>
      </c>
      <c r="F529" t="inlineStr">
        <is>
          <t>VÄSTERNORRLANDS LÄN</t>
        </is>
      </c>
      <c r="G529" t="inlineStr">
        <is>
          <t>HÄRNÖSAND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44580</v>
      </c>
      <c r="E530" s="1" t="n">
        <v>46299</v>
      </c>
      <c r="F530" t="inlineStr">
        <is>
          <t>VÄSTERNORRLANDS LÄN</t>
        </is>
      </c>
      <c r="G530" t="inlineStr">
        <is>
          <t>HÄRNÖSAND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46215</v>
      </c>
      <c r="E531" s="1" t="n">
        <v>46299</v>
      </c>
      <c r="F531" t="inlineStr">
        <is>
          <t>VÄSTERNORRLANDS LÄN</t>
        </is>
      </c>
      <c r="G531" t="inlineStr">
        <is>
          <t>HÄRNÖSAND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46215</v>
      </c>
      <c r="E532" s="1" t="n">
        <v>46299</v>
      </c>
      <c r="F532" t="inlineStr">
        <is>
          <t>VÄSTERNORRLANDS LÄN</t>
        </is>
      </c>
      <c r="G532" t="inlineStr">
        <is>
          <t>HÄRNÖSAND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45348</v>
      </c>
      <c r="E533" s="1" t="n">
        <v>46299</v>
      </c>
      <c r="F533" t="inlineStr">
        <is>
          <t>VÄSTERNORRLANDS LÄN</t>
        </is>
      </c>
      <c r="G533" t="inlineStr">
        <is>
          <t>HÄRNÖSAND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46213</v>
      </c>
      <c r="E534" s="1" t="n">
        <v>46299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46299</v>
      </c>
      <c r="F535" t="inlineStr">
        <is>
          <t>VÄSTERNORRLANDS LÄN</t>
        </is>
      </c>
      <c r="G535" t="inlineStr">
        <is>
          <t>HÄRNÖSAND</t>
        </is>
      </c>
      <c r="I535" t="n">
        <v>13.6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44894</v>
      </c>
      <c r="E536" s="1" t="n">
        <v>46299</v>
      </c>
      <c r="F536" t="inlineStr">
        <is>
          <t>VÄSTERNORRLANDS LÄN</t>
        </is>
      </c>
      <c r="G536" t="inlineStr">
        <is>
          <t>HÄRNÖSAND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46299</v>
      </c>
      <c r="F537" t="inlineStr">
        <is>
          <t>VÄSTERNORRLANDS LÄN</t>
        </is>
      </c>
      <c r="G537" t="inlineStr">
        <is>
          <t>HÄRNÖSAND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45366</v>
      </c>
      <c r="E538" s="1" t="n">
        <v>46299</v>
      </c>
      <c r="F538" t="inlineStr">
        <is>
          <t>VÄSTERNORRLANDS LÄN</t>
        </is>
      </c>
      <c r="G538" t="inlineStr">
        <is>
          <t>HÄRNÖSAND</t>
        </is>
      </c>
      <c r="I538" t="n">
        <v>8.4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46219</v>
      </c>
      <c r="E539" s="1" t="n">
        <v>46299</v>
      </c>
      <c r="F539" t="inlineStr">
        <is>
          <t>VÄSTERNORRLANDS LÄN</t>
        </is>
      </c>
      <c r="G539" t="inlineStr">
        <is>
          <t>HÄRNÖSAND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46219</v>
      </c>
      <c r="E540" s="1" t="n">
        <v>46299</v>
      </c>
      <c r="F540" t="inlineStr">
        <is>
          <t>VÄSTERNORRLANDS LÄN</t>
        </is>
      </c>
      <c r="G540" t="inlineStr">
        <is>
          <t>HÄRNÖSAND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46299</v>
      </c>
      <c r="F541" t="inlineStr">
        <is>
          <t>VÄSTERNORRLANDS LÄN</t>
        </is>
      </c>
      <c r="G541" t="inlineStr">
        <is>
          <t>HÄRNÖSAND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46213</v>
      </c>
      <c r="E542" s="1" t="n">
        <v>46299</v>
      </c>
      <c r="F542" t="inlineStr">
        <is>
          <t>VÄSTERNORRLANDS LÄN</t>
        </is>
      </c>
      <c r="G542" t="inlineStr">
        <is>
          <t>HÄRNÖSAND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46299</v>
      </c>
      <c r="F543" t="inlineStr">
        <is>
          <t>VÄSTERNORRLANDS LÄN</t>
        </is>
      </c>
      <c r="G543" t="inlineStr">
        <is>
          <t>HÄRNÖSAND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59121-2023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46299</v>
      </c>
      <c r="F544" t="inlineStr">
        <is>
          <t>VÄSTERNORRLANDS LÄN</t>
        </is>
      </c>
      <c r="G544" t="inlineStr">
        <is>
          <t>HÄRNÖSAND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61102-2021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44498</v>
      </c>
      <c r="E545" s="1" t="n">
        <v>46299</v>
      </c>
      <c r="F545" t="inlineStr">
        <is>
          <t>VÄSTERNORRLANDS LÄN</t>
        </is>
      </c>
      <c r="G545" t="inlineStr">
        <is>
          <t>HÄRNÖSAND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45376</v>
      </c>
      <c r="E546" s="1" t="n">
        <v>46299</v>
      </c>
      <c r="F546" t="inlineStr">
        <is>
          <t>VÄSTERNORRLANDS LÄN</t>
        </is>
      </c>
      <c r="G546" t="inlineStr">
        <is>
          <t>HÄRNÖSAND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46299</v>
      </c>
      <c r="F547" t="inlineStr">
        <is>
          <t>VÄSTERNORRLANDS LÄN</t>
        </is>
      </c>
      <c r="G547" t="inlineStr">
        <is>
          <t>HÄRNÖSAND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46262</v>
      </c>
      <c r="E548" s="1" t="n">
        <v>46299</v>
      </c>
      <c r="F548" t="inlineStr">
        <is>
          <t>VÄSTERNORRLANDS LÄN</t>
        </is>
      </c>
      <c r="G548" t="inlineStr">
        <is>
          <t>HÄRNÖSAND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46299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22.1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50338-2022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44865</v>
      </c>
      <c r="E550" s="1" t="n">
        <v>46299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45699</v>
      </c>
      <c r="E551" s="1" t="n">
        <v>46299</v>
      </c>
      <c r="F551" t="inlineStr">
        <is>
          <t>VÄSTERNORRLANDS LÄN</t>
        </is>
      </c>
      <c r="G551" t="inlineStr">
        <is>
          <t>HÄRNÖSAND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18979-2023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45044</v>
      </c>
      <c r="E552" s="1" t="n">
        <v>46299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31408-2024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45502</v>
      </c>
      <c r="E553" s="1" t="n">
        <v>46299</v>
      </c>
      <c r="F553" t="inlineStr">
        <is>
          <t>VÄSTERNORRLANDS LÄN</t>
        </is>
      </c>
      <c r="G553" t="inlineStr">
        <is>
          <t>HÄRNÖSAND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24452-2022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44726</v>
      </c>
      <c r="E554" s="1" t="n">
        <v>46299</v>
      </c>
      <c r="F554" t="inlineStr">
        <is>
          <t>VÄSTERNORRLANDS LÄN</t>
        </is>
      </c>
      <c r="G554" t="inlineStr">
        <is>
          <t>HÄRNÖSAND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56165-2022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44889</v>
      </c>
      <c r="E555" s="1" t="n">
        <v>46299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46299</v>
      </c>
      <c r="F556" t="inlineStr">
        <is>
          <t>VÄSTERNORRLANDS LÄN</t>
        </is>
      </c>
      <c r="G556" t="inlineStr">
        <is>
          <t>HÄRNÖSAND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37246-2026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46274</v>
      </c>
      <c r="E557" s="1" t="n">
        <v>46299</v>
      </c>
      <c r="F557" t="inlineStr">
        <is>
          <t>VÄSTERNORRLANDS LÄN</t>
        </is>
      </c>
      <c r="G557" t="inlineStr">
        <is>
          <t>HÄRNÖSAND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46299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29813-2022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44755</v>
      </c>
      <c r="E559" s="1" t="n">
        <v>46299</v>
      </c>
      <c r="F559" t="inlineStr">
        <is>
          <t>VÄSTERNORRLANDS LÄN</t>
        </is>
      </c>
      <c r="G559" t="inlineStr">
        <is>
          <t>HÄRNÖSAND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54252-2022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44881</v>
      </c>
      <c r="E560" s="1" t="n">
        <v>46299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45194</v>
      </c>
      <c r="E561" s="1" t="n">
        <v>46299</v>
      </c>
      <c r="F561" t="inlineStr">
        <is>
          <t>VÄSTERNORRLANDS LÄN</t>
        </is>
      </c>
      <c r="G561" t="inlineStr">
        <is>
          <t>HÄRNÖSAND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32293-2026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46237</v>
      </c>
      <c r="E562" s="1" t="n">
        <v>46299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45505</v>
      </c>
      <c r="E563" s="1" t="n">
        <v>46299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46281</v>
      </c>
      <c r="E564" s="1" t="n">
        <v>46299</v>
      </c>
      <c r="F564" t="inlineStr">
        <is>
          <t>VÄSTERNORRLANDS LÄN</t>
        </is>
      </c>
      <c r="G564" t="inlineStr">
        <is>
          <t>HÄRNÖSAND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46320-2022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44847</v>
      </c>
      <c r="E565" s="1" t="n">
        <v>46299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Kyrkan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46299</v>
      </c>
      <c r="F566" t="inlineStr">
        <is>
          <t>VÄSTERNORRLANDS LÄN</t>
        </is>
      </c>
      <c r="G566" t="inlineStr">
        <is>
          <t>HÄRNÖSAND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44847</v>
      </c>
      <c r="E567" s="1" t="n">
        <v>46299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45723</v>
      </c>
      <c r="E568" s="1" t="n">
        <v>46299</v>
      </c>
      <c r="F568" t="inlineStr">
        <is>
          <t>VÄSTERNORRLANDS LÄN</t>
        </is>
      </c>
      <c r="G568" t="inlineStr">
        <is>
          <t>HÄRNÖSAND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29279-2024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45482</v>
      </c>
      <c r="E569" s="1" t="n">
        <v>46299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46299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46299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46299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46282</v>
      </c>
      <c r="E573" s="1" t="n">
        <v>46299</v>
      </c>
      <c r="F573" t="inlineStr">
        <is>
          <t>VÄSTERNORRLANDS LÄN</t>
        </is>
      </c>
      <c r="G573" t="inlineStr">
        <is>
          <t>HÄRNÖSAND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45390</v>
      </c>
      <c r="E574" s="1" t="n">
        <v>46299</v>
      </c>
      <c r="F574" t="inlineStr">
        <is>
          <t>VÄSTERNORRLANDS LÄN</t>
        </is>
      </c>
      <c r="G574" t="inlineStr">
        <is>
          <t>HÄRNÖSAND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44496</v>
      </c>
      <c r="E575" s="1" t="n">
        <v>46299</v>
      </c>
      <c r="F575" t="inlineStr">
        <is>
          <t>VÄSTERNORRLANDS LÄN</t>
        </is>
      </c>
      <c r="G575" t="inlineStr">
        <is>
          <t>HÄRNÖSAND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52987-2022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44875</v>
      </c>
      <c r="E576" s="1" t="n">
        <v>46299</v>
      </c>
      <c r="F576" t="inlineStr">
        <is>
          <t>VÄSTERNORRLANDS LÄN</t>
        </is>
      </c>
      <c r="G576" t="inlineStr">
        <is>
          <t>HÄRNÖSAND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69269-2021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44531</v>
      </c>
      <c r="E577" s="1" t="n">
        <v>46299</v>
      </c>
      <c r="F577" t="inlineStr">
        <is>
          <t>VÄSTERNORRLANDS LÄN</t>
        </is>
      </c>
      <c r="G577" t="inlineStr">
        <is>
          <t>HÄRNÖSAND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45729</v>
      </c>
      <c r="E578" s="1" t="n">
        <v>46299</v>
      </c>
      <c r="F578" t="inlineStr">
        <is>
          <t>VÄSTERNORRLANDS LÄN</t>
        </is>
      </c>
      <c r="G578" t="inlineStr">
        <is>
          <t>HÄRNÖSAND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46299</v>
      </c>
      <c r="F579" t="inlineStr">
        <is>
          <t>VÄSTERNORRLANDS LÄN</t>
        </is>
      </c>
      <c r="G579" t="inlineStr">
        <is>
          <t>HÄRNÖSAND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46299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45595</v>
      </c>
      <c r="E581" s="1" t="n">
        <v>46299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46299</v>
      </c>
      <c r="F582" t="inlineStr">
        <is>
          <t>VÄSTERNORRLANDS LÄN</t>
        </is>
      </c>
      <c r="G582" t="inlineStr">
        <is>
          <t>HÄRNÖSAND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46299</v>
      </c>
      <c r="F583" t="inlineStr">
        <is>
          <t>VÄSTERNORRLANDS LÄN</t>
        </is>
      </c>
      <c r="G583" t="inlineStr">
        <is>
          <t>HÄRNÖSAND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46299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23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38854-2026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46299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46299</v>
      </c>
      <c r="F586" t="inlineStr">
        <is>
          <t>VÄSTERNORRLANDS LÄN</t>
        </is>
      </c>
      <c r="G586" t="inlineStr">
        <is>
          <t>HÄRNÖSAND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46299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Kyrkan</t>
        </is>
      </c>
      <c r="I587" t="n">
        <v>24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46299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19827-2022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44694</v>
      </c>
      <c r="E589" s="1" t="n">
        <v>46299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46299</v>
      </c>
      <c r="F590" t="inlineStr">
        <is>
          <t>VÄSTERNORRLANDS LÄN</t>
        </is>
      </c>
      <c r="G590" t="inlineStr">
        <is>
          <t>HÄRNÖSAND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39390-2026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46299</v>
      </c>
      <c r="F591" t="inlineStr">
        <is>
          <t>VÄSTERNORRLANDS LÄN</t>
        </is>
      </c>
      <c r="G591" t="inlineStr">
        <is>
          <t>HÄRNÖSAND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46288</v>
      </c>
      <c r="E592" s="1" t="n">
        <v>46299</v>
      </c>
      <c r="F592" t="inlineStr">
        <is>
          <t>VÄSTERNORRLANDS LÄN</t>
        </is>
      </c>
      <c r="G592" t="inlineStr">
        <is>
          <t>HÄRNÖSAND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46286</v>
      </c>
      <c r="E593" s="1" t="n">
        <v>46299</v>
      </c>
      <c r="F593" t="inlineStr">
        <is>
          <t>VÄSTERNORRLANDS LÄN</t>
        </is>
      </c>
      <c r="G593" t="inlineStr">
        <is>
          <t>HÄRNÖSAND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27912-2022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46299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44806</v>
      </c>
      <c r="E595" s="1" t="n">
        <v>46299</v>
      </c>
      <c r="F595" t="inlineStr">
        <is>
          <t>VÄSTERNORRLANDS LÄN</t>
        </is>
      </c>
      <c r="G595" t="inlineStr">
        <is>
          <t>HÄRNÖSAND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44806</v>
      </c>
      <c r="E596" s="1" t="n">
        <v>46299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39395-2026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46288</v>
      </c>
      <c r="E597" s="1" t="n">
        <v>46299</v>
      </c>
      <c r="F597" t="inlineStr">
        <is>
          <t>VÄSTERNORRLANDS LÄN</t>
        </is>
      </c>
      <c r="G597" t="inlineStr">
        <is>
          <t>HÄRNÖSAND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45714</v>
      </c>
      <c r="E598" s="1" t="n">
        <v>46299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46248</v>
      </c>
      <c r="E599" s="1" t="n">
        <v>46299</v>
      </c>
      <c r="F599" t="inlineStr">
        <is>
          <t>VÄSTERNORRLANDS LÄN</t>
        </is>
      </c>
      <c r="G599" t="inlineStr">
        <is>
          <t>HÄRNÖSAND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44991</v>
      </c>
      <c r="E600" s="1" t="n">
        <v>46299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58869-2023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45250</v>
      </c>
      <c r="E601" s="1" t="n">
        <v>46299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45921-2024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46299</v>
      </c>
      <c r="F602" t="inlineStr">
        <is>
          <t>VÄSTERNORRLANDS LÄN</t>
        </is>
      </c>
      <c r="G602" t="inlineStr">
        <is>
          <t>HÄRNÖSAND</t>
        </is>
      </c>
      <c r="I602" t="n">
        <v>14.2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64749-2023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45281</v>
      </c>
      <c r="E603" s="1" t="n">
        <v>46299</v>
      </c>
      <c r="F603" t="inlineStr">
        <is>
          <t>VÄSTERNORRLANDS LÄN</t>
        </is>
      </c>
      <c r="G603" t="inlineStr">
        <is>
          <t>HÄRNÖSAND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44957</v>
      </c>
      <c r="E604" s="1" t="n">
        <v>46299</v>
      </c>
      <c r="F604" t="inlineStr">
        <is>
          <t>VÄSTERNORRLANDS LÄN</t>
        </is>
      </c>
      <c r="G604" t="inlineStr">
        <is>
          <t>HÄRNÖSAND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46299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46299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27977-2024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45476</v>
      </c>
      <c r="E607" s="1" t="n">
        <v>46299</v>
      </c>
      <c r="F607" t="inlineStr">
        <is>
          <t>VÄSTERNORRLANDS LÄN</t>
        </is>
      </c>
      <c r="G607" t="inlineStr">
        <is>
          <t>HÄRNÖSAND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45476</v>
      </c>
      <c r="E608" s="1" t="n">
        <v>46299</v>
      </c>
      <c r="F608" t="inlineStr">
        <is>
          <t>VÄSTERNORRLANDS LÄN</t>
        </is>
      </c>
      <c r="G608" t="inlineStr">
        <is>
          <t>HÄRNÖSAND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46299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46299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44855</v>
      </c>
      <c r="E611" s="1" t="n">
        <v>46299</v>
      </c>
      <c r="F611" t="inlineStr">
        <is>
          <t>VÄSTERNORRLANDS LÄN</t>
        </is>
      </c>
      <c r="G611" t="inlineStr">
        <is>
          <t>HÄRNÖSAND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40833-2026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46296</v>
      </c>
      <c r="E612" s="1" t="n">
        <v>46299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56395-2022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44890</v>
      </c>
      <c r="E613" s="1" t="n">
        <v>46299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Kyrkan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46296</v>
      </c>
      <c r="E614" s="1" t="n">
        <v>46299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40832-2026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46296</v>
      </c>
      <c r="E615" s="1" t="n">
        <v>46299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40797-2026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46296</v>
      </c>
      <c r="E616" s="1" t="n">
        <v>46299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41010-2026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46297</v>
      </c>
      <c r="E617" s="1" t="n">
        <v>46299</v>
      </c>
      <c r="F617" t="inlineStr">
        <is>
          <t>VÄSTERNORRLANDS LÄN</t>
        </is>
      </c>
      <c r="G617" t="inlineStr">
        <is>
          <t>HÄRNÖSAND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39369-2026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46288</v>
      </c>
      <c r="E618" s="1" t="n">
        <v>46299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44945</v>
      </c>
      <c r="E619" s="1" t="n">
        <v>46299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46297</v>
      </c>
      <c r="E620" s="1" t="n">
        <v>46299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Kyrkan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59034-2022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44903</v>
      </c>
      <c r="E621" s="1" t="n">
        <v>46299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46299</v>
      </c>
      <c r="F622" t="inlineStr">
        <is>
          <t>VÄSTERNORRLANDS LÄN</t>
        </is>
      </c>
      <c r="G622" t="inlineStr">
        <is>
          <t>HÄRNÖSAND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32418-2024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45512</v>
      </c>
      <c r="E623" s="1" t="n">
        <v>46299</v>
      </c>
      <c r="F623" t="inlineStr">
        <is>
          <t>VÄSTERNORRLANDS LÄN</t>
        </is>
      </c>
      <c r="G623" t="inlineStr">
        <is>
          <t>HÄRNÖSAND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45723</v>
      </c>
      <c r="E624" s="1" t="n">
        <v>46299</v>
      </c>
      <c r="F624" t="inlineStr">
        <is>
          <t>VÄSTERNORRLANDS LÄN</t>
        </is>
      </c>
      <c r="G624" t="inlineStr">
        <is>
          <t>HÄRNÖSAND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61574-2021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44497</v>
      </c>
      <c r="E625" s="1" t="n">
        <v>46299</v>
      </c>
      <c r="F625" t="inlineStr">
        <is>
          <t>VÄSTERNORRLANDS LÄN</t>
        </is>
      </c>
      <c r="G625" t="inlineStr">
        <is>
          <t>HÄRNÖSAND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62333-2021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44502</v>
      </c>
      <c r="E626" s="1" t="n">
        <v>46299</v>
      </c>
      <c r="F626" t="inlineStr">
        <is>
          <t>VÄSTERNORRLANDS LÄN</t>
        </is>
      </c>
      <c r="G626" t="inlineStr">
        <is>
          <t>HÄRNÖSAND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4092-2024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45323</v>
      </c>
      <c r="E627" s="1" t="n">
        <v>46299</v>
      </c>
      <c r="F627" t="inlineStr">
        <is>
          <t>VÄSTERNORRLANDS LÄN</t>
        </is>
      </c>
      <c r="G627" t="inlineStr">
        <is>
          <t>HÄRNÖSAND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45639</v>
      </c>
      <c r="E628" s="1" t="n">
        <v>46299</v>
      </c>
      <c r="F628" t="inlineStr">
        <is>
          <t>VÄSTERNORRLANDS LÄN</t>
        </is>
      </c>
      <c r="G628" t="inlineStr">
        <is>
          <t>HÄRNÖSAND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8220-2022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44609</v>
      </c>
      <c r="E629" s="1" t="n">
        <v>46299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Övriga statliga verk och myndigheter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44952</v>
      </c>
      <c r="E630" s="1" t="n">
        <v>46299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44747</v>
      </c>
      <c r="E631" s="1" t="n">
        <v>46299</v>
      </c>
      <c r="F631" t="inlineStr">
        <is>
          <t>VÄSTERNORRLANDS LÄN</t>
        </is>
      </c>
      <c r="G631" t="inlineStr">
        <is>
          <t>HÄRNÖSAND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46299</v>
      </c>
      <c r="F632" t="inlineStr">
        <is>
          <t>VÄSTERNORRLANDS LÄN</t>
        </is>
      </c>
      <c r="G632" t="inlineStr">
        <is>
          <t>HÄRNÖSAND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46299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57154-2024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46299</v>
      </c>
      <c r="F634" t="inlineStr">
        <is>
          <t>VÄSTERNORRLANDS LÄN</t>
        </is>
      </c>
      <c r="G634" t="inlineStr">
        <is>
          <t>HÄRNÖSAND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45000</v>
      </c>
      <c r="E635" s="1" t="n">
        <v>46299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45000</v>
      </c>
      <c r="E636" s="1" t="n">
        <v>46299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39954-2022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44819</v>
      </c>
      <c r="E637" s="1" t="n">
        <v>46299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18348-2025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45762</v>
      </c>
      <c r="E638" s="1" t="n">
        <v>46299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45163</v>
      </c>
      <c r="E639" s="1" t="n">
        <v>46299</v>
      </c>
      <c r="F639" t="inlineStr">
        <is>
          <t>VÄSTERNORRLANDS LÄN</t>
        </is>
      </c>
      <c r="G639" t="inlineStr">
        <is>
          <t>HÄRNÖSAND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46299</v>
      </c>
      <c r="F640" t="inlineStr">
        <is>
          <t>VÄSTERNORRLANDS LÄN</t>
        </is>
      </c>
      <c r="G640" t="inlineStr">
        <is>
          <t>HÄRNÖSAND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45685</v>
      </c>
      <c r="E641" s="1" t="n">
        <v>46299</v>
      </c>
      <c r="F641" t="inlineStr">
        <is>
          <t>VÄSTERNORRLANDS LÄN</t>
        </is>
      </c>
      <c r="G641" t="inlineStr">
        <is>
          <t>HÄRNÖSAND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45776</v>
      </c>
      <c r="E642" s="1" t="n">
        <v>46299</v>
      </c>
      <c r="F642" t="inlineStr">
        <is>
          <t>VÄSTERNORRLANDS LÄN</t>
        </is>
      </c>
      <c r="G642" t="inlineStr">
        <is>
          <t>HÄRNÖSAND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46299</v>
      </c>
      <c r="F643" t="inlineStr">
        <is>
          <t>VÄSTERNORRLANDS LÄN</t>
        </is>
      </c>
      <c r="G643" t="inlineStr">
        <is>
          <t>HÄRNÖSAND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45782</v>
      </c>
      <c r="E644" s="1" t="n">
        <v>46299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46299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42343-2024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46299</v>
      </c>
      <c r="F646" t="inlineStr">
        <is>
          <t>VÄSTERNORRLANDS LÄN</t>
        </is>
      </c>
      <c r="G646" t="inlineStr">
        <is>
          <t>HÄRNÖSAND</t>
        </is>
      </c>
      <c r="I646" t="n">
        <v>15.6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45578</v>
      </c>
      <c r="E647" s="1" t="n">
        <v>46299</v>
      </c>
      <c r="F647" t="inlineStr">
        <is>
          <t>VÄSTERNORRLANDS LÄN</t>
        </is>
      </c>
      <c r="G647" t="inlineStr">
        <is>
          <t>HÄRNÖSAND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46299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46299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46299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46299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46299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46299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46299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46299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46299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46299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2026-10-04T01:59:06Z</dcterms:created>
  <dcterms:modified xmlns:dcterms="http://purl.org/dc/terms/" xmlns:xsi="http://www.w3.org/2001/XMLSchema-instance" xsi:type="dcterms:W3CDTF">2026-10-04T01:59:06Z</dcterms:modified>
</cp:coreProperties>
</file>