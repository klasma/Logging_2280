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46314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22</v>
      </c>
      <c r="T2" t="n">
        <v>82</v>
      </c>
      <c r="U2" t="n">
        <v>68</v>
      </c>
      <c r="V2" s="2" t="inlineStr">
        <is>
          <t>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56749-2025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45978</v>
      </c>
      <c r="E3" s="1" t="n">
        <v>46314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7.8</v>
      </c>
      <c r="J3" t="n">
        <v>3</v>
      </c>
      <c r="K3" t="n">
        <v>5</v>
      </c>
      <c r="L3" t="n">
        <v>11</v>
      </c>
      <c r="M3" t="n">
        <v>3</v>
      </c>
      <c r="N3" t="n">
        <v>0</v>
      </c>
      <c r="O3" t="n">
        <v>0</v>
      </c>
      <c r="P3" t="n">
        <v>0</v>
      </c>
      <c r="Q3" t="n">
        <v>14</v>
      </c>
      <c r="R3" t="n">
        <v>3</v>
      </c>
      <c r="S3" t="n">
        <v>20</v>
      </c>
      <c r="T3" t="n">
        <v>166</v>
      </c>
      <c r="U3" t="n">
        <v>162</v>
      </c>
      <c r="V3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3">
        <f>HYPERLINK("https://klasma.github.io/Logging_2280/artfynd/A 56749-2025 artfynd.xlsx", "A 56749-2025")</f>
        <v/>
      </c>
      <c r="X3">
        <f>HYPERLINK("https://klasma.github.io/Logging_2280/kartor/A 56749-2025 karta.png", "A 56749-2025")</f>
        <v/>
      </c>
      <c r="Y3">
        <f>HYPERLINK("https://klasma.github.io/Logging_2280/kartor_geotiff/A 56749-2025 georefererad karta.tif", "A 56749-2025")</f>
        <v/>
      </c>
      <c r="AA3">
        <f>HYPERLINK("https://klasma.github.io/Logging_2280/klagomål/A 56749-2025 FSC-klagomål.docx", "A 56749-2025")</f>
        <v/>
      </c>
      <c r="AB3">
        <f>HYPERLINK("https://klasma.github.io/Logging_2280/klagomålsmail/A 56749-2025 FSC-klagomål mail.docx", "A 56749-2025")</f>
        <v/>
      </c>
      <c r="AC3">
        <f>HYPERLINK("https://klasma.github.io/Logging_2280/tillsyn/A 56749-2025 tillsynsbegäran.docx", "A 56749-2025")</f>
        <v/>
      </c>
      <c r="AD3">
        <f>HYPERLINK("https://klasma.github.io/Logging_2280/tillsynsmail/A 56749-2025 tillsynsbegäran mail.docx", "A 56749-2025")</f>
        <v/>
      </c>
      <c r="AE3">
        <f>HYPERLINK("https://klasma.github.io/Logging_2280/fåglar/A 56749-2025 prioriterade fågelarter.docx", "A 56749-2025")</f>
        <v/>
      </c>
    </row>
    <row r="4" ht="15" customHeight="1">
      <c r="A4" t="inlineStr">
        <is>
          <t>A 47711-2024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45588</v>
      </c>
      <c r="E4" s="1" t="n">
        <v>46314</v>
      </c>
      <c r="F4" t="inlineStr">
        <is>
          <t>VÄSTERNORRLANDS LÄN</t>
        </is>
      </c>
      <c r="G4" t="inlineStr">
        <is>
          <t>HÄRNÖSAND</t>
        </is>
      </c>
      <c r="I4" t="n">
        <v>39.5</v>
      </c>
      <c r="J4" t="n">
        <v>5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20</v>
      </c>
      <c r="T4" t="n">
        <v>65</v>
      </c>
      <c r="U4" t="n">
        <v>51</v>
      </c>
      <c r="V4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4">
        <f>HYPERLINK("https://klasma.github.io/Logging_2280/artfynd/A 47711-2024 artfynd.xlsx", "A 47711-2024")</f>
        <v/>
      </c>
      <c r="X4">
        <f>HYPERLINK("https://klasma.github.io/Logging_2280/kartor/A 47711-2024 karta.png", "A 47711-2024")</f>
        <v/>
      </c>
      <c r="Y4">
        <f>HYPERLINK("https://klasma.github.io/Logging_2280/kartor_geotiff/A 47711-2024 georefererad karta.tif", "A 47711-2024")</f>
        <v/>
      </c>
      <c r="Z4">
        <f>HYPERLINK("https://klasma.github.io/Logging_2280/knärot/A 47711-2024 karta knärot.png", "A 47711-2024")</f>
        <v/>
      </c>
      <c r="AA4">
        <f>HYPERLINK("https://klasma.github.io/Logging_2280/klagomål/A 47711-2024 FSC-klagomål.docx", "A 47711-2024")</f>
        <v/>
      </c>
      <c r="AB4">
        <f>HYPERLINK("https://klasma.github.io/Logging_2280/klagomålsmail/A 47711-2024 FSC-klagomål mail.docx", "A 47711-2024")</f>
        <v/>
      </c>
      <c r="AC4">
        <f>HYPERLINK("https://klasma.github.io/Logging_2280/tillsyn/A 47711-2024 tillsynsbegäran.docx", "A 47711-2024")</f>
        <v/>
      </c>
      <c r="AD4">
        <f>HYPERLINK("https://klasma.github.io/Logging_2280/tillsynsmail/A 47711-2024 tillsynsbegäran mail.docx", "A 47711-2024")</f>
        <v/>
      </c>
      <c r="AE4">
        <f>HYPERLINK("https://klasma.github.io/Logging_2280/fåglar/A 47711-2024 prioriterade fågelarter.docx", "A 47711-2024")</f>
        <v/>
      </c>
    </row>
    <row r="5" ht="15" customHeight="1">
      <c r="A5" t="inlineStr">
        <is>
          <t>A 4816-2024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45328</v>
      </c>
      <c r="E5" s="1" t="n">
        <v>46314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11.6</v>
      </c>
      <c r="J5" t="n">
        <v>5</v>
      </c>
      <c r="K5" t="n">
        <v>3</v>
      </c>
      <c r="L5" t="n">
        <v>7</v>
      </c>
      <c r="M5" t="n">
        <v>4</v>
      </c>
      <c r="N5" t="n">
        <v>0</v>
      </c>
      <c r="O5" t="n">
        <v>0</v>
      </c>
      <c r="P5" t="n">
        <v>0</v>
      </c>
      <c r="Q5" t="n">
        <v>11</v>
      </c>
      <c r="R5" t="n">
        <v>4</v>
      </c>
      <c r="S5" t="n">
        <v>18</v>
      </c>
      <c r="T5" t="n">
        <v>78</v>
      </c>
      <c r="U5" t="n">
        <v>76</v>
      </c>
      <c r="V5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5">
        <f>HYPERLINK("https://klasma.github.io/Logging_2280/artfynd/A 4816-2024 artfynd.xlsx", "A 4816-2024")</f>
        <v/>
      </c>
      <c r="X5">
        <f>HYPERLINK("https://klasma.github.io/Logging_2280/kartor/A 4816-2024 karta.png", "A 4816-2024")</f>
        <v/>
      </c>
      <c r="Y5">
        <f>HYPERLINK("https://klasma.github.io/Logging_2280/kartor_geotiff/A 4816-2024 georefererad karta.tif", "A 4816-2024")</f>
        <v/>
      </c>
      <c r="AA5">
        <f>HYPERLINK("https://klasma.github.io/Logging_2280/klagomål/A 4816-2024 FSC-klagomål.docx", "A 4816-2024")</f>
        <v/>
      </c>
      <c r="AB5">
        <f>HYPERLINK("https://klasma.github.io/Logging_2280/klagomålsmail/A 4816-2024 FSC-klagomål mail.docx", "A 4816-2024")</f>
        <v/>
      </c>
      <c r="AC5">
        <f>HYPERLINK("https://klasma.github.io/Logging_2280/tillsyn/A 4816-2024 tillsynsbegäran.docx", "A 4816-2024")</f>
        <v/>
      </c>
      <c r="AD5">
        <f>HYPERLINK("https://klasma.github.io/Logging_2280/tillsynsmail/A 4816-2024 tillsynsbegäran mail.docx", "A 4816-2024")</f>
        <v/>
      </c>
      <c r="AE5">
        <f>HYPERLINK("https://klasma.github.io/Logging_2280/fåglar/A 4816-2024 prioriterade fågelarter.docx", "A 4816-2024")</f>
        <v/>
      </c>
    </row>
    <row r="6" ht="15" customHeight="1">
      <c r="A6" t="inlineStr">
        <is>
          <t>A 39378-2026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46288</v>
      </c>
      <c r="E6" s="1" t="n">
        <v>46314</v>
      </c>
      <c r="F6" t="inlineStr">
        <is>
          <t>VÄSTERNORRLANDS LÄN</t>
        </is>
      </c>
      <c r="G6" t="inlineStr">
        <is>
          <t>HÄRNÖSAND</t>
        </is>
      </c>
      <c r="I6" t="n">
        <v>2.8</v>
      </c>
      <c r="J6" t="n">
        <v>2</v>
      </c>
      <c r="K6" t="n">
        <v>5</v>
      </c>
      <c r="L6" t="n">
        <v>8</v>
      </c>
      <c r="M6" t="n">
        <v>3</v>
      </c>
      <c r="N6" t="n">
        <v>1</v>
      </c>
      <c r="O6" t="n">
        <v>0</v>
      </c>
      <c r="P6" t="n">
        <v>0</v>
      </c>
      <c r="Q6" t="n">
        <v>12</v>
      </c>
      <c r="R6" t="n">
        <v>4</v>
      </c>
      <c r="S6" t="n">
        <v>18</v>
      </c>
      <c r="T6" t="n">
        <v>36</v>
      </c>
      <c r="U6" t="n">
        <v>0</v>
      </c>
      <c r="V6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6">
        <f>HYPERLINK("https://klasma.github.io/Logging_2280/artfynd/A 39378-2026 artfynd.xlsx", "A 39378-2026")</f>
        <v/>
      </c>
      <c r="X6">
        <f>HYPERLINK("https://klasma.github.io/Logging_2280/kartor/A 39378-2026 karta.png", "A 39378-2026")</f>
        <v/>
      </c>
      <c r="Y6">
        <f>HYPERLINK("https://klasma.github.io/Logging_2280/kartor_geotiff/A 39378-2026 georefererad karta.tif", "A 39378-2026")</f>
        <v/>
      </c>
      <c r="AA6">
        <f>HYPERLINK("https://klasma.github.io/Logging_2280/klagomål/A 39378-2026 FSC-klagomål.docx", "A 39378-2026")</f>
        <v/>
      </c>
      <c r="AB6">
        <f>HYPERLINK("https://klasma.github.io/Logging_2280/klagomålsmail/A 39378-2026 FSC-klagomål mail.docx", "A 39378-2026")</f>
        <v/>
      </c>
      <c r="AC6">
        <f>HYPERLINK("https://klasma.github.io/Logging_2280/tillsyn/A 39378-2026 tillsynsbegäran.docx", "A 39378-2026")</f>
        <v/>
      </c>
      <c r="AD6">
        <f>HYPERLINK("https://klasma.github.io/Logging_2280/tillsynsmail/A 39378-2026 tillsynsbegäran mail.docx", "A 39378-2026")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46314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46314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46314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46314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49355-2025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46314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10.3</v>
      </c>
      <c r="J11" t="n">
        <v>3</v>
      </c>
      <c r="K11" t="n">
        <v>3</v>
      </c>
      <c r="L11" t="n">
        <v>6</v>
      </c>
      <c r="M11" t="n">
        <v>4</v>
      </c>
      <c r="N11" t="n">
        <v>0</v>
      </c>
      <c r="O11" t="n">
        <v>0</v>
      </c>
      <c r="P11" t="n">
        <v>0</v>
      </c>
      <c r="Q11" t="n">
        <v>10</v>
      </c>
      <c r="R11" t="n">
        <v>4</v>
      </c>
      <c r="S11" t="n">
        <v>14</v>
      </c>
      <c r="T11" t="n">
        <v>59</v>
      </c>
      <c r="U11" t="n">
        <v>38</v>
      </c>
      <c r="V11" s="2" t="inlineStr">
        <is>
          <t>Garnlav
Gränsticka
Knärot
Lappticka
Kötticka
Lunglav
Rosenticka
Rynkskinn
Tretåig hackspett
Ullticka
Korallblylav
Skinnlav
Vedticka
Revlummer</t>
        </is>
      </c>
      <c r="W11">
        <f>HYPERLINK("https://klasma.github.io/Logging_2280/artfynd/A 49355-2025 artfynd.xlsx", "A 49355-2025")</f>
        <v/>
      </c>
      <c r="X11">
        <f>HYPERLINK("https://klasma.github.io/Logging_2280/kartor/A 49355-2025 karta.png", "A 49355-2025")</f>
        <v/>
      </c>
      <c r="Y11">
        <f>HYPERLINK("https://klasma.github.io/Logging_2280/kartor_geotiff/A 49355-2025 georefererad karta.tif", "A 49355-2025")</f>
        <v/>
      </c>
      <c r="Z11">
        <f>HYPERLINK("https://klasma.github.io/Logging_2280/knärot/A 49355-2025 karta knärot.png", "A 49355-2025")</f>
        <v/>
      </c>
      <c r="AA11">
        <f>HYPERLINK("https://klasma.github.io/Logging_2280/klagomål/A 49355-2025 FSC-klagomål.docx", "A 49355-2025")</f>
        <v/>
      </c>
      <c r="AB11">
        <f>HYPERLINK("https://klasma.github.io/Logging_2280/klagomålsmail/A 49355-2025 FSC-klagomål mail.docx", "A 49355-2025")</f>
        <v/>
      </c>
      <c r="AC11">
        <f>HYPERLINK("https://klasma.github.io/Logging_2280/tillsyn/A 49355-2025 tillsynsbegäran.docx", "A 49355-2025")</f>
        <v/>
      </c>
      <c r="AD11">
        <f>HYPERLINK("https://klasma.github.io/Logging_2280/tillsynsmail/A 49355-2025 tillsynsbegäran mail.docx", "A 49355-2025")</f>
        <v/>
      </c>
      <c r="AE11">
        <f>HYPERLINK("https://klasma.github.io/Logging_2280/fåglar/A 49355-2025 prioriterade fågelarter.docx", "A 49355-2025")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46314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46314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46314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46314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46314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46314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26084-2025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45805</v>
      </c>
      <c r="E18" s="1" t="n">
        <v>46314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3.5</v>
      </c>
      <c r="J18" t="n">
        <v>2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16</v>
      </c>
      <c r="U18" t="n">
        <v>14</v>
      </c>
      <c r="V18" s="2" t="inlineStr">
        <is>
          <t>Garnlav
Gammelgransskål
Lunglav
Rosenticka
Talltita
Ullticka
Stuplav
Vedticka
Spillkråka</t>
        </is>
      </c>
      <c r="W18">
        <f>HYPERLINK("https://klasma.github.io/Logging_2280/artfynd/A 26084-2025 artfynd.xlsx", "A 26084-2025")</f>
        <v/>
      </c>
      <c r="X18">
        <f>HYPERLINK("https://klasma.github.io/Logging_2280/kartor/A 26084-2025 karta.png", "A 26084-2025")</f>
        <v/>
      </c>
      <c r="Y18">
        <f>HYPERLINK("https://klasma.github.io/Logging_2280/kartor_geotiff/A 26084-2025 georefererad karta.tif", "A 26084-2025")</f>
        <v/>
      </c>
      <c r="AA18">
        <f>HYPERLINK("https://klasma.github.io/Logging_2280/klagomål/A 26084-2025 FSC-klagomål.docx", "A 26084-2025")</f>
        <v/>
      </c>
      <c r="AB18">
        <f>HYPERLINK("https://klasma.github.io/Logging_2280/klagomålsmail/A 26084-2025 FSC-klagomål mail.docx", "A 26084-2025")</f>
        <v/>
      </c>
      <c r="AC18">
        <f>HYPERLINK("https://klasma.github.io/Logging_2280/tillsyn/A 26084-2025 tillsynsbegäran.docx", "A 26084-2025")</f>
        <v/>
      </c>
      <c r="AD18">
        <f>HYPERLINK("https://klasma.github.io/Logging_2280/tillsynsmail/A 26084-2025 tillsynsbegäran mail.docx", "A 26084-2025")</f>
        <v/>
      </c>
      <c r="AE18">
        <f>HYPERLINK("https://klasma.github.io/Logging_2280/fåglar/A 26084-2025 prioriterade fågelarter.docx", "A 26084-2025")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46314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46314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46314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46314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46314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46314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46314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46314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46314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46314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46314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46314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46314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46314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46314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46314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46314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46314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46314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Ullticka
Vitgrynig nållav
Skinnlav</t>
        </is>
      </c>
      <c r="W37">
        <f>HYPERLINK("https://klasma.github.io/Logging_2280/artfynd/A 32639-2024 artfynd.xlsx", "A 32639-2024")</f>
        <v/>
      </c>
      <c r="X37">
        <f>HYPERLINK("https://klasma.github.io/Logging_2280/kartor/A 32639-2024 karta.png", "A 32639-2024")</f>
        <v/>
      </c>
      <c r="Y37">
        <f>HYPERLINK("https://klasma.github.io/Logging_2280/kartor_geotiff/A 32639-2024 georefererad karta.tif", "A 32639-2024")</f>
        <v/>
      </c>
      <c r="AA37">
        <f>HYPERLINK("https://klasma.github.io/Logging_2280/klagomål/A 32639-2024 FSC-klagomål.docx", "A 32639-2024")</f>
        <v/>
      </c>
      <c r="AB37">
        <f>HYPERLINK("https://klasma.github.io/Logging_2280/klagomålsmail/A 32639-2024 FSC-klagomål mail.docx", "A 32639-2024")</f>
        <v/>
      </c>
      <c r="AC37">
        <f>HYPERLINK("https://klasma.github.io/Logging_2280/tillsyn/A 32639-2024 tillsynsbegäran.docx", "A 32639-2024")</f>
        <v/>
      </c>
      <c r="AD37">
        <f>HYPERLINK("https://klasma.github.io/Logging_2280/tillsynsmail/A 32639-2024 tillsynsbegäran mail.docx", "A 32639-2024")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46314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6</v>
      </c>
      <c r="V38" s="2" t="inlineStr">
        <is>
          <t>Garnlav
Ullticka
Vedflamlav
Stuplav</t>
        </is>
      </c>
      <c r="W38">
        <f>HYPERLINK("https://klasma.github.io/Logging_2280/artfynd/A 41592-2024 artfynd.xlsx", "A 41592-2024")</f>
        <v/>
      </c>
      <c r="X38">
        <f>HYPERLINK("https://klasma.github.io/Logging_2280/kartor/A 41592-2024 karta.png", "A 41592-2024")</f>
        <v/>
      </c>
      <c r="Y38">
        <f>HYPERLINK("https://klasma.github.io/Logging_2280/kartor_geotiff/A 41592-2024 georefererad karta.tif", "A 41592-2024")</f>
        <v/>
      </c>
      <c r="AA38">
        <f>HYPERLINK("https://klasma.github.io/Logging_2280/klagomål/A 41592-2024 FSC-klagomål.docx", "A 41592-2024")</f>
        <v/>
      </c>
      <c r="AB38">
        <f>HYPERLINK("https://klasma.github.io/Logging_2280/klagomålsmail/A 41592-2024 FSC-klagomål mail.docx", "A 41592-2024")</f>
        <v/>
      </c>
      <c r="AC38">
        <f>HYPERLINK("https://klasma.github.io/Logging_2280/tillsyn/A 41592-2024 tillsynsbegäran.docx", "A 41592-2024")</f>
        <v/>
      </c>
      <c r="AD38">
        <f>HYPERLINK("https://klasma.github.io/Logging_2280/tillsynsmail/A 41592-2024 tillsynsbegäran mail.docx", "A 41592-2024")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46314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46314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46314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46314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46314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46314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46314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46314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46314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46314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46314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46314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46314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46314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46314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46314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46314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46314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44901-2024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45575</v>
      </c>
      <c r="E57" s="1" t="n">
        <v>46314</v>
      </c>
      <c r="F57" t="inlineStr">
        <is>
          <t>VÄSTERNORRLANDS LÄN</t>
        </is>
      </c>
      <c r="G57" t="inlineStr">
        <is>
          <t>HÄRNÖSAND</t>
        </is>
      </c>
      <c r="I57" t="n">
        <v>3.3</v>
      </c>
      <c r="J57" t="n">
        <v>0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3</v>
      </c>
      <c r="U57" t="n">
        <v>3</v>
      </c>
      <c r="V57" s="2" t="inlineStr">
        <is>
          <t>Garnlav
Vedticka</t>
        </is>
      </c>
      <c r="W57">
        <f>HYPERLINK("https://klasma.github.io/Logging_2280/artfynd/A 44901-2024 artfynd.xlsx", "A 44901-2024")</f>
        <v/>
      </c>
      <c r="X57">
        <f>HYPERLINK("https://klasma.github.io/Logging_2280/kartor/A 44901-2024 karta.png", "A 44901-2024")</f>
        <v/>
      </c>
      <c r="Y57">
        <f>HYPERLINK("https://klasma.github.io/Logging_2280/kartor_geotiff/A 44901-2024 georefererad karta.tif", "A 44901-2024")</f>
        <v/>
      </c>
      <c r="AA57">
        <f>HYPERLINK("https://klasma.github.io/Logging_2280/klagomål/A 44901-2024 FSC-klagomål.docx", "A 44901-2024")</f>
        <v/>
      </c>
      <c r="AB57">
        <f>HYPERLINK("https://klasma.github.io/Logging_2280/klagomålsmail/A 44901-2024 FSC-klagomål mail.docx", "A 44901-2024")</f>
        <v/>
      </c>
      <c r="AC57">
        <f>HYPERLINK("https://klasma.github.io/Logging_2280/tillsyn/A 44901-2024 tillsynsbegäran.docx", "A 44901-2024")</f>
        <v/>
      </c>
      <c r="AD57">
        <f>HYPERLINK("https://klasma.github.io/Logging_2280/tillsynsmail/A 44901-2024 tillsynsbegäran mail.docx", "A 44901-2024")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46314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46314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20771-2026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46314</v>
      </c>
      <c r="F60" t="inlineStr">
        <is>
          <t>VÄSTERNORRLANDS LÄN</t>
        </is>
      </c>
      <c r="G60" t="inlineStr">
        <is>
          <t>HÄRNÖSAND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Nordfladdermus
Tajgafladdermus</t>
        </is>
      </c>
      <c r="W60">
        <f>HYPERLINK("https://klasma.github.io/Logging_2280/artfynd/A 20771-2026 artfynd.xlsx", "A 20771-2026")</f>
        <v/>
      </c>
      <c r="X60">
        <f>HYPERLINK("https://klasma.github.io/Logging_2280/kartor/A 20771-2026 karta.png", "A 20771-2026")</f>
        <v/>
      </c>
      <c r="Y60">
        <f>HYPERLINK("https://klasma.github.io/Logging_2280/kartor_geotiff/A 20771-2026 georefererad karta.tif", "A 20771-2026")</f>
        <v/>
      </c>
      <c r="AA60">
        <f>HYPERLINK("https://klasma.github.io/Logging_2280/klagomål/A 20771-2026 FSC-klagomål.docx", "A 20771-2026")</f>
        <v/>
      </c>
      <c r="AB60">
        <f>HYPERLINK("https://klasma.github.io/Logging_2280/klagomålsmail/A 20771-2026 FSC-klagomål mail.docx", "A 20771-2026")</f>
        <v/>
      </c>
      <c r="AC60">
        <f>HYPERLINK("https://klasma.github.io/Logging_2280/tillsyn/A 20771-2026 tillsynsbegäran.docx", "A 20771-2026")</f>
        <v/>
      </c>
      <c r="AD60">
        <f>HYPERLINK("https://klasma.github.io/Logging_2280/tillsynsmail/A 20771-2026 tillsynsbegäran mail.docx", "A 20771-2026")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46314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52727-2022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46314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Korallblylav
Skinnlav</t>
        </is>
      </c>
      <c r="W62">
        <f>HYPERLINK("https://klasma.github.io/Logging_2280/artfynd/A 52727-2022 artfynd.xlsx", "A 52727-2022")</f>
        <v/>
      </c>
      <c r="X62">
        <f>HYPERLINK("https://klasma.github.io/Logging_2280/kartor/A 52727-2022 karta.png", "A 52727-2022")</f>
        <v/>
      </c>
      <c r="Y62">
        <f>HYPERLINK("https://klasma.github.io/Logging_2280/kartor_geotiff/A 52727-2022 georefererad karta.tif", "A 52727-2022")</f>
        <v/>
      </c>
      <c r="AA62">
        <f>HYPERLINK("https://klasma.github.io/Logging_2280/klagomål/A 52727-2022 FSC-klagomål.docx", "A 52727-2022")</f>
        <v/>
      </c>
      <c r="AB62">
        <f>HYPERLINK("https://klasma.github.io/Logging_2280/klagomålsmail/A 52727-2022 FSC-klagomål mail.docx", "A 52727-2022")</f>
        <v/>
      </c>
      <c r="AC62">
        <f>HYPERLINK("https://klasma.github.io/Logging_2280/tillsyn/A 52727-2022 tillsynsbegäran.docx", "A 52727-2022")</f>
        <v/>
      </c>
      <c r="AD62">
        <f>HYPERLINK("https://klasma.github.io/Logging_2280/tillsynsmail/A 52727-2022 tillsynsbegäran mail.docx", "A 52727-2022")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46314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46314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46314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41976-2026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46303</v>
      </c>
      <c r="E66" s="1" t="n">
        <v>46314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Kommuner</t>
        </is>
      </c>
      <c r="I66" t="n">
        <v>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Tretåig hackspett
Ullticka</t>
        </is>
      </c>
      <c r="W66">
        <f>HYPERLINK("https://klasma.github.io/Logging_2280/artfynd/A 41976-2026 artfynd.xlsx", "A 41976-2026")</f>
        <v/>
      </c>
      <c r="X66">
        <f>HYPERLINK("https://klasma.github.io/Logging_2280/kartor/A 41976-2026 karta.png", "A 41976-2026")</f>
        <v/>
      </c>
      <c r="Y66">
        <f>HYPERLINK("https://klasma.github.io/Logging_2280/kartor_geotiff/A 41976-2026 georefererad karta.tif", "A 41976-2026")</f>
        <v/>
      </c>
      <c r="AA66">
        <f>HYPERLINK("https://klasma.github.io/Logging_2280/klagomål/A 41976-2026 FSC-klagomål.docx", "A 41976-2026")</f>
        <v/>
      </c>
      <c r="AB66">
        <f>HYPERLINK("https://klasma.github.io/Logging_2280/klagomålsmail/A 41976-2026 FSC-klagomål mail.docx", "A 41976-2026")</f>
        <v/>
      </c>
      <c r="AC66">
        <f>HYPERLINK("https://klasma.github.io/Logging_2280/tillsyn/A 41976-2026 tillsynsbegäran.docx", "A 41976-2026")</f>
        <v/>
      </c>
      <c r="AD66">
        <f>HYPERLINK("https://klasma.github.io/Logging_2280/tillsynsmail/A 41976-2026 tillsynsbegäran mail.docx", "A 41976-2026")</f>
        <v/>
      </c>
      <c r="AE66">
        <f>HYPERLINK("https://klasma.github.io/Logging_2280/fåglar/A 41976-2026 prioriterade fågelarter.docx", "A 41976-2026")</f>
        <v/>
      </c>
    </row>
    <row r="67" ht="15" customHeight="1">
      <c r="A67" t="inlineStr">
        <is>
          <t>A 34545-2025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46314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Kyrkan</t>
        </is>
      </c>
      <c r="I67" t="n">
        <v>9.699999999999999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Tretåig hackspett
Korallblylav</t>
        </is>
      </c>
      <c r="W67">
        <f>HYPERLINK("https://klasma.github.io/Logging_2280/artfynd/A 34545-2025 artfynd.xlsx", "A 34545-2025")</f>
        <v/>
      </c>
      <c r="X67">
        <f>HYPERLINK("https://klasma.github.io/Logging_2280/kartor/A 34545-2025 karta.png", "A 34545-2025")</f>
        <v/>
      </c>
      <c r="Y67">
        <f>HYPERLINK("https://klasma.github.io/Logging_2280/kartor_geotiff/A 34545-2025 georefererad karta.tif", "A 34545-2025")</f>
        <v/>
      </c>
      <c r="AA67">
        <f>HYPERLINK("https://klasma.github.io/Logging_2280/klagomål/A 34545-2025 FSC-klagomål.docx", "A 34545-2025")</f>
        <v/>
      </c>
      <c r="AB67">
        <f>HYPERLINK("https://klasma.github.io/Logging_2280/klagomålsmail/A 34545-2025 FSC-klagomål mail.docx", "A 34545-2025")</f>
        <v/>
      </c>
      <c r="AC67">
        <f>HYPERLINK("https://klasma.github.io/Logging_2280/tillsyn/A 34545-2025 tillsynsbegäran.docx", "A 34545-2025")</f>
        <v/>
      </c>
      <c r="AD67">
        <f>HYPERLINK("https://klasma.github.io/Logging_2280/tillsynsmail/A 34545-2025 tillsynsbegäran mail.docx", "A 34545-2025")</f>
        <v/>
      </c>
      <c r="AE67">
        <f>HYPERLINK("https://klasma.github.io/Logging_2280/fåglar/A 34545-2025 prioriterade fågelarter.docx", "A 34545-2025")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46314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46314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46314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46314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46314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24202-2024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46314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Garnlav</t>
        </is>
      </c>
      <c r="W73">
        <f>HYPERLINK("https://klasma.github.io/Logging_2280/artfynd/A 24202-2024 artfynd.xlsx", "A 24202-2024")</f>
        <v/>
      </c>
      <c r="X73">
        <f>HYPERLINK("https://klasma.github.io/Logging_2280/kartor/A 24202-2024 karta.png", "A 24202-2024")</f>
        <v/>
      </c>
      <c r="Y73">
        <f>HYPERLINK("https://klasma.github.io/Logging_2280/kartor_geotiff/A 24202-2024 georefererad karta.tif", "A 24202-2024")</f>
        <v/>
      </c>
      <c r="AA73">
        <f>HYPERLINK("https://klasma.github.io/Logging_2280/klagomål/A 24202-2024 FSC-klagomål.docx", "A 24202-2024")</f>
        <v/>
      </c>
      <c r="AB73">
        <f>HYPERLINK("https://klasma.github.io/Logging_2280/klagomålsmail/A 24202-2024 FSC-klagomål mail.docx", "A 24202-2024")</f>
        <v/>
      </c>
      <c r="AC73">
        <f>HYPERLINK("https://klasma.github.io/Logging_2280/tillsyn/A 24202-2024 tillsynsbegäran.docx", "A 24202-2024")</f>
        <v/>
      </c>
      <c r="AD73">
        <f>HYPERLINK("https://klasma.github.io/Logging_2280/tillsynsmail/A 24202-2024 tillsynsbegäran mail.docx", "A 24202-2024")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46314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46314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46314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61828-2024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45649</v>
      </c>
      <c r="E77" s="1" t="n">
        <v>46314</v>
      </c>
      <c r="F77" t="inlineStr">
        <is>
          <t>VÄSTERNORRLANDS LÄN</t>
        </is>
      </c>
      <c r="G77" t="inlineStr">
        <is>
          <t>HÄRNÖSAND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Luddfingersvamp</t>
        </is>
      </c>
      <c r="W77">
        <f>HYPERLINK("https://klasma.github.io/Logging_2280/artfynd/A 61828-2024 artfynd.xlsx", "A 61828-2024")</f>
        <v/>
      </c>
      <c r="X77">
        <f>HYPERLINK("https://klasma.github.io/Logging_2280/kartor/A 61828-2024 karta.png", "A 61828-2024")</f>
        <v/>
      </c>
      <c r="Y77">
        <f>HYPERLINK("https://klasma.github.io/Logging_2280/kartor_geotiff/A 61828-2024 georefererad karta.tif", "A 61828-2024")</f>
        <v/>
      </c>
      <c r="AA77">
        <f>HYPERLINK("https://klasma.github.io/Logging_2280/klagomål/A 61828-2024 FSC-klagomål.docx", "A 61828-2024")</f>
        <v/>
      </c>
      <c r="AB77">
        <f>HYPERLINK("https://klasma.github.io/Logging_2280/klagomålsmail/A 61828-2024 FSC-klagomål mail.docx", "A 61828-2024")</f>
        <v/>
      </c>
      <c r="AC77">
        <f>HYPERLINK("https://klasma.github.io/Logging_2280/tillsyn/A 61828-2024 tillsynsbegäran.docx", "A 61828-2024")</f>
        <v/>
      </c>
      <c r="AD77">
        <f>HYPERLINK("https://klasma.github.io/Logging_2280/tillsynsmail/A 61828-2024 tillsynsbegäran mail.docx", "A 61828-2024")</f>
        <v/>
      </c>
    </row>
    <row r="78" ht="15" customHeight="1">
      <c r="A78" t="inlineStr">
        <is>
          <t>A 45060-2025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46314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Gammelgransskål</t>
        </is>
      </c>
      <c r="W78">
        <f>HYPERLINK("https://klasma.github.io/Logging_2280/artfynd/A 45060-2025 artfynd.xlsx", "A 45060-2025")</f>
        <v/>
      </c>
      <c r="X78">
        <f>HYPERLINK("https://klasma.github.io/Logging_2280/kartor/A 45060-2025 karta.png", "A 45060-2025")</f>
        <v/>
      </c>
      <c r="Y78">
        <f>HYPERLINK("https://klasma.github.io/Logging_2280/kartor_geotiff/A 45060-2025 georefererad karta.tif", "A 45060-2025")</f>
        <v/>
      </c>
      <c r="AA78">
        <f>HYPERLINK("https://klasma.github.io/Logging_2280/klagomål/A 45060-2025 FSC-klagomål.docx", "A 45060-2025")</f>
        <v/>
      </c>
      <c r="AB78">
        <f>HYPERLINK("https://klasma.github.io/Logging_2280/klagomålsmail/A 45060-2025 FSC-klagomål mail.docx", "A 45060-2025")</f>
        <v/>
      </c>
      <c r="AC78">
        <f>HYPERLINK("https://klasma.github.io/Logging_2280/tillsyn/A 45060-2025 tillsynsbegäran.docx", "A 45060-2025")</f>
        <v/>
      </c>
      <c r="AD78">
        <f>HYPERLINK("https://klasma.github.io/Logging_2280/tillsynsmail/A 45060-2025 tillsynsbegäran mail.docx", "A 45060-2025")</f>
        <v/>
      </c>
    </row>
    <row r="79" ht="15" customHeight="1">
      <c r="A79" t="inlineStr">
        <is>
          <t>A 8407-2024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46314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HYPERLINK("https://klasma.github.io/Logging_2280/artfynd/A 8407-2024 artfynd.xlsx", "A 8407-2024")</f>
        <v/>
      </c>
      <c r="X79">
        <f>HYPERLINK("https://klasma.github.io/Logging_2280/kartor/A 8407-2024 karta.png", "A 8407-2024")</f>
        <v/>
      </c>
      <c r="Y79">
        <f>HYPERLINK("https://klasma.github.io/Logging_2280/kartor_geotiff/A 8407-2024 georefererad karta.tif", "A 8407-2024")</f>
        <v/>
      </c>
      <c r="AA79">
        <f>HYPERLINK("https://klasma.github.io/Logging_2280/klagomål/A 8407-2024 FSC-klagomål.docx", "A 8407-2024")</f>
        <v/>
      </c>
      <c r="AB79">
        <f>HYPERLINK("https://klasma.github.io/Logging_2280/klagomålsmail/A 8407-2024 FSC-klagomål mail.docx", "A 8407-2024")</f>
        <v/>
      </c>
      <c r="AC79">
        <f>HYPERLINK("https://klasma.github.io/Logging_2280/tillsyn/A 8407-2024 tillsynsbegäran.docx", "A 8407-2024")</f>
        <v/>
      </c>
      <c r="AD79">
        <f>HYPERLINK("https://klasma.github.io/Logging_2280/tillsynsmail/A 8407-2024 tillsynsbegäran mail.docx", "A 8407-2024")</f>
        <v/>
      </c>
    </row>
    <row r="80" ht="15" customHeight="1">
      <c r="A80" t="inlineStr">
        <is>
          <t>A 1190-2026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46314</v>
      </c>
      <c r="F80" t="inlineStr">
        <is>
          <t>VÄSTERNORRLANDS LÄN</t>
        </is>
      </c>
      <c r="G80" t="inlineStr">
        <is>
          <t>HÄRNÖSAND</t>
        </is>
      </c>
      <c r="I80" t="n">
        <v>3.5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Tretåig hackspett</t>
        </is>
      </c>
      <c r="W80">
        <f>HYPERLINK("https://klasma.github.io/Logging_2280/artfynd/A 1190-2026 artfynd.xlsx", "A 1190-2026")</f>
        <v/>
      </c>
      <c r="X80">
        <f>HYPERLINK("https://klasma.github.io/Logging_2280/kartor/A 1190-2026 karta.png", "A 1190-2026")</f>
        <v/>
      </c>
      <c r="Y80">
        <f>HYPERLINK("https://klasma.github.io/Logging_2280/kartor_geotiff/A 1190-2026 georefererad karta.tif", "A 1190-2026")</f>
        <v/>
      </c>
      <c r="AA80">
        <f>HYPERLINK("https://klasma.github.io/Logging_2280/klagomål/A 1190-2026 FSC-klagomål.docx", "A 1190-2026")</f>
        <v/>
      </c>
      <c r="AB80">
        <f>HYPERLINK("https://klasma.github.io/Logging_2280/klagomålsmail/A 1190-2026 FSC-klagomål mail.docx", "A 1190-2026")</f>
        <v/>
      </c>
      <c r="AC80">
        <f>HYPERLINK("https://klasma.github.io/Logging_2280/tillsyn/A 1190-2026 tillsynsbegäran.docx", "A 1190-2026")</f>
        <v/>
      </c>
      <c r="AD80">
        <f>HYPERLINK("https://klasma.github.io/Logging_2280/tillsynsmail/A 1190-2026 tillsynsbegäran mail.docx", "A 1190-2026")</f>
        <v/>
      </c>
      <c r="AE80">
        <f>HYPERLINK("https://klasma.github.io/Logging_2280/fåglar/A 1190-2026 prioriterade fågelarter.docx", "A 1190-2026")</f>
        <v/>
      </c>
    </row>
    <row r="81" ht="15" customHeight="1">
      <c r="A81" t="inlineStr">
        <is>
          <t>A 25340-2026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46176</v>
      </c>
      <c r="E81" s="1" t="n">
        <v>46314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Garnlav</t>
        </is>
      </c>
      <c r="W81">
        <f>HYPERLINK("https://klasma.github.io/Logging_2280/artfynd/A 25340-2026 artfynd.xlsx", "A 25340-2026")</f>
        <v/>
      </c>
      <c r="X81">
        <f>HYPERLINK("https://klasma.github.io/Logging_2280/kartor/A 25340-2026 karta.png", "A 25340-2026")</f>
        <v/>
      </c>
      <c r="Y81">
        <f>HYPERLINK("https://klasma.github.io/Logging_2280/kartor_geotiff/A 25340-2026 georefererad karta.tif", "A 25340-2026")</f>
        <v/>
      </c>
      <c r="AA81">
        <f>HYPERLINK("https://klasma.github.io/Logging_2280/klagomål/A 25340-2026 FSC-klagomål.docx", "A 25340-2026")</f>
        <v/>
      </c>
      <c r="AB81">
        <f>HYPERLINK("https://klasma.github.io/Logging_2280/klagomålsmail/A 25340-2026 FSC-klagomål mail.docx", "A 25340-2026")</f>
        <v/>
      </c>
      <c r="AC81">
        <f>HYPERLINK("https://klasma.github.io/Logging_2280/tillsyn/A 25340-2026 tillsynsbegäran.docx", "A 25340-2026")</f>
        <v/>
      </c>
      <c r="AD81">
        <f>HYPERLINK("https://klasma.github.io/Logging_2280/tillsynsmail/A 25340-2026 tillsynsbegäran mail.docx", "A 25340-2026")</f>
        <v/>
      </c>
    </row>
    <row r="82" ht="15" customHeight="1">
      <c r="A82" t="inlineStr">
        <is>
          <t>A 63724-2023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46314</v>
      </c>
      <c r="F82" t="inlineStr">
        <is>
          <t>VÄSTERNORRLANDS LÄN</t>
        </is>
      </c>
      <c r="G82" t="inlineStr">
        <is>
          <t>HÄRNÖSAND</t>
        </is>
      </c>
      <c r="I82" t="n">
        <v>10.1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Älg</t>
        </is>
      </c>
      <c r="W82">
        <f>HYPERLINK("https://klasma.github.io/Logging_2280/artfynd/A 63724-2023 artfynd.xlsx", "A 63724-2023")</f>
        <v/>
      </c>
      <c r="X82">
        <f>HYPERLINK("https://klasma.github.io/Logging_2280/kartor/A 63724-2023 karta.png", "A 63724-2023")</f>
        <v/>
      </c>
      <c r="Y82">
        <f>HYPERLINK("https://klasma.github.io/Logging_2280/kartor_geotiff/A 63724-2023 georefererad karta.tif", "A 63724-2023")</f>
        <v/>
      </c>
      <c r="AA82">
        <f>HYPERLINK("https://klasma.github.io/Logging_2280/klagomål/A 63724-2023 FSC-klagomål.docx", "A 63724-2023")</f>
        <v/>
      </c>
      <c r="AB82">
        <f>HYPERLINK("https://klasma.github.io/Logging_2280/klagomålsmail/A 63724-2023 FSC-klagomål mail.docx", "A 63724-2023")</f>
        <v/>
      </c>
      <c r="AC82">
        <f>HYPERLINK("https://klasma.github.io/Logging_2280/tillsyn/A 63724-2023 tillsynsbegäran.docx", "A 63724-2023")</f>
        <v/>
      </c>
      <c r="AD82">
        <f>HYPERLINK("https://klasma.github.io/Logging_2280/tillsynsmail/A 63724-2023 tillsynsbegäran mail.docx", "A 63724-2023")</f>
        <v/>
      </c>
    </row>
    <row r="83" ht="15" customHeight="1">
      <c r="A83" t="inlineStr">
        <is>
          <t>A 27457-2026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46314</v>
      </c>
      <c r="F83" t="inlineStr">
        <is>
          <t>VÄSTERNORRLANDS LÄN</t>
        </is>
      </c>
      <c r="G83" t="inlineStr">
        <is>
          <t>HÄRNÖSAND</t>
        </is>
      </c>
      <c r="I83" t="n">
        <v>3.8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HYPERLINK("https://klasma.github.io/Logging_2280/artfynd/A 27457-2026 artfynd.xlsx", "A 27457-2026")</f>
        <v/>
      </c>
      <c r="X83">
        <f>HYPERLINK("https://klasma.github.io/Logging_2280/kartor/A 27457-2026 karta.png", "A 27457-2026")</f>
        <v/>
      </c>
      <c r="Y83">
        <f>HYPERLINK("https://klasma.github.io/Logging_2280/kartor_geotiff/A 27457-2026 georefererad karta.tif", "A 27457-2026")</f>
        <v/>
      </c>
      <c r="AA83">
        <f>HYPERLINK("https://klasma.github.io/Logging_2280/klagomål/A 27457-2026 FSC-klagomål.docx", "A 27457-2026")</f>
        <v/>
      </c>
      <c r="AB83">
        <f>HYPERLINK("https://klasma.github.io/Logging_2280/klagomålsmail/A 27457-2026 FSC-klagomål mail.docx", "A 27457-2026")</f>
        <v/>
      </c>
      <c r="AC83">
        <f>HYPERLINK("https://klasma.github.io/Logging_2280/tillsyn/A 27457-2026 tillsynsbegäran.docx", "A 27457-2026")</f>
        <v/>
      </c>
      <c r="AD83">
        <f>HYPERLINK("https://klasma.github.io/Logging_2280/tillsynsmail/A 27457-2026 tillsynsbegäran mail.docx", "A 27457-2026")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46314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Duvhök</t>
        </is>
      </c>
      <c r="W84">
        <f>HYPERLINK("https://klasma.github.io/Logging_2280/artfynd/A 26664-2026 artfynd.xlsx", "A 26664-2026")</f>
        <v/>
      </c>
      <c r="X84">
        <f>HYPERLINK("https://klasma.github.io/Logging_2280/kartor/A 26664-2026 karta.png", "A 26664-2026")</f>
        <v/>
      </c>
      <c r="Y84">
        <f>HYPERLINK("https://klasma.github.io/Logging_2280/kartor_geotiff/A 26664-2026 georefererad karta.tif", "A 26664-2026")</f>
        <v/>
      </c>
      <c r="AA84">
        <f>HYPERLINK("https://klasma.github.io/Logging_2280/klagomål/A 26664-2026 FSC-klagomål.docx", "A 26664-2026")</f>
        <v/>
      </c>
      <c r="AB84">
        <f>HYPERLINK("https://klasma.github.io/Logging_2280/klagomålsmail/A 26664-2026 FSC-klagomål mail.docx", "A 26664-2026")</f>
        <v/>
      </c>
      <c r="AC84">
        <f>HYPERLINK("https://klasma.github.io/Logging_2280/tillsyn/A 26664-2026 tillsynsbegäran.docx", "A 26664-2026")</f>
        <v/>
      </c>
      <c r="AD84">
        <f>HYPERLINK("https://klasma.github.io/Logging_2280/tillsynsmail/A 26664-2026 tillsynsbegäran mail.docx", "A 26664-2026")</f>
        <v/>
      </c>
      <c r="AE84">
        <f>HYPERLINK("https://klasma.github.io/Logging_2280/fåglar/A 26664-2026 prioriterade fågelarter.docx", "A 26664-2026")</f>
        <v/>
      </c>
    </row>
    <row r="85" ht="15" customHeight="1">
      <c r="A85" t="inlineStr">
        <is>
          <t>A 18583-2026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46314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Violettgrå tagellav</t>
        </is>
      </c>
      <c r="W85">
        <f>HYPERLINK("https://klasma.github.io/Logging_2280/artfynd/A 18583-2026 artfynd.xlsx", "A 18583-2026")</f>
        <v/>
      </c>
      <c r="X85">
        <f>HYPERLINK("https://klasma.github.io/Logging_2280/kartor/A 18583-2026 karta.png", "A 18583-2026")</f>
        <v/>
      </c>
      <c r="Y85">
        <f>HYPERLINK("https://klasma.github.io/Logging_2280/kartor_geotiff/A 18583-2026 georefererad karta.tif", "A 18583-2026")</f>
        <v/>
      </c>
      <c r="AA85">
        <f>HYPERLINK("https://klasma.github.io/Logging_2280/klagomål/A 18583-2026 FSC-klagomål.docx", "A 18583-2026")</f>
        <v/>
      </c>
      <c r="AB85">
        <f>HYPERLINK("https://klasma.github.io/Logging_2280/klagomålsmail/A 18583-2026 FSC-klagomål mail.docx", "A 18583-2026")</f>
        <v/>
      </c>
      <c r="AC85">
        <f>HYPERLINK("https://klasma.github.io/Logging_2280/tillsyn/A 18583-2026 tillsynsbegäran.docx", "A 18583-2026")</f>
        <v/>
      </c>
      <c r="AD85">
        <f>HYPERLINK("https://klasma.github.io/Logging_2280/tillsynsmail/A 18583-2026 tillsynsbegäran mail.docx", "A 18583-2026")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46314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Skogshare</t>
        </is>
      </c>
      <c r="W86">
        <f>HYPERLINK("https://klasma.github.io/Logging_2280/artfynd/A 74325-2021 artfynd.xlsx", "A 74325-2021")</f>
        <v/>
      </c>
      <c r="X86">
        <f>HYPERLINK("https://klasma.github.io/Logging_2280/kartor/A 74325-2021 karta.png", "A 74325-2021")</f>
        <v/>
      </c>
      <c r="Y86">
        <f>HYPERLINK("https://klasma.github.io/Logging_2280/kartor_geotiff/A 74325-2021 georefererad karta.tif", "A 74325-2021")</f>
        <v/>
      </c>
      <c r="AA86">
        <f>HYPERLINK("https://klasma.github.io/Logging_2280/klagomål/A 74325-2021 FSC-klagomål.docx", "A 74325-2021")</f>
        <v/>
      </c>
      <c r="AB86">
        <f>HYPERLINK("https://klasma.github.io/Logging_2280/klagomålsmail/A 74325-2021 FSC-klagomål mail.docx", "A 74325-2021")</f>
        <v/>
      </c>
      <c r="AC86">
        <f>HYPERLINK("https://klasma.github.io/Logging_2280/tillsyn/A 74325-2021 tillsynsbegäran.docx", "A 74325-2021")</f>
        <v/>
      </c>
      <c r="AD86">
        <f>HYPERLINK("https://klasma.github.io/Logging_2280/tillsynsmail/A 74325-2021 tillsynsbegäran mail.docx", "A 74325-2021")</f>
        <v/>
      </c>
    </row>
    <row r="87" ht="15" customHeight="1">
      <c r="A87" t="inlineStr">
        <is>
          <t>A 30907-2026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46213</v>
      </c>
      <c r="E87" s="1" t="n">
        <v>46314</v>
      </c>
      <c r="F87" t="inlineStr">
        <is>
          <t>VÄSTERNORRLANDS LÄN</t>
        </is>
      </c>
      <c r="G87" t="inlineStr">
        <is>
          <t>HÄRNÖSAND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HYPERLINK("https://klasma.github.io/Logging_2280/artfynd/A 30907-2026 artfynd.xlsx", "A 30907-2026")</f>
        <v/>
      </c>
      <c r="X87">
        <f>HYPERLINK("https://klasma.github.io/Logging_2280/kartor/A 30907-2026 karta.png", "A 30907-2026")</f>
        <v/>
      </c>
      <c r="Y87">
        <f>HYPERLINK("https://klasma.github.io/Logging_2280/kartor_geotiff/A 30907-2026 georefererad karta.tif", "A 30907-2026")</f>
        <v/>
      </c>
      <c r="AA87">
        <f>HYPERLINK("https://klasma.github.io/Logging_2280/klagomål/A 30907-2026 FSC-klagomål.docx", "A 30907-2026")</f>
        <v/>
      </c>
      <c r="AB87">
        <f>HYPERLINK("https://klasma.github.io/Logging_2280/klagomålsmail/A 30907-2026 FSC-klagomål mail.docx", "A 30907-2026")</f>
        <v/>
      </c>
      <c r="AC87">
        <f>HYPERLINK("https://klasma.github.io/Logging_2280/tillsyn/A 30907-2026 tillsynsbegäran.docx", "A 30907-2026")</f>
        <v/>
      </c>
      <c r="AD87">
        <f>HYPERLINK("https://klasma.github.io/Logging_2280/tillsynsmail/A 30907-2026 tillsynsbegäran mail.docx", "A 30907-2026")</f>
        <v/>
      </c>
      <c r="AE87">
        <f>HYPERLINK("https://klasma.github.io/Logging_2280/fåglar/A 30907-2026 prioriterade fågelarter.docx", "A 30907-2026")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46314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43541-2022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44837</v>
      </c>
      <c r="E89" s="1" t="n">
        <v>46314</v>
      </c>
      <c r="F89" t="inlineStr">
        <is>
          <t>VÄSTERNORRLANDS LÄN</t>
        </is>
      </c>
      <c r="G89" t="inlineStr">
        <is>
          <t>HÄRNÖSAND</t>
        </is>
      </c>
      <c r="I89" t="n">
        <v>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Sötgräs</t>
        </is>
      </c>
      <c r="W89">
        <f>HYPERLINK("https://klasma.github.io/Logging_2280/artfynd/A 43541-2022 artfynd.xlsx", "A 43541-2022")</f>
        <v/>
      </c>
      <c r="X89">
        <f>HYPERLINK("https://klasma.github.io/Logging_2280/kartor/A 43541-2022 karta.png", "A 43541-2022")</f>
        <v/>
      </c>
      <c r="Y89">
        <f>HYPERLINK("https://klasma.github.io/Logging_2280/kartor_geotiff/A 43541-2022 georefererad karta.tif", "A 43541-2022")</f>
        <v/>
      </c>
      <c r="AA89">
        <f>HYPERLINK("https://klasma.github.io/Logging_2280/klagomål/A 43541-2022 FSC-klagomål.docx", "A 43541-2022")</f>
        <v/>
      </c>
      <c r="AB89">
        <f>HYPERLINK("https://klasma.github.io/Logging_2280/klagomålsmail/A 43541-2022 FSC-klagomål mail.docx", "A 43541-2022")</f>
        <v/>
      </c>
      <c r="AC89">
        <f>HYPERLINK("https://klasma.github.io/Logging_2280/tillsyn/A 43541-2022 tillsynsbegäran.docx", "A 43541-2022")</f>
        <v/>
      </c>
      <c r="AD89">
        <f>HYPERLINK("https://klasma.github.io/Logging_2280/tillsynsmail/A 43541-2022 tillsynsbegäran mail.docx", "A 43541-2022")</f>
        <v/>
      </c>
    </row>
    <row r="90" ht="15" customHeight="1">
      <c r="A90" t="inlineStr">
        <is>
          <t>A 19077-2024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45428</v>
      </c>
      <c r="E90" s="1" t="n">
        <v>46314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HYPERLINK("https://klasma.github.io/Logging_2280/artfynd/A 19077-2024 artfynd.xlsx", "A 19077-2024")</f>
        <v/>
      </c>
      <c r="X90">
        <f>HYPERLINK("https://klasma.github.io/Logging_2280/kartor/A 19077-2024 karta.png", "A 19077-2024")</f>
        <v/>
      </c>
      <c r="Y90">
        <f>HYPERLINK("https://klasma.github.io/Logging_2280/kartor_geotiff/A 19077-2024 georefererad karta.tif", "A 19077-2024")</f>
        <v/>
      </c>
      <c r="AA90">
        <f>HYPERLINK("https://klasma.github.io/Logging_2280/klagomål/A 19077-2024 FSC-klagomål.docx", "A 19077-2024")</f>
        <v/>
      </c>
      <c r="AB90">
        <f>HYPERLINK("https://klasma.github.io/Logging_2280/klagomålsmail/A 19077-2024 FSC-klagomål mail.docx", "A 19077-2024")</f>
        <v/>
      </c>
      <c r="AC90">
        <f>HYPERLINK("https://klasma.github.io/Logging_2280/tillsyn/A 19077-2024 tillsynsbegäran.docx", "A 19077-2024")</f>
        <v/>
      </c>
      <c r="AD90">
        <f>HYPERLINK("https://klasma.github.io/Logging_2280/tillsynsmail/A 19077-2024 tillsynsbegäran mail.docx", "A 19077-2024")</f>
        <v/>
      </c>
    </row>
    <row r="91" ht="15" customHeight="1">
      <c r="A91" t="inlineStr">
        <is>
          <t>A 27923-2026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46314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9.300000000000001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Veckticka</t>
        </is>
      </c>
      <c r="W91">
        <f>HYPERLINK("https://klasma.github.io/Logging_2280/artfynd/A 27923-2026 artfynd.xlsx", "A 27923-2026")</f>
        <v/>
      </c>
      <c r="X91">
        <f>HYPERLINK("https://klasma.github.io/Logging_2280/kartor/A 27923-2026 karta.png", "A 27923-2026")</f>
        <v/>
      </c>
      <c r="Y91">
        <f>HYPERLINK("https://klasma.github.io/Logging_2280/kartor_geotiff/A 27923-2026 georefererad karta.tif", "A 27923-2026")</f>
        <v/>
      </c>
      <c r="AA91">
        <f>HYPERLINK("https://klasma.github.io/Logging_2280/klagomål/A 27923-2026 FSC-klagomål.docx", "A 27923-2026")</f>
        <v/>
      </c>
      <c r="AB91">
        <f>HYPERLINK("https://klasma.github.io/Logging_2280/klagomålsmail/A 27923-2026 FSC-klagomål mail.docx", "A 27923-2026")</f>
        <v/>
      </c>
      <c r="AC91">
        <f>HYPERLINK("https://klasma.github.io/Logging_2280/tillsyn/A 27923-2026 tillsynsbegäran.docx", "A 27923-2026")</f>
        <v/>
      </c>
      <c r="AD91">
        <f>HYPERLINK("https://klasma.github.io/Logging_2280/tillsynsmail/A 27923-2026 tillsynsbegäran mail.docx", "A 27923-2026")</f>
        <v/>
      </c>
    </row>
    <row r="92" ht="15" customHeight="1">
      <c r="A92" t="inlineStr">
        <is>
          <t>A 26086-2025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46314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Orre</t>
        </is>
      </c>
      <c r="W92">
        <f>HYPERLINK("https://klasma.github.io/Logging_2280/artfynd/A 26086-2025 artfynd.xlsx", "A 26086-2025")</f>
        <v/>
      </c>
      <c r="X92">
        <f>HYPERLINK("https://klasma.github.io/Logging_2280/kartor/A 26086-2025 karta.png", "A 26086-2025")</f>
        <v/>
      </c>
      <c r="Y92">
        <f>HYPERLINK("https://klasma.github.io/Logging_2280/kartor_geotiff/A 26086-2025 georefererad karta.tif", "A 26086-2025")</f>
        <v/>
      </c>
      <c r="AA92">
        <f>HYPERLINK("https://klasma.github.io/Logging_2280/klagomål/A 26086-2025 FSC-klagomål.docx", "A 26086-2025")</f>
        <v/>
      </c>
      <c r="AB92">
        <f>HYPERLINK("https://klasma.github.io/Logging_2280/klagomålsmail/A 26086-2025 FSC-klagomål mail.docx", "A 26086-2025")</f>
        <v/>
      </c>
      <c r="AC92">
        <f>HYPERLINK("https://klasma.github.io/Logging_2280/tillsyn/A 26086-2025 tillsynsbegäran.docx", "A 26086-2025")</f>
        <v/>
      </c>
      <c r="AD92">
        <f>HYPERLINK("https://klasma.github.io/Logging_2280/tillsynsmail/A 26086-2025 tillsynsbegäran mail.docx", "A 26086-2025")</f>
        <v/>
      </c>
      <c r="AE92">
        <f>HYPERLINK("https://klasma.github.io/Logging_2280/fåglar/A 26086-2025 prioriterade fågelarter.docx", "A 26086-2025")</f>
        <v/>
      </c>
    </row>
    <row r="93" ht="15" customHeight="1">
      <c r="A93" t="inlineStr">
        <is>
          <t>A 26174-2025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46314</v>
      </c>
      <c r="F93" t="inlineStr">
        <is>
          <t>VÄSTERNORRLANDS LÄN</t>
        </is>
      </c>
      <c r="G93" t="inlineStr">
        <is>
          <t>HÄRNÖSAND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Lunglav</t>
        </is>
      </c>
      <c r="W93">
        <f>HYPERLINK("https://klasma.github.io/Logging_2280/artfynd/A 26174-2025 artfynd.xlsx", "A 26174-2025")</f>
        <v/>
      </c>
      <c r="X93">
        <f>HYPERLINK("https://klasma.github.io/Logging_2280/kartor/A 26174-2025 karta.png", "A 26174-2025")</f>
        <v/>
      </c>
      <c r="Y93">
        <f>HYPERLINK("https://klasma.github.io/Logging_2280/kartor_geotiff/A 26174-2025 georefererad karta.tif", "A 26174-2025")</f>
        <v/>
      </c>
      <c r="AA93">
        <f>HYPERLINK("https://klasma.github.io/Logging_2280/klagomål/A 26174-2025 FSC-klagomål.docx", "A 26174-2025")</f>
        <v/>
      </c>
      <c r="AB93">
        <f>HYPERLINK("https://klasma.github.io/Logging_2280/klagomålsmail/A 26174-2025 FSC-klagomål mail.docx", "A 26174-2025")</f>
        <v/>
      </c>
      <c r="AC93">
        <f>HYPERLINK("https://klasma.github.io/Logging_2280/tillsyn/A 26174-2025 tillsynsbegäran.docx", "A 26174-2025")</f>
        <v/>
      </c>
      <c r="AD93">
        <f>HYPERLINK("https://klasma.github.io/Logging_2280/tillsynsmail/A 26174-2025 tillsynsbegäran mail.docx", "A 26174-2025")</f>
        <v/>
      </c>
    </row>
    <row r="94" ht="15" customHeight="1">
      <c r="A94" t="inlineStr">
        <is>
          <t>A 26922-2025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46314</v>
      </c>
      <c r="F94" t="inlineStr">
        <is>
          <t>VÄSTERNORRLANDS LÄN</t>
        </is>
      </c>
      <c r="G94" t="inlineStr">
        <is>
          <t>HÄRNÖSAND</t>
        </is>
      </c>
      <c r="I94" t="n">
        <v>2.4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Barkticka</t>
        </is>
      </c>
      <c r="W94">
        <f>HYPERLINK("https://klasma.github.io/Logging_2280/artfynd/A 26922-2025 artfynd.xlsx", "A 26922-2025")</f>
        <v/>
      </c>
      <c r="X94">
        <f>HYPERLINK("https://klasma.github.io/Logging_2280/kartor/A 26922-2025 karta.png", "A 26922-2025")</f>
        <v/>
      </c>
      <c r="Y94">
        <f>HYPERLINK("https://klasma.github.io/Logging_2280/kartor_geotiff/A 26922-2025 georefererad karta.tif", "A 26922-2025")</f>
        <v/>
      </c>
      <c r="AA94">
        <f>HYPERLINK("https://klasma.github.io/Logging_2280/klagomål/A 26922-2025 FSC-klagomål.docx", "A 26922-2025")</f>
        <v/>
      </c>
      <c r="AB94">
        <f>HYPERLINK("https://klasma.github.io/Logging_2280/klagomålsmail/A 26922-2025 FSC-klagomål mail.docx", "A 26922-2025")</f>
        <v/>
      </c>
      <c r="AC94">
        <f>HYPERLINK("https://klasma.github.io/Logging_2280/tillsyn/A 26922-2025 tillsynsbegäran.docx", "A 26922-2025")</f>
        <v/>
      </c>
      <c r="AD94">
        <f>HYPERLINK("https://klasma.github.io/Logging_2280/tillsynsmail/A 26922-2025 tillsynsbegäran mail.docx", "A 26922-2025")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46314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46314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46314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46314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46314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46314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46314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46314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46314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46314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46314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46314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46314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46314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46314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46314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46314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46314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46314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46314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46314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46314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46314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46314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46314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46314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46314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46314</v>
      </c>
      <c r="F122" t="inlineStr">
        <is>
          <t>VÄSTERNORRLANDS LÄN</t>
        </is>
      </c>
      <c r="G122" t="inlineStr">
        <is>
          <t>HÄRNÖSAND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70563-2021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44532</v>
      </c>
      <c r="E123" s="1" t="n">
        <v>46314</v>
      </c>
      <c r="F123" t="inlineStr">
        <is>
          <t>VÄSTERNORRLANDS LÄN</t>
        </is>
      </c>
      <c r="G123" t="inlineStr">
        <is>
          <t>HÄRNÖSAND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44571</v>
      </c>
      <c r="E124" s="1" t="n">
        <v>46314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46314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46314</v>
      </c>
      <c r="F126" t="inlineStr">
        <is>
          <t>VÄSTERNORRLANDS LÄN</t>
        </is>
      </c>
      <c r="G126" t="inlineStr">
        <is>
          <t>HÄRNÖSAND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70603-2021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44536</v>
      </c>
      <c r="E127" s="1" t="n">
        <v>46314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46314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46314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46314</v>
      </c>
      <c r="F130" t="inlineStr">
        <is>
          <t>VÄSTERNORRLANDS LÄN</t>
        </is>
      </c>
      <c r="G130" t="inlineStr">
        <is>
          <t>HÄRNÖSAND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45462</v>
      </c>
      <c r="E131" s="1" t="n">
        <v>46314</v>
      </c>
      <c r="F131" t="inlineStr">
        <is>
          <t>VÄSTERNORRLANDS LÄN</t>
        </is>
      </c>
      <c r="G131" t="inlineStr">
        <is>
          <t>HÄRNÖSAND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45293</v>
      </c>
      <c r="E132" s="1" t="n">
        <v>46314</v>
      </c>
      <c r="F132" t="inlineStr">
        <is>
          <t>VÄSTERNORRLANDS LÄN</t>
        </is>
      </c>
      <c r="G132" t="inlineStr">
        <is>
          <t>HÄRNÖSAND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44747</v>
      </c>
      <c r="E133" s="1" t="n">
        <v>46314</v>
      </c>
      <c r="F133" t="inlineStr">
        <is>
          <t>VÄSTERNORRLANDS LÄN</t>
        </is>
      </c>
      <c r="G133" t="inlineStr">
        <is>
          <t>HÄRNÖSAND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46314</v>
      </c>
      <c r="F134" t="inlineStr">
        <is>
          <t>VÄSTERNORRLANDS LÄN</t>
        </is>
      </c>
      <c r="G134" t="inlineStr">
        <is>
          <t>HÄRNÖSAND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46314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54251-2022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44881</v>
      </c>
      <c r="E136" s="1" t="n">
        <v>46314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46314</v>
      </c>
      <c r="F137" t="inlineStr">
        <is>
          <t>VÄSTERNORRLANDS LÄN</t>
        </is>
      </c>
      <c r="G137" t="inlineStr">
        <is>
          <t>HÄRNÖSAND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49039-2023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45209</v>
      </c>
      <c r="E138" s="1" t="n">
        <v>46314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46314</v>
      </c>
      <c r="F139" t="inlineStr">
        <is>
          <t>VÄSTERNORRLANDS LÄN</t>
        </is>
      </c>
      <c r="G139" t="inlineStr">
        <is>
          <t>HÄRNÖSAND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46314</v>
      </c>
      <c r="F140" t="inlineStr">
        <is>
          <t>VÄSTERNORRLANDS LÄN</t>
        </is>
      </c>
      <c r="G140" t="inlineStr">
        <is>
          <t>HÄRNÖSAND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46314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64563-2023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46314</v>
      </c>
      <c r="F142" t="inlineStr">
        <is>
          <t>VÄSTERNORRLANDS LÄN</t>
        </is>
      </c>
      <c r="G142" t="inlineStr">
        <is>
          <t>HÄRNÖSAND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46314</v>
      </c>
      <c r="F143" t="inlineStr">
        <is>
          <t>VÄSTERNORRLANDS LÄN</t>
        </is>
      </c>
      <c r="G143" t="inlineStr">
        <is>
          <t>HÄRNÖSAND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46314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46314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46314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46314</v>
      </c>
      <c r="F147" t="inlineStr">
        <is>
          <t>VÄSTERNORRLANDS LÄN</t>
        </is>
      </c>
      <c r="G147" t="inlineStr">
        <is>
          <t>HÄRNÖSAND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46314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46314</v>
      </c>
      <c r="F149" t="inlineStr">
        <is>
          <t>VÄSTERNORRLANDS LÄN</t>
        </is>
      </c>
      <c r="G149" t="inlineStr">
        <is>
          <t>HÄRNÖSAND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46314</v>
      </c>
      <c r="F150" t="inlineStr">
        <is>
          <t>VÄSTERNORRLANDS LÄN</t>
        </is>
      </c>
      <c r="G150" t="inlineStr">
        <is>
          <t>HÄRNÖSAND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46314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45126</v>
      </c>
      <c r="E152" s="1" t="n">
        <v>46314</v>
      </c>
      <c r="F152" t="inlineStr">
        <is>
          <t>VÄSTERNORRLANDS LÄN</t>
        </is>
      </c>
      <c r="G152" t="inlineStr">
        <is>
          <t>HÄRNÖSAND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46314</v>
      </c>
      <c r="F153" t="inlineStr">
        <is>
          <t>VÄSTERNORRLANDS LÄN</t>
        </is>
      </c>
      <c r="G153" t="inlineStr">
        <is>
          <t>HÄRNÖSAND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45228</v>
      </c>
      <c r="E154" s="1" t="n">
        <v>46314</v>
      </c>
      <c r="F154" t="inlineStr">
        <is>
          <t>VÄSTERNORRLANDS LÄN</t>
        </is>
      </c>
      <c r="G154" t="inlineStr">
        <is>
          <t>HÄRNÖSAND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46314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45300</v>
      </c>
      <c r="E156" s="1" t="n">
        <v>46314</v>
      </c>
      <c r="F156" t="inlineStr">
        <is>
          <t>VÄSTERNORRLANDS LÄN</t>
        </is>
      </c>
      <c r="G156" t="inlineStr">
        <is>
          <t>HÄRNÖSAND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46314</v>
      </c>
      <c r="F157" t="inlineStr">
        <is>
          <t>VÄSTERNORRLANDS LÄN</t>
        </is>
      </c>
      <c r="G157" t="inlineStr">
        <is>
          <t>HÄRNÖSAND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45482</v>
      </c>
      <c r="E158" s="1" t="n">
        <v>46314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46314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46314</v>
      </c>
      <c r="F160" t="inlineStr">
        <is>
          <t>VÄSTERNORRLANDS LÄN</t>
        </is>
      </c>
      <c r="G160" t="inlineStr">
        <is>
          <t>HÄRNÖSAND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44853</v>
      </c>
      <c r="E161" s="1" t="n">
        <v>46314</v>
      </c>
      <c r="F161" t="inlineStr">
        <is>
          <t>VÄSTERNORRLANDS LÄN</t>
        </is>
      </c>
      <c r="G161" t="inlineStr">
        <is>
          <t>HÄRNÖSAND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64746-2023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46314</v>
      </c>
      <c r="F162" t="inlineStr">
        <is>
          <t>VÄSTERNORRLANDS LÄN</t>
        </is>
      </c>
      <c r="G162" t="inlineStr">
        <is>
          <t>HÄRNÖSAND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45289</v>
      </c>
      <c r="E163" s="1" t="n">
        <v>46314</v>
      </c>
      <c r="F163" t="inlineStr">
        <is>
          <t>VÄSTERNORRLANDS LÄN</t>
        </is>
      </c>
      <c r="G163" t="inlineStr">
        <is>
          <t>HÄRNÖSAND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64023-2023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45278</v>
      </c>
      <c r="E164" s="1" t="n">
        <v>46314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45181</v>
      </c>
      <c r="E165" s="1" t="n">
        <v>46314</v>
      </c>
      <c r="F165" t="inlineStr">
        <is>
          <t>VÄSTERNORRLANDS LÄN</t>
        </is>
      </c>
      <c r="G165" t="inlineStr">
        <is>
          <t>HÄRNÖSAND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65224-2023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45289</v>
      </c>
      <c r="E166" s="1" t="n">
        <v>46314</v>
      </c>
      <c r="F166" t="inlineStr">
        <is>
          <t>VÄSTERNORRLANDS LÄN</t>
        </is>
      </c>
      <c r="G166" t="inlineStr">
        <is>
          <t>HÄRNÖSAND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45749</v>
      </c>
      <c r="E167" s="1" t="n">
        <v>46314</v>
      </c>
      <c r="F167" t="inlineStr">
        <is>
          <t>VÄSTERNORRLANDS LÄN</t>
        </is>
      </c>
      <c r="G167" t="inlineStr">
        <is>
          <t>HÄRNÖSAND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45578</v>
      </c>
      <c r="E168" s="1" t="n">
        <v>46314</v>
      </c>
      <c r="F168" t="inlineStr">
        <is>
          <t>VÄSTERNORRLANDS LÄN</t>
        </is>
      </c>
      <c r="G168" t="inlineStr">
        <is>
          <t>HÄRNÖSAND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46314</v>
      </c>
      <c r="F169" t="inlineStr">
        <is>
          <t>VÄSTERNORRLANDS LÄN</t>
        </is>
      </c>
      <c r="G169" t="inlineStr">
        <is>
          <t>HÄRNÖSAND</t>
        </is>
      </c>
      <c r="I169" t="n">
        <v>10.3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44728</v>
      </c>
      <c r="E170" s="1" t="n">
        <v>46314</v>
      </c>
      <c r="F170" t="inlineStr">
        <is>
          <t>VÄSTERNORRLANDS LÄN</t>
        </is>
      </c>
      <c r="G170" t="inlineStr">
        <is>
          <t>HÄRNÖSAND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45757</v>
      </c>
      <c r="E171" s="1" t="n">
        <v>46314</v>
      </c>
      <c r="F171" t="inlineStr">
        <is>
          <t>VÄSTERNORRLANDS LÄN</t>
        </is>
      </c>
      <c r="G171" t="inlineStr">
        <is>
          <t>HÄRNÖSAND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45496</v>
      </c>
      <c r="E172" s="1" t="n">
        <v>46314</v>
      </c>
      <c r="F172" t="inlineStr">
        <is>
          <t>VÄSTERNORRLANDS LÄN</t>
        </is>
      </c>
      <c r="G172" t="inlineStr">
        <is>
          <t>HÄRNÖSAND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46314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29429-2024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45483</v>
      </c>
      <c r="E174" s="1" t="n">
        <v>46314</v>
      </c>
      <c r="F174" t="inlineStr">
        <is>
          <t>VÄSTERNORRLANDS LÄN</t>
        </is>
      </c>
      <c r="G174" t="inlineStr">
        <is>
          <t>HÄRNÖSAND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46314</v>
      </c>
      <c r="F175" t="inlineStr">
        <is>
          <t>VÄSTERNORRLANDS LÄN</t>
        </is>
      </c>
      <c r="G175" t="inlineStr">
        <is>
          <t>HÄRNÖSAND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46314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45173</v>
      </c>
      <c r="E177" s="1" t="n">
        <v>46314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40452-2023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45168</v>
      </c>
      <c r="E178" s="1" t="n">
        <v>46314</v>
      </c>
      <c r="F178" t="inlineStr">
        <is>
          <t>VÄSTERNORRLANDS LÄN</t>
        </is>
      </c>
      <c r="G178" t="inlineStr">
        <is>
          <t>HÄRNÖSAND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46314</v>
      </c>
      <c r="F179" t="inlineStr">
        <is>
          <t>VÄSTERNORRLANDS LÄN</t>
        </is>
      </c>
      <c r="G179" t="inlineStr">
        <is>
          <t>HÄRNÖSAND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44980</v>
      </c>
      <c r="E180" s="1" t="n">
        <v>46314</v>
      </c>
      <c r="F180" t="inlineStr">
        <is>
          <t>VÄSTERNORRLANDS LÄN</t>
        </is>
      </c>
      <c r="G180" t="inlineStr">
        <is>
          <t>HÄRNÖSAND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46314</v>
      </c>
      <c r="F181" t="inlineStr">
        <is>
          <t>VÄSTERNORRLANDS LÄN</t>
        </is>
      </c>
      <c r="G181" t="inlineStr">
        <is>
          <t>HÄRNÖSAND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46314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46314</v>
      </c>
      <c r="F183" t="inlineStr">
        <is>
          <t>VÄSTERNORRLANDS LÄN</t>
        </is>
      </c>
      <c r="G183" t="inlineStr">
        <is>
          <t>HÄRNÖSAND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45729</v>
      </c>
      <c r="E184" s="1" t="n">
        <v>46314</v>
      </c>
      <c r="F184" t="inlineStr">
        <is>
          <t>VÄSTERNORRLANDS LÄN</t>
        </is>
      </c>
      <c r="G184" t="inlineStr">
        <is>
          <t>HÄRNÖSAND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46314</v>
      </c>
      <c r="F185" t="inlineStr">
        <is>
          <t>VÄSTERNORRLANDS LÄN</t>
        </is>
      </c>
      <c r="G185" t="inlineStr">
        <is>
          <t>HÄRNÖSAND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45617</v>
      </c>
      <c r="E186" s="1" t="n">
        <v>46314</v>
      </c>
      <c r="F186" t="inlineStr">
        <is>
          <t>VÄSTERNORRLANDS LÄN</t>
        </is>
      </c>
      <c r="G186" t="inlineStr">
        <is>
          <t>HÄRNÖSAND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46314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46314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46314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46314</v>
      </c>
      <c r="F190" t="inlineStr">
        <is>
          <t>VÄSTERNORRLANDS LÄN</t>
        </is>
      </c>
      <c r="G190" t="inlineStr">
        <is>
          <t>HÄRNÖSAND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45342</v>
      </c>
      <c r="E191" s="1" t="n">
        <v>46314</v>
      </c>
      <c r="F191" t="inlineStr">
        <is>
          <t>VÄSTERNORRLANDS LÄN</t>
        </is>
      </c>
      <c r="G191" t="inlineStr">
        <is>
          <t>HÄRNÖSAND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46314</v>
      </c>
      <c r="F192" t="inlineStr">
        <is>
          <t>VÄSTERNORRLANDS LÄN</t>
        </is>
      </c>
      <c r="G192" t="inlineStr">
        <is>
          <t>HÄRNÖSAND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46314</v>
      </c>
      <c r="F193" t="inlineStr">
        <is>
          <t>VÄSTERNORRLANDS LÄN</t>
        </is>
      </c>
      <c r="G193" t="inlineStr">
        <is>
          <t>HÄRNÖSAND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46314</v>
      </c>
      <c r="F194" t="inlineStr">
        <is>
          <t>VÄSTERNORRLANDS LÄN</t>
        </is>
      </c>
      <c r="G194" t="inlineStr">
        <is>
          <t>HÄRNÖSAND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59408-2024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45638</v>
      </c>
      <c r="E195" s="1" t="n">
        <v>46314</v>
      </c>
      <c r="F195" t="inlineStr">
        <is>
          <t>VÄSTERNORRLANDS LÄN</t>
        </is>
      </c>
      <c r="G195" t="inlineStr">
        <is>
          <t>HÄRNÖSAND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46314</v>
      </c>
      <c r="F196" t="inlineStr">
        <is>
          <t>VÄSTERNORRLANDS LÄN</t>
        </is>
      </c>
      <c r="G196" t="inlineStr">
        <is>
          <t>HÄRNÖSAND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46314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45890</v>
      </c>
      <c r="E198" s="1" t="n">
        <v>46314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45293</v>
      </c>
      <c r="E199" s="1" t="n">
        <v>46314</v>
      </c>
      <c r="F199" t="inlineStr">
        <is>
          <t>VÄSTERNORRLANDS LÄN</t>
        </is>
      </c>
      <c r="G199" t="inlineStr">
        <is>
          <t>HÄRNÖSAND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46314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46314</v>
      </c>
      <c r="F201" t="inlineStr">
        <is>
          <t>VÄSTERNORRLANDS LÄN</t>
        </is>
      </c>
      <c r="G201" t="inlineStr">
        <is>
          <t>HÄRNÖSAND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44853</v>
      </c>
      <c r="E202" s="1" t="n">
        <v>46314</v>
      </c>
      <c r="F202" t="inlineStr">
        <is>
          <t>VÄSTERNORRLANDS LÄN</t>
        </is>
      </c>
      <c r="G202" t="inlineStr">
        <is>
          <t>HÄRNÖSAND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45147</v>
      </c>
      <c r="E203" s="1" t="n">
        <v>46314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46314</v>
      </c>
      <c r="F204" t="inlineStr">
        <is>
          <t>VÄSTERNORRLANDS LÄN</t>
        </is>
      </c>
      <c r="G204" t="inlineStr">
        <is>
          <t>HÄRNÖSAND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46314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Kyrkan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46314</v>
      </c>
      <c r="F206" t="inlineStr">
        <is>
          <t>VÄSTERNORRLANDS LÄN</t>
        </is>
      </c>
      <c r="G206" t="inlineStr">
        <is>
          <t>HÄRNÖSAND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46314</v>
      </c>
      <c r="F207" t="inlineStr">
        <is>
          <t>VÄSTERNORRLANDS LÄN</t>
        </is>
      </c>
      <c r="G207" t="inlineStr">
        <is>
          <t>HÄRNÖSAND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46314</v>
      </c>
      <c r="F208" t="inlineStr">
        <is>
          <t>VÄSTERNORRLANDS LÄN</t>
        </is>
      </c>
      <c r="G208" t="inlineStr">
        <is>
          <t>HÄRNÖSAND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46024</v>
      </c>
      <c r="E209" s="1" t="n">
        <v>46314</v>
      </c>
      <c r="F209" t="inlineStr">
        <is>
          <t>VÄSTERNORRLANDS LÄN</t>
        </is>
      </c>
      <c r="G209" t="inlineStr">
        <is>
          <t>HÄRNÖSAND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46314</v>
      </c>
      <c r="F210" t="inlineStr">
        <is>
          <t>VÄSTERNORRLANDS LÄN</t>
        </is>
      </c>
      <c r="G210" t="inlineStr">
        <is>
          <t>HÄRNÖSAND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45293</v>
      </c>
      <c r="E211" s="1" t="n">
        <v>46314</v>
      </c>
      <c r="F211" t="inlineStr">
        <is>
          <t>VÄSTERNORRLANDS LÄN</t>
        </is>
      </c>
      <c r="G211" t="inlineStr">
        <is>
          <t>HÄRNÖSAND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41562-2025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45901</v>
      </c>
      <c r="E212" s="1" t="n">
        <v>46314</v>
      </c>
      <c r="F212" t="inlineStr">
        <is>
          <t>VÄSTERNORRLANDS LÄN</t>
        </is>
      </c>
      <c r="G212" t="inlineStr">
        <is>
          <t>HÄRNÖSAND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46314</v>
      </c>
      <c r="F213" t="inlineStr">
        <is>
          <t>VÄSTERNORRLANDS LÄN</t>
        </is>
      </c>
      <c r="G213" t="inlineStr">
        <is>
          <t>HÄRNÖSAND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45526</v>
      </c>
      <c r="E214" s="1" t="n">
        <v>46314</v>
      </c>
      <c r="F214" t="inlineStr">
        <is>
          <t>VÄSTERNORRLANDS LÄN</t>
        </is>
      </c>
      <c r="G214" t="inlineStr">
        <is>
          <t>HÄRNÖSAND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34011-2024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45523</v>
      </c>
      <c r="E215" s="1" t="n">
        <v>46314</v>
      </c>
      <c r="F215" t="inlineStr">
        <is>
          <t>VÄSTERNORRLANDS LÄN</t>
        </is>
      </c>
      <c r="G215" t="inlineStr">
        <is>
          <t>HÄRNÖSAND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46314</v>
      </c>
      <c r="F216" t="inlineStr">
        <is>
          <t>VÄSTERNORRLANDS LÄN</t>
        </is>
      </c>
      <c r="G216" t="inlineStr">
        <is>
          <t>HÄRNÖSAND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46314</v>
      </c>
      <c r="F217" t="inlineStr">
        <is>
          <t>VÄSTERNORRLANDS LÄN</t>
        </is>
      </c>
      <c r="G217" t="inlineStr">
        <is>
          <t>HÄRNÖSAND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46314</v>
      </c>
      <c r="F218" t="inlineStr">
        <is>
          <t>VÄSTERNORRLANDS LÄN</t>
        </is>
      </c>
      <c r="G218" t="inlineStr">
        <is>
          <t>HÄRNÖSAND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46314</v>
      </c>
      <c r="F219" t="inlineStr">
        <is>
          <t>VÄSTERNORRLANDS LÄN</t>
        </is>
      </c>
      <c r="G219" t="inlineStr">
        <is>
          <t>HÄRNÖSAND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46314</v>
      </c>
      <c r="F220" t="inlineStr">
        <is>
          <t>VÄSTERNORRLANDS LÄN</t>
        </is>
      </c>
      <c r="G220" t="inlineStr">
        <is>
          <t>HÄRNÖSAND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46314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46314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46314</v>
      </c>
      <c r="F223" t="inlineStr">
        <is>
          <t>VÄSTERNORRLANDS LÄN</t>
        </is>
      </c>
      <c r="G223" t="inlineStr">
        <is>
          <t>HÄRNÖSAND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46314</v>
      </c>
      <c r="F224" t="inlineStr">
        <is>
          <t>VÄSTERNORRLANDS LÄN</t>
        </is>
      </c>
      <c r="G224" t="inlineStr">
        <is>
          <t>HÄRNÖSAND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46314</v>
      </c>
      <c r="F225" t="inlineStr">
        <is>
          <t>VÄSTERNORRLANDS LÄN</t>
        </is>
      </c>
      <c r="G225" t="inlineStr">
        <is>
          <t>HÄRNÖSAND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46314</v>
      </c>
      <c r="F226" t="inlineStr">
        <is>
          <t>VÄSTERNORRLANDS LÄN</t>
        </is>
      </c>
      <c r="G226" t="inlineStr">
        <is>
          <t>HÄRNÖSAND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46314</v>
      </c>
      <c r="F227" t="inlineStr">
        <is>
          <t>VÄSTERNORRLANDS LÄN</t>
        </is>
      </c>
      <c r="G227" t="inlineStr">
        <is>
          <t>HÄRNÖSAND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32180-2024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45511</v>
      </c>
      <c r="E228" s="1" t="n">
        <v>46314</v>
      </c>
      <c r="F228" t="inlineStr">
        <is>
          <t>VÄSTERNORRLANDS LÄN</t>
        </is>
      </c>
      <c r="G228" t="inlineStr">
        <is>
          <t>HÄRNÖSAND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46314</v>
      </c>
      <c r="F229" t="inlineStr">
        <is>
          <t>VÄSTERNORRLANDS LÄN</t>
        </is>
      </c>
      <c r="G229" t="inlineStr">
        <is>
          <t>HÄRNÖSAND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46314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25007-2022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44728</v>
      </c>
      <c r="E231" s="1" t="n">
        <v>46314</v>
      </c>
      <c r="F231" t="inlineStr">
        <is>
          <t>VÄSTERNORRLANDS LÄN</t>
        </is>
      </c>
      <c r="G231" t="inlineStr">
        <is>
          <t>HÄRNÖSAND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46314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46314</v>
      </c>
      <c r="F233" t="inlineStr">
        <is>
          <t>VÄSTERNORRLANDS LÄN</t>
        </is>
      </c>
      <c r="G233" t="inlineStr">
        <is>
          <t>HÄRNÖSAND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46314</v>
      </c>
      <c r="F234" t="inlineStr">
        <is>
          <t>VÄSTERNORRLANDS LÄN</t>
        </is>
      </c>
      <c r="G234" t="inlineStr">
        <is>
          <t>HÄRNÖSAND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46314</v>
      </c>
      <c r="F235" t="inlineStr">
        <is>
          <t>VÄSTERNORRLANDS LÄN</t>
        </is>
      </c>
      <c r="G235" t="inlineStr">
        <is>
          <t>HÄRNÖSAND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44971</v>
      </c>
      <c r="E236" s="1" t="n">
        <v>46314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45981-2025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45924</v>
      </c>
      <c r="E237" s="1" t="n">
        <v>46314</v>
      </c>
      <c r="F237" t="inlineStr">
        <is>
          <t>VÄSTERNORRLANDS LÄN</t>
        </is>
      </c>
      <c r="G237" t="inlineStr">
        <is>
          <t>HÄRNÖSAND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46314</v>
      </c>
      <c r="F238" t="inlineStr">
        <is>
          <t>VÄSTERNORRLANDS LÄN</t>
        </is>
      </c>
      <c r="G238" t="inlineStr">
        <is>
          <t>HÄRNÖSAND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46314</v>
      </c>
      <c r="F239" t="inlineStr">
        <is>
          <t>VÄSTERNORRLANDS LÄN</t>
        </is>
      </c>
      <c r="G239" t="inlineStr">
        <is>
          <t>HÄRNÖSAND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46314</v>
      </c>
      <c r="F240" t="inlineStr">
        <is>
          <t>VÄSTERNORRLANDS LÄN</t>
        </is>
      </c>
      <c r="G240" t="inlineStr">
        <is>
          <t>HÄRNÖSAND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45489</v>
      </c>
      <c r="E241" s="1" t="n">
        <v>46314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44791</v>
      </c>
      <c r="E242" s="1" t="n">
        <v>46314</v>
      </c>
      <c r="F242" t="inlineStr">
        <is>
          <t>VÄSTERNORRLANDS LÄN</t>
        </is>
      </c>
      <c r="G242" t="inlineStr">
        <is>
          <t>HÄRNÖSAND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46314</v>
      </c>
      <c r="F243" t="inlineStr">
        <is>
          <t>VÄSTERNORRLANDS LÄN</t>
        </is>
      </c>
      <c r="G243" t="inlineStr">
        <is>
          <t>HÄRNÖSAND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46314</v>
      </c>
      <c r="F244" t="inlineStr">
        <is>
          <t>VÄSTERNORRLANDS LÄN</t>
        </is>
      </c>
      <c r="G244" t="inlineStr">
        <is>
          <t>HÄRNÖSAND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22142-2026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46314</v>
      </c>
      <c r="F245" t="inlineStr">
        <is>
          <t>VÄSTERNORRLANDS LÄN</t>
        </is>
      </c>
      <c r="G245" t="inlineStr">
        <is>
          <t>HÄRNÖSAND</t>
        </is>
      </c>
      <c r="I245" t="n">
        <v>16.7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46153</v>
      </c>
      <c r="E246" s="1" t="n">
        <v>46314</v>
      </c>
      <c r="F246" t="inlineStr">
        <is>
          <t>VÄSTERNORRLANDS LÄN</t>
        </is>
      </c>
      <c r="G246" t="inlineStr">
        <is>
          <t>HÄRNÖSAND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46314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46314</v>
      </c>
      <c r="F248" t="inlineStr">
        <is>
          <t>VÄSTERNORRLANDS LÄN</t>
        </is>
      </c>
      <c r="G248" t="inlineStr">
        <is>
          <t>HÄRNÖSAND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46314</v>
      </c>
      <c r="F249" t="inlineStr">
        <is>
          <t>VÄSTERNORRLANDS LÄN</t>
        </is>
      </c>
      <c r="G249" t="inlineStr">
        <is>
          <t>HÄRNÖSAND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46314</v>
      </c>
      <c r="F250" t="inlineStr">
        <is>
          <t>VÄSTERNORRLANDS LÄN</t>
        </is>
      </c>
      <c r="G250" t="inlineStr">
        <is>
          <t>HÄRNÖSAND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46314</v>
      </c>
      <c r="F251" t="inlineStr">
        <is>
          <t>VÄSTERNORRLANDS LÄN</t>
        </is>
      </c>
      <c r="G251" t="inlineStr">
        <is>
          <t>HÄRNÖSAND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48800-2025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46314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45685</v>
      </c>
      <c r="E253" s="1" t="n">
        <v>46314</v>
      </c>
      <c r="F253" t="inlineStr">
        <is>
          <t>VÄSTERNORRLANDS LÄN</t>
        </is>
      </c>
      <c r="G253" t="inlineStr">
        <is>
          <t>HÄRNÖSAND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46314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45189</v>
      </c>
      <c r="E255" s="1" t="n">
        <v>46314</v>
      </c>
      <c r="F255" t="inlineStr">
        <is>
          <t>VÄSTERNORRLANDS LÄN</t>
        </is>
      </c>
      <c r="G255" t="inlineStr">
        <is>
          <t>HÄRNÖSAND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45939</v>
      </c>
      <c r="E256" s="1" t="n">
        <v>46314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45376</v>
      </c>
      <c r="E257" s="1" t="n">
        <v>46314</v>
      </c>
      <c r="F257" t="inlineStr">
        <is>
          <t>VÄSTERNORRLANDS LÄN</t>
        </is>
      </c>
      <c r="G257" t="inlineStr">
        <is>
          <t>HÄRNÖSAND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52237-2022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44869</v>
      </c>
      <c r="E258" s="1" t="n">
        <v>46314</v>
      </c>
      <c r="F258" t="inlineStr">
        <is>
          <t>VÄSTERNORRLANDS LÄN</t>
        </is>
      </c>
      <c r="G258" t="inlineStr">
        <is>
          <t>HÄRNÖSAND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13611-2023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45006</v>
      </c>
      <c r="E259" s="1" t="n">
        <v>46314</v>
      </c>
      <c r="F259" t="inlineStr">
        <is>
          <t>VÄSTERNORRLANDS LÄN</t>
        </is>
      </c>
      <c r="G259" t="inlineStr">
        <is>
          <t>HÄRNÖSAND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45428</v>
      </c>
      <c r="E260" s="1" t="n">
        <v>46314</v>
      </c>
      <c r="F260" t="inlineStr">
        <is>
          <t>VÄSTERNORRLANDS LÄN</t>
        </is>
      </c>
      <c r="G260" t="inlineStr">
        <is>
          <t>HÄRNÖSAND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46155</v>
      </c>
      <c r="E261" s="1" t="n">
        <v>46314</v>
      </c>
      <c r="F261" t="inlineStr">
        <is>
          <t>VÄSTERNORRLANDS LÄN</t>
        </is>
      </c>
      <c r="G261" t="inlineStr">
        <is>
          <t>HÄRNÖSAND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46314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46314</v>
      </c>
      <c r="F263" t="inlineStr">
        <is>
          <t>VÄSTERNORRLANDS LÄN</t>
        </is>
      </c>
      <c r="G263" t="inlineStr">
        <is>
          <t>HÄRNÖSAND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45409</v>
      </c>
      <c r="E264" s="1" t="n">
        <v>46314</v>
      </c>
      <c r="F264" t="inlineStr">
        <is>
          <t>VÄSTERNORRLANDS LÄN</t>
        </is>
      </c>
      <c r="G264" t="inlineStr">
        <is>
          <t>HÄRNÖSAND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45645</v>
      </c>
      <c r="E265" s="1" t="n">
        <v>46314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46314</v>
      </c>
      <c r="F266" t="inlineStr">
        <is>
          <t>VÄSTERNORRLANDS LÄN</t>
        </is>
      </c>
      <c r="G266" t="inlineStr">
        <is>
          <t>HÄRNÖSAND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45409</v>
      </c>
      <c r="E267" s="1" t="n">
        <v>46314</v>
      </c>
      <c r="F267" t="inlineStr">
        <is>
          <t>VÄSTERNORRLANDS LÄN</t>
        </is>
      </c>
      <c r="G267" t="inlineStr">
        <is>
          <t>HÄRNÖSAND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46314</v>
      </c>
      <c r="F268" t="inlineStr">
        <is>
          <t>VÄSTERNORRLANDS LÄN</t>
        </is>
      </c>
      <c r="G268" t="inlineStr">
        <is>
          <t>HÄRNÖSAND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46314</v>
      </c>
      <c r="F269" t="inlineStr">
        <is>
          <t>VÄSTERNORRLANDS LÄN</t>
        </is>
      </c>
      <c r="G269" t="inlineStr">
        <is>
          <t>HÄRNÖSAND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46314</v>
      </c>
      <c r="F270" t="inlineStr">
        <is>
          <t>VÄSTERNORRLANDS LÄN</t>
        </is>
      </c>
      <c r="G270" t="inlineStr">
        <is>
          <t>HÄRNÖSAND</t>
        </is>
      </c>
      <c r="I270" t="n">
        <v>9.199999999999999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46314</v>
      </c>
      <c r="F271" t="inlineStr">
        <is>
          <t>VÄSTERNORRLANDS LÄN</t>
        </is>
      </c>
      <c r="G271" t="inlineStr">
        <is>
          <t>HÄRNÖSAND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23185-2026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46314</v>
      </c>
      <c r="F272" t="inlineStr">
        <is>
          <t>VÄSTERNORRLANDS LÄN</t>
        </is>
      </c>
      <c r="G272" t="inlineStr">
        <is>
          <t>HÄRNÖSAND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45786</v>
      </c>
      <c r="E273" s="1" t="n">
        <v>46314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31.8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45790</v>
      </c>
      <c r="E274" s="1" t="n">
        <v>46314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31.8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46314</v>
      </c>
      <c r="F275" t="inlineStr">
        <is>
          <t>VÄSTERNORRLANDS LÄN</t>
        </is>
      </c>
      <c r="G275" t="inlineStr">
        <is>
          <t>HÄRNÖSAND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46314</v>
      </c>
      <c r="F276" t="inlineStr">
        <is>
          <t>VÄSTERNORRLANDS LÄN</t>
        </is>
      </c>
      <c r="G276" t="inlineStr">
        <is>
          <t>HÄRNÖSAND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46314</v>
      </c>
      <c r="F277" t="inlineStr">
        <is>
          <t>VÄSTERNORRLANDS LÄN</t>
        </is>
      </c>
      <c r="G277" t="inlineStr">
        <is>
          <t>HÄRNÖSAND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46161</v>
      </c>
      <c r="E278" s="1" t="n">
        <v>46314</v>
      </c>
      <c r="F278" t="inlineStr">
        <is>
          <t>VÄSTERNORRLANDS LÄN</t>
        </is>
      </c>
      <c r="G278" t="inlineStr">
        <is>
          <t>HÄRNÖSAND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46161</v>
      </c>
      <c r="E279" s="1" t="n">
        <v>46314</v>
      </c>
      <c r="F279" t="inlineStr">
        <is>
          <t>VÄSTERNORRLANDS LÄN</t>
        </is>
      </c>
      <c r="G279" t="inlineStr">
        <is>
          <t>HÄRNÖSAND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46314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46314</v>
      </c>
      <c r="F281" t="inlineStr">
        <is>
          <t>VÄSTERNORRLANDS LÄN</t>
        </is>
      </c>
      <c r="G281" t="inlineStr">
        <is>
          <t>HÄRNÖSAND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46161</v>
      </c>
      <c r="E282" s="1" t="n">
        <v>46314</v>
      </c>
      <c r="F282" t="inlineStr">
        <is>
          <t>VÄSTERNORRLANDS LÄN</t>
        </is>
      </c>
      <c r="G282" t="inlineStr">
        <is>
          <t>HÄRNÖSAND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45147</v>
      </c>
      <c r="E283" s="1" t="n">
        <v>46314</v>
      </c>
      <c r="F283" t="inlineStr">
        <is>
          <t>VÄSTERNORRLANDS LÄN</t>
        </is>
      </c>
      <c r="G283" t="inlineStr">
        <is>
          <t>HÄRNÖSAND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46314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25116-2024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46314</v>
      </c>
      <c r="F285" t="inlineStr">
        <is>
          <t>VÄSTERNORRLANDS LÄN</t>
        </is>
      </c>
      <c r="G285" t="inlineStr">
        <is>
          <t>HÄRNÖSAND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46314</v>
      </c>
      <c r="F286" t="inlineStr">
        <is>
          <t>VÄSTERNORRLANDS LÄN</t>
        </is>
      </c>
      <c r="G286" t="inlineStr">
        <is>
          <t>HÄRNÖSAND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46314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15.6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46314</v>
      </c>
      <c r="F288" t="inlineStr">
        <is>
          <t>VÄSTERNORRLANDS LÄN</t>
        </is>
      </c>
      <c r="G288" t="inlineStr">
        <is>
          <t>HÄRNÖSAND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46314</v>
      </c>
      <c r="F289" t="inlineStr">
        <is>
          <t>VÄSTERNORRLANDS LÄN</t>
        </is>
      </c>
      <c r="G289" t="inlineStr">
        <is>
          <t>HÄRNÖSAND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45161</v>
      </c>
      <c r="E290" s="1" t="n">
        <v>46314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45418</v>
      </c>
      <c r="E291" s="1" t="n">
        <v>46314</v>
      </c>
      <c r="F291" t="inlineStr">
        <is>
          <t>VÄSTERNORRLANDS LÄN</t>
        </is>
      </c>
      <c r="G291" t="inlineStr">
        <is>
          <t>HÄRNÖSAND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46314</v>
      </c>
      <c r="F292" t="inlineStr">
        <is>
          <t>VÄSTERNORRLANDS LÄN</t>
        </is>
      </c>
      <c r="G292" t="inlineStr">
        <is>
          <t>HÄRNÖSAND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46314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45975</v>
      </c>
      <c r="E294" s="1" t="n">
        <v>46314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46314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44937</v>
      </c>
      <c r="E296" s="1" t="n">
        <v>46314</v>
      </c>
      <c r="F296" t="inlineStr">
        <is>
          <t>VÄSTERNORRLANDS LÄN</t>
        </is>
      </c>
      <c r="G296" t="inlineStr">
        <is>
          <t>HÄRNÖSAND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46314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46314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57099-2025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46314</v>
      </c>
      <c r="F299" t="inlineStr">
        <is>
          <t>VÄSTERNORRLANDS LÄN</t>
        </is>
      </c>
      <c r="G299" t="inlineStr">
        <is>
          <t>HÄRNÖSAND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46314</v>
      </c>
      <c r="F300" t="inlineStr">
        <is>
          <t>VÄSTERNORRLANDS LÄN</t>
        </is>
      </c>
      <c r="G300" t="inlineStr">
        <is>
          <t>HÄRNÖSAND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46314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46314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46314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46314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46314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45723</v>
      </c>
      <c r="E306" s="1" t="n">
        <v>46314</v>
      </c>
      <c r="F306" t="inlineStr">
        <is>
          <t>VÄSTERNORRLANDS LÄN</t>
        </is>
      </c>
      <c r="G306" t="inlineStr">
        <is>
          <t>HÄRNÖSAND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45733</v>
      </c>
      <c r="E307" s="1" t="n">
        <v>46314</v>
      </c>
      <c r="F307" t="inlineStr">
        <is>
          <t>VÄSTERNORRLANDS LÄN</t>
        </is>
      </c>
      <c r="G307" t="inlineStr">
        <is>
          <t>HÄRNÖSAND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45293</v>
      </c>
      <c r="E308" s="1" t="n">
        <v>46314</v>
      </c>
      <c r="F308" t="inlineStr">
        <is>
          <t>VÄSTERNORRLANDS LÄN</t>
        </is>
      </c>
      <c r="G308" t="inlineStr">
        <is>
          <t>HÄRNÖSAND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46314</v>
      </c>
      <c r="F309" t="inlineStr">
        <is>
          <t>VÄSTERNORRLANDS LÄN</t>
        </is>
      </c>
      <c r="G309" t="inlineStr">
        <is>
          <t>HÄRNÖSAND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46314</v>
      </c>
      <c r="F310" t="inlineStr">
        <is>
          <t>VÄSTERNORRLANDS LÄN</t>
        </is>
      </c>
      <c r="G310" t="inlineStr">
        <is>
          <t>HÄRNÖSAND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45987</v>
      </c>
      <c r="E311" s="1" t="n">
        <v>46314</v>
      </c>
      <c r="F311" t="inlineStr">
        <is>
          <t>VÄSTERNORRLANDS LÄN</t>
        </is>
      </c>
      <c r="G311" t="inlineStr">
        <is>
          <t>HÄRNÖSAND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45392</v>
      </c>
      <c r="E312" s="1" t="n">
        <v>46314</v>
      </c>
      <c r="F312" t="inlineStr">
        <is>
          <t>VÄSTERNORRLANDS LÄN</t>
        </is>
      </c>
      <c r="G312" t="inlineStr">
        <is>
          <t>HÄRNÖSAND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18885-2023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45044</v>
      </c>
      <c r="E313" s="1" t="n">
        <v>46314</v>
      </c>
      <c r="F313" t="inlineStr">
        <is>
          <t>VÄSTERNORRLANDS LÄN</t>
        </is>
      </c>
      <c r="G313" t="inlineStr">
        <is>
          <t>HÄRNÖSAND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44951</v>
      </c>
      <c r="E314" s="1" t="n">
        <v>46314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45638</v>
      </c>
      <c r="E315" s="1" t="n">
        <v>46314</v>
      </c>
      <c r="F315" t="inlineStr">
        <is>
          <t>VÄSTERNORRLANDS LÄN</t>
        </is>
      </c>
      <c r="G315" t="inlineStr">
        <is>
          <t>HÄRNÖSAND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21585-2026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46149</v>
      </c>
      <c r="E316" s="1" t="n">
        <v>46314</v>
      </c>
      <c r="F316" t="inlineStr">
        <is>
          <t>VÄSTERNORRLANDS LÄN</t>
        </is>
      </c>
      <c r="G316" t="inlineStr">
        <is>
          <t>HÄRNÖSAND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46314</v>
      </c>
      <c r="F317" t="inlineStr">
        <is>
          <t>VÄSTERNORRLANDS LÄN</t>
        </is>
      </c>
      <c r="G317" t="inlineStr">
        <is>
          <t>HÄRNÖSAND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44897</v>
      </c>
      <c r="E318" s="1" t="n">
        <v>46314</v>
      </c>
      <c r="F318" t="inlineStr">
        <is>
          <t>VÄSTERNORRLANDS LÄN</t>
        </is>
      </c>
      <c r="G318" t="inlineStr">
        <is>
          <t>HÄRNÖSAND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45044</v>
      </c>
      <c r="E319" s="1" t="n">
        <v>46314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45126</v>
      </c>
      <c r="E320" s="1" t="n">
        <v>46314</v>
      </c>
      <c r="F320" t="inlineStr">
        <is>
          <t>VÄSTERNORRLANDS LÄN</t>
        </is>
      </c>
      <c r="G320" t="inlineStr">
        <is>
          <t>HÄRNÖSAND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46314</v>
      </c>
      <c r="F321" t="inlineStr">
        <is>
          <t>VÄSTERNORRLANDS LÄN</t>
        </is>
      </c>
      <c r="G321" t="inlineStr">
        <is>
          <t>HÄRNÖSAND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44732</v>
      </c>
      <c r="E322" s="1" t="n">
        <v>46314</v>
      </c>
      <c r="F322" t="inlineStr">
        <is>
          <t>VÄSTERNORRLANDS LÄN</t>
        </is>
      </c>
      <c r="G322" t="inlineStr">
        <is>
          <t>HÄRNÖSAND</t>
        </is>
      </c>
      <c r="I322" t="n">
        <v>18.7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46314</v>
      </c>
      <c r="F323" t="inlineStr">
        <is>
          <t>VÄSTERNORRLANDS LÄN</t>
        </is>
      </c>
      <c r="G323" t="inlineStr">
        <is>
          <t>HÄRNÖSAND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46314</v>
      </c>
      <c r="F324" t="inlineStr">
        <is>
          <t>VÄSTERNORRLANDS LÄN</t>
        </is>
      </c>
      <c r="G324" t="inlineStr">
        <is>
          <t>HÄRNÖSAND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44596</v>
      </c>
      <c r="E325" s="1" t="n">
        <v>46314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Övriga statliga verk och myndigheter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46314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46314</v>
      </c>
      <c r="F327" t="inlineStr">
        <is>
          <t>VÄSTERNORRLANDS LÄN</t>
        </is>
      </c>
      <c r="G327" t="inlineStr">
        <is>
          <t>HÄRNÖSAND</t>
        </is>
      </c>
      <c r="I327" t="n">
        <v>12.3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21471-2022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44706</v>
      </c>
      <c r="E328" s="1" t="n">
        <v>46314</v>
      </c>
      <c r="F328" t="inlineStr">
        <is>
          <t>VÄSTERNORRLANDS LÄN</t>
        </is>
      </c>
      <c r="G328" t="inlineStr">
        <is>
          <t>HÄRNÖSAND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45512</v>
      </c>
      <c r="E329" s="1" t="n">
        <v>46314</v>
      </c>
      <c r="F329" t="inlineStr">
        <is>
          <t>VÄSTERNORRLANDS LÄN</t>
        </is>
      </c>
      <c r="G329" t="inlineStr">
        <is>
          <t>HÄRNÖSAND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61189-2025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46314</v>
      </c>
      <c r="F330" t="inlineStr">
        <is>
          <t>VÄSTERNORRLANDS LÄN</t>
        </is>
      </c>
      <c r="G330" t="inlineStr">
        <is>
          <t>HÄRNÖSAND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46314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46314</v>
      </c>
      <c r="F332" t="inlineStr">
        <is>
          <t>VÄSTERNORRLANDS LÄN</t>
        </is>
      </c>
      <c r="G332" t="inlineStr">
        <is>
          <t>HÄRNÖSAND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46314</v>
      </c>
      <c r="F333" t="inlineStr">
        <is>
          <t>VÄSTERNORRLANDS LÄN</t>
        </is>
      </c>
      <c r="G333" t="inlineStr">
        <is>
          <t>HÄRNÖSAND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46314</v>
      </c>
      <c r="F334" t="inlineStr">
        <is>
          <t>VÄSTERNORRLANDS LÄN</t>
        </is>
      </c>
      <c r="G334" t="inlineStr">
        <is>
          <t>HÄRNÖSAND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46314</v>
      </c>
      <c r="F335" t="inlineStr">
        <is>
          <t>VÄSTERNORRLANDS LÄN</t>
        </is>
      </c>
      <c r="G335" t="inlineStr">
        <is>
          <t>HÄRNÖSAND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45329</v>
      </c>
      <c r="E336" s="1" t="n">
        <v>46314</v>
      </c>
      <c r="F336" t="inlineStr">
        <is>
          <t>VÄSTERNORRLANDS LÄN</t>
        </is>
      </c>
      <c r="G336" t="inlineStr">
        <is>
          <t>HÄRNÖSAND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46314</v>
      </c>
      <c r="F337" t="inlineStr">
        <is>
          <t>VÄSTERNORRLANDS LÄN</t>
        </is>
      </c>
      <c r="G337" t="inlineStr">
        <is>
          <t>HÄRNÖSAND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46314</v>
      </c>
      <c r="F338" t="inlineStr">
        <is>
          <t>VÄSTERNORRLANDS LÄN</t>
        </is>
      </c>
      <c r="G338" t="inlineStr">
        <is>
          <t>HÄRNÖSAND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54091-2024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45616</v>
      </c>
      <c r="E339" s="1" t="n">
        <v>46314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45320</v>
      </c>
      <c r="E340" s="1" t="n">
        <v>46314</v>
      </c>
      <c r="F340" t="inlineStr">
        <is>
          <t>VÄSTERNORRLANDS LÄN</t>
        </is>
      </c>
      <c r="G340" t="inlineStr">
        <is>
          <t>HÄRNÖSAND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46023</v>
      </c>
      <c r="E341" s="1" t="n">
        <v>46314</v>
      </c>
      <c r="F341" t="inlineStr">
        <is>
          <t>VÄSTERNORRLANDS LÄN</t>
        </is>
      </c>
      <c r="G341" t="inlineStr">
        <is>
          <t>HÄRNÖSAND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46023</v>
      </c>
      <c r="E342" s="1" t="n">
        <v>46314</v>
      </c>
      <c r="F342" t="inlineStr">
        <is>
          <t>VÄSTERNORRLANDS LÄN</t>
        </is>
      </c>
      <c r="G342" t="inlineStr">
        <is>
          <t>HÄRNÖSAND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46024</v>
      </c>
      <c r="E343" s="1" t="n">
        <v>46314</v>
      </c>
      <c r="F343" t="inlineStr">
        <is>
          <t>VÄSTERNORRLANDS LÄN</t>
        </is>
      </c>
      <c r="G343" t="inlineStr">
        <is>
          <t>HÄRNÖSAND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46024</v>
      </c>
      <c r="E344" s="1" t="n">
        <v>46314</v>
      </c>
      <c r="F344" t="inlineStr">
        <is>
          <t>VÄSTERNORRLANDS LÄN</t>
        </is>
      </c>
      <c r="G344" t="inlineStr">
        <is>
          <t>HÄRNÖSAND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46165</v>
      </c>
      <c r="E345" s="1" t="n">
        <v>46314</v>
      </c>
      <c r="F345" t="inlineStr">
        <is>
          <t>VÄSTERNORRLANDS LÄN</t>
        </is>
      </c>
      <c r="G345" t="inlineStr">
        <is>
          <t>HÄRNÖSAND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46024</v>
      </c>
      <c r="E346" s="1" t="n">
        <v>46314</v>
      </c>
      <c r="F346" t="inlineStr">
        <is>
          <t>VÄSTERNORRLANDS LÄN</t>
        </is>
      </c>
      <c r="G346" t="inlineStr">
        <is>
          <t>HÄRNÖSAND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46026</v>
      </c>
      <c r="E347" s="1" t="n">
        <v>46314</v>
      </c>
      <c r="F347" t="inlineStr">
        <is>
          <t>VÄSTERNORRLANDS LÄN</t>
        </is>
      </c>
      <c r="G347" t="inlineStr">
        <is>
          <t>HÄRNÖSAND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46024</v>
      </c>
      <c r="E348" s="1" t="n">
        <v>46314</v>
      </c>
      <c r="F348" t="inlineStr">
        <is>
          <t>VÄSTERNORRLANDS LÄN</t>
        </is>
      </c>
      <c r="G348" t="inlineStr">
        <is>
          <t>HÄRNÖSAND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17431-2023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45035</v>
      </c>
      <c r="E349" s="1" t="n">
        <v>46314</v>
      </c>
      <c r="F349" t="inlineStr">
        <is>
          <t>VÄSTERNORRLANDS LÄN</t>
        </is>
      </c>
      <c r="G349" t="inlineStr">
        <is>
          <t>HÄRNÖSAND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46314</v>
      </c>
      <c r="F350" t="inlineStr">
        <is>
          <t>VÄSTERNORRLANDS LÄN</t>
        </is>
      </c>
      <c r="G350" t="inlineStr">
        <is>
          <t>HÄRNÖSAND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46314</v>
      </c>
      <c r="F351" t="inlineStr">
        <is>
          <t>VÄSTERNORRLANDS LÄN</t>
        </is>
      </c>
      <c r="G351" t="inlineStr">
        <is>
          <t>HÄRNÖSAND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46314</v>
      </c>
      <c r="F352" t="inlineStr">
        <is>
          <t>VÄSTERNORRLANDS LÄN</t>
        </is>
      </c>
      <c r="G352" t="inlineStr">
        <is>
          <t>HÄRNÖSAND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46314</v>
      </c>
      <c r="F353" t="inlineStr">
        <is>
          <t>VÄSTERNORRLANDS LÄN</t>
        </is>
      </c>
      <c r="G353" t="inlineStr">
        <is>
          <t>HÄRNÖSAND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46314</v>
      </c>
      <c r="F354" t="inlineStr">
        <is>
          <t>VÄSTERNORRLANDS LÄN</t>
        </is>
      </c>
      <c r="G354" t="inlineStr">
        <is>
          <t>HÄRNÖSAND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780-2026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46029</v>
      </c>
      <c r="E355" s="1" t="n">
        <v>46314</v>
      </c>
      <c r="F355" t="inlineStr">
        <is>
          <t>VÄSTERNORRLANDS LÄN</t>
        </is>
      </c>
      <c r="G355" t="inlineStr">
        <is>
          <t>HÄRNÖSAND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46314</v>
      </c>
      <c r="F356" t="inlineStr">
        <is>
          <t>VÄSTERNORRLANDS LÄN</t>
        </is>
      </c>
      <c r="G356" t="inlineStr">
        <is>
          <t>HÄRNÖSAND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46314</v>
      </c>
      <c r="F357" t="inlineStr">
        <is>
          <t>VÄSTERNORRLANDS LÄN</t>
        </is>
      </c>
      <c r="G357" t="inlineStr">
        <is>
          <t>HÄRNÖSAND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46314</v>
      </c>
      <c r="F358" t="inlineStr">
        <is>
          <t>VÄSTERNORRLANDS LÄN</t>
        </is>
      </c>
      <c r="G358" t="inlineStr">
        <is>
          <t>HÄRNÖSAND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44853</v>
      </c>
      <c r="E359" s="1" t="n">
        <v>46314</v>
      </c>
      <c r="F359" t="inlineStr">
        <is>
          <t>VÄSTERNORRLANDS LÄN</t>
        </is>
      </c>
      <c r="G359" t="inlineStr">
        <is>
          <t>HÄRNÖSAND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46314</v>
      </c>
      <c r="F360" t="inlineStr">
        <is>
          <t>VÄSTERNORRLANDS LÄN</t>
        </is>
      </c>
      <c r="G360" t="inlineStr">
        <is>
          <t>HÄRNÖSAND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45138</v>
      </c>
      <c r="E361" s="1" t="n">
        <v>46314</v>
      </c>
      <c r="F361" t="inlineStr">
        <is>
          <t>VÄSTERNORRLANDS LÄN</t>
        </is>
      </c>
      <c r="G361" t="inlineStr">
        <is>
          <t>HÄRNÖSAND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46314</v>
      </c>
      <c r="F362" t="inlineStr">
        <is>
          <t>VÄSTERNORRLANDS LÄN</t>
        </is>
      </c>
      <c r="G362" t="inlineStr">
        <is>
          <t>HÄRNÖSAND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46314</v>
      </c>
      <c r="F363" t="inlineStr">
        <is>
          <t>VÄSTERNORRLANDS LÄN</t>
        </is>
      </c>
      <c r="G363" t="inlineStr">
        <is>
          <t>HÄRNÖSAND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46178</v>
      </c>
      <c r="E364" s="1" t="n">
        <v>46314</v>
      </c>
      <c r="F364" t="inlineStr">
        <is>
          <t>VÄSTERNORRLANDS LÄN</t>
        </is>
      </c>
      <c r="G364" t="inlineStr">
        <is>
          <t>HÄRNÖSAND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46314</v>
      </c>
      <c r="F365" t="inlineStr">
        <is>
          <t>VÄSTERNORRLANDS LÄN</t>
        </is>
      </c>
      <c r="G365" t="inlineStr">
        <is>
          <t>HÄRNÖSAND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46314</v>
      </c>
      <c r="F366" t="inlineStr">
        <is>
          <t>VÄSTERNORRLANDS LÄN</t>
        </is>
      </c>
      <c r="G366" t="inlineStr">
        <is>
          <t>HÄRNÖSAND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46314</v>
      </c>
      <c r="F367" t="inlineStr">
        <is>
          <t>VÄSTERNORRLANDS LÄN</t>
        </is>
      </c>
      <c r="G367" t="inlineStr">
        <is>
          <t>HÄRNÖSAND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46177</v>
      </c>
      <c r="E368" s="1" t="n">
        <v>46314</v>
      </c>
      <c r="F368" t="inlineStr">
        <is>
          <t>VÄSTERNORRLANDS LÄN</t>
        </is>
      </c>
      <c r="G368" t="inlineStr">
        <is>
          <t>HÄRNÖSAND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25782-2026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46314</v>
      </c>
      <c r="F369" t="inlineStr">
        <is>
          <t>VÄSTERNORRLANDS LÄN</t>
        </is>
      </c>
      <c r="G369" t="inlineStr">
        <is>
          <t>HÄRNÖSAND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46314</v>
      </c>
      <c r="F370" t="inlineStr">
        <is>
          <t>VÄSTERNORRLANDS LÄN</t>
        </is>
      </c>
      <c r="G370" t="inlineStr">
        <is>
          <t>HÄRNÖSAND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46314</v>
      </c>
      <c r="F371" t="inlineStr">
        <is>
          <t>VÄSTERNORRLANDS LÄN</t>
        </is>
      </c>
      <c r="G371" t="inlineStr">
        <is>
          <t>HÄRNÖSAND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25466-2026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46177</v>
      </c>
      <c r="E372" s="1" t="n">
        <v>46314</v>
      </c>
      <c r="F372" t="inlineStr">
        <is>
          <t>VÄSTERNORRLANDS LÄN</t>
        </is>
      </c>
      <c r="G372" t="inlineStr">
        <is>
          <t>HÄRNÖSAND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46314</v>
      </c>
      <c r="F373" t="inlineStr">
        <is>
          <t>VÄSTERNORRLANDS LÄN</t>
        </is>
      </c>
      <c r="G373" t="inlineStr">
        <is>
          <t>HÄRNÖSAND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46314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44867</v>
      </c>
      <c r="E375" s="1" t="n">
        <v>46314</v>
      </c>
      <c r="F375" t="inlineStr">
        <is>
          <t>VÄSTERNORRLANDS LÄN</t>
        </is>
      </c>
      <c r="G375" t="inlineStr">
        <is>
          <t>HÄRNÖSAND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46314</v>
      </c>
      <c r="F376" t="inlineStr">
        <is>
          <t>VÄSTERNORRLANDS LÄN</t>
        </is>
      </c>
      <c r="G376" t="inlineStr">
        <is>
          <t>HÄRNÖSAND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46314</v>
      </c>
      <c r="F377" t="inlineStr">
        <is>
          <t>VÄSTERNORRLANDS LÄN</t>
        </is>
      </c>
      <c r="G377" t="inlineStr">
        <is>
          <t>HÄRNÖSAND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46314</v>
      </c>
      <c r="F378" t="inlineStr">
        <is>
          <t>VÄSTERNORRLANDS LÄN</t>
        </is>
      </c>
      <c r="G378" t="inlineStr">
        <is>
          <t>HÄRNÖSAND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45390</v>
      </c>
      <c r="E379" s="1" t="n">
        <v>46314</v>
      </c>
      <c r="F379" t="inlineStr">
        <is>
          <t>VÄSTERNORRLANDS LÄN</t>
        </is>
      </c>
      <c r="G379" t="inlineStr">
        <is>
          <t>HÄRNÖSAND</t>
        </is>
      </c>
      <c r="I379" t="n">
        <v>14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45678</v>
      </c>
      <c r="E380" s="1" t="n">
        <v>46314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46314</v>
      </c>
      <c r="F381" t="inlineStr">
        <is>
          <t>VÄSTERNORRLANDS LÄN</t>
        </is>
      </c>
      <c r="G381" t="inlineStr">
        <is>
          <t>HÄRNÖSAND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46314</v>
      </c>
      <c r="F382" t="inlineStr">
        <is>
          <t>VÄSTERNORRLANDS LÄN</t>
        </is>
      </c>
      <c r="G382" t="inlineStr">
        <is>
          <t>HÄRNÖSAND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46314</v>
      </c>
      <c r="F383" t="inlineStr">
        <is>
          <t>VÄSTERNORRLANDS LÄN</t>
        </is>
      </c>
      <c r="G383" t="inlineStr">
        <is>
          <t>HÄRNÖSAND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46314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46314</v>
      </c>
      <c r="F385" t="inlineStr">
        <is>
          <t>VÄSTERNORRLANDS LÄN</t>
        </is>
      </c>
      <c r="G385" t="inlineStr">
        <is>
          <t>HÄRNÖSAND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45072</v>
      </c>
      <c r="E386" s="1" t="n">
        <v>46314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16979-2022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44676</v>
      </c>
      <c r="E387" s="1" t="n">
        <v>46314</v>
      </c>
      <c r="F387" t="inlineStr">
        <is>
          <t>VÄSTERNORRLANDS LÄN</t>
        </is>
      </c>
      <c r="G387" t="inlineStr">
        <is>
          <t>HÄRNÖSAND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46184</v>
      </c>
      <c r="E388" s="1" t="n">
        <v>46314</v>
      </c>
      <c r="F388" t="inlineStr">
        <is>
          <t>VÄSTERNORRLANDS LÄN</t>
        </is>
      </c>
      <c r="G388" t="inlineStr">
        <is>
          <t>HÄRNÖSAND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46314</v>
      </c>
      <c r="F389" t="inlineStr">
        <is>
          <t>VÄSTERNORRLANDS LÄN</t>
        </is>
      </c>
      <c r="G389" t="inlineStr">
        <is>
          <t>HÄRNÖSAND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46314</v>
      </c>
      <c r="F390" t="inlineStr">
        <is>
          <t>VÄSTERNORRLANDS LÄN</t>
        </is>
      </c>
      <c r="G390" t="inlineStr">
        <is>
          <t>HÄRNÖSAND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46065</v>
      </c>
      <c r="E391" s="1" t="n">
        <v>46314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Kyrkan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46314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Kyrkan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8415-2026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46065</v>
      </c>
      <c r="E393" s="1" t="n">
        <v>46314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Kyrkan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46314</v>
      </c>
      <c r="F394" t="inlineStr">
        <is>
          <t>VÄSTERNORRLANDS LÄN</t>
        </is>
      </c>
      <c r="G394" t="inlineStr">
        <is>
          <t>HÄRNÖSAND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14874-2023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45015</v>
      </c>
      <c r="E395" s="1" t="n">
        <v>46314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46070</v>
      </c>
      <c r="E396" s="1" t="n">
        <v>46314</v>
      </c>
      <c r="F396" t="inlineStr">
        <is>
          <t>VÄSTERNORRLANDS LÄN</t>
        </is>
      </c>
      <c r="G396" t="inlineStr">
        <is>
          <t>HÄRNÖSAND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9804-2026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46314</v>
      </c>
      <c r="F397" t="inlineStr">
        <is>
          <t>VÄSTERNORRLANDS LÄN</t>
        </is>
      </c>
      <c r="G397" t="inlineStr">
        <is>
          <t>HÄRNÖSAND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46314</v>
      </c>
      <c r="F398" t="inlineStr">
        <is>
          <t>VÄSTERNORRLANDS LÄN</t>
        </is>
      </c>
      <c r="G398" t="inlineStr">
        <is>
          <t>HÄRNÖSAND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46314</v>
      </c>
      <c r="F399" t="inlineStr">
        <is>
          <t>VÄSTERNORRLANDS LÄN</t>
        </is>
      </c>
      <c r="G399" t="inlineStr">
        <is>
          <t>HÄRNÖSAND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46314</v>
      </c>
      <c r="F400" t="inlineStr">
        <is>
          <t>VÄSTERNORRLANDS LÄN</t>
        </is>
      </c>
      <c r="G400" t="inlineStr">
        <is>
          <t>HÄRNÖSAND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46314</v>
      </c>
      <c r="F401" t="inlineStr">
        <is>
          <t>VÄSTERNORRLANDS LÄN</t>
        </is>
      </c>
      <c r="G401" t="inlineStr">
        <is>
          <t>HÄRNÖSAND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45749</v>
      </c>
      <c r="E402" s="1" t="n">
        <v>46314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46077</v>
      </c>
      <c r="E403" s="1" t="n">
        <v>46314</v>
      </c>
      <c r="F403" t="inlineStr">
        <is>
          <t>VÄSTERNORRLANDS LÄN</t>
        </is>
      </c>
      <c r="G403" t="inlineStr">
        <is>
          <t>HÄRNÖSAND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11202-2026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46080</v>
      </c>
      <c r="E404" s="1" t="n">
        <v>46314</v>
      </c>
      <c r="F404" t="inlineStr">
        <is>
          <t>VÄSTERNORRLANDS LÄN</t>
        </is>
      </c>
      <c r="G404" t="inlineStr">
        <is>
          <t>HÄRNÖSAND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45800</v>
      </c>
      <c r="E405" s="1" t="n">
        <v>46314</v>
      </c>
      <c r="F405" t="inlineStr">
        <is>
          <t>VÄSTERNORRLANDS LÄN</t>
        </is>
      </c>
      <c r="G405" t="inlineStr">
        <is>
          <t>HÄRNÖSAND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45313</v>
      </c>
      <c r="E406" s="1" t="n">
        <v>46314</v>
      </c>
      <c r="F406" t="inlineStr">
        <is>
          <t>VÄSTERNORRLANDS LÄN</t>
        </is>
      </c>
      <c r="G406" t="inlineStr">
        <is>
          <t>HÄRNÖSAND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46314</v>
      </c>
      <c r="F407" t="inlineStr">
        <is>
          <t>VÄSTERNORRLANDS LÄN</t>
        </is>
      </c>
      <c r="G407" t="inlineStr">
        <is>
          <t>HÄRNÖSAND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11917-2026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46085</v>
      </c>
      <c r="E408" s="1" t="n">
        <v>46314</v>
      </c>
      <c r="F408" t="inlineStr">
        <is>
          <t>VÄSTERNORRLANDS LÄN</t>
        </is>
      </c>
      <c r="G408" t="inlineStr">
        <is>
          <t>HÄRNÖSAND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46314</v>
      </c>
      <c r="F409" t="inlineStr">
        <is>
          <t>VÄSTERNORRLANDS LÄN</t>
        </is>
      </c>
      <c r="G409" t="inlineStr">
        <is>
          <t>HÄRNÖSAND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55895-2024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46314</v>
      </c>
      <c r="F410" t="inlineStr">
        <is>
          <t>VÄSTERNORRLANDS LÄN</t>
        </is>
      </c>
      <c r="G410" t="inlineStr">
        <is>
          <t>HÄRNÖSAND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46189</v>
      </c>
      <c r="E411" s="1" t="n">
        <v>46314</v>
      </c>
      <c r="F411" t="inlineStr">
        <is>
          <t>VÄSTERNORRLANDS LÄN</t>
        </is>
      </c>
      <c r="G411" t="inlineStr">
        <is>
          <t>HÄRNÖSAND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46087</v>
      </c>
      <c r="E412" s="1" t="n">
        <v>46314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Övriga statliga verk och myndigheter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46314</v>
      </c>
      <c r="F413" t="inlineStr">
        <is>
          <t>VÄSTERNORRLANDS LÄN</t>
        </is>
      </c>
      <c r="G413" t="inlineStr">
        <is>
          <t>HÄRNÖSAND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46314</v>
      </c>
      <c r="F414" t="inlineStr">
        <is>
          <t>VÄSTERNORRLANDS LÄN</t>
        </is>
      </c>
      <c r="G414" t="inlineStr">
        <is>
          <t>HÄRNÖSAND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46091</v>
      </c>
      <c r="E415" s="1" t="n">
        <v>46314</v>
      </c>
      <c r="F415" t="inlineStr">
        <is>
          <t>VÄSTERNORRLANDS LÄN</t>
        </is>
      </c>
      <c r="G415" t="inlineStr">
        <is>
          <t>HÄRNÖSAND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46314</v>
      </c>
      <c r="F416" t="inlineStr">
        <is>
          <t>VÄSTERNORRLANDS LÄN</t>
        </is>
      </c>
      <c r="G416" t="inlineStr">
        <is>
          <t>HÄRNÖSAND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46314</v>
      </c>
      <c r="F417" t="inlineStr">
        <is>
          <t>VÄSTERNORRLANDS LÄN</t>
        </is>
      </c>
      <c r="G417" t="inlineStr">
        <is>
          <t>HÄRNÖSAND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7522-2023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46314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12630-2026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46091</v>
      </c>
      <c r="E419" s="1" t="n">
        <v>46314</v>
      </c>
      <c r="F419" t="inlineStr">
        <is>
          <t>VÄSTERNORRLANDS LÄN</t>
        </is>
      </c>
      <c r="G419" t="inlineStr">
        <is>
          <t>HÄRNÖSAND</t>
        </is>
      </c>
      <c r="I419" t="n">
        <v>9.9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12637-2026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46091</v>
      </c>
      <c r="E420" s="1" t="n">
        <v>46314</v>
      </c>
      <c r="F420" t="inlineStr">
        <is>
          <t>VÄSTERNORRLANDS LÄN</t>
        </is>
      </c>
      <c r="G420" t="inlineStr">
        <is>
          <t>HÄRNÖSAND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12650-2026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46091</v>
      </c>
      <c r="E421" s="1" t="n">
        <v>46314</v>
      </c>
      <c r="F421" t="inlineStr">
        <is>
          <t>VÄSTERNORRLANDS LÄN</t>
        </is>
      </c>
      <c r="G421" t="inlineStr">
        <is>
          <t>HÄRNÖSAND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46314</v>
      </c>
      <c r="F422" t="inlineStr">
        <is>
          <t>VÄSTERNORRLANDS LÄN</t>
        </is>
      </c>
      <c r="G422" t="inlineStr">
        <is>
          <t>HÄRNÖSAND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46191</v>
      </c>
      <c r="E423" s="1" t="n">
        <v>46314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35969-2023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45148</v>
      </c>
      <c r="E424" s="1" t="n">
        <v>46314</v>
      </c>
      <c r="F424" t="inlineStr">
        <is>
          <t>VÄSTERNORRLANDS LÄN</t>
        </is>
      </c>
      <c r="G424" t="inlineStr">
        <is>
          <t>HÄRNÖSAND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45243</v>
      </c>
      <c r="E425" s="1" t="n">
        <v>46314</v>
      </c>
      <c r="F425" t="inlineStr">
        <is>
          <t>VÄSTERNORRLANDS LÄN</t>
        </is>
      </c>
      <c r="G425" t="inlineStr">
        <is>
          <t>HÄRNÖSAND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46314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45687-2022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44845</v>
      </c>
      <c r="E427" s="1" t="n">
        <v>46314</v>
      </c>
      <c r="F427" t="inlineStr">
        <is>
          <t>VÄSTERNORRLANDS LÄN</t>
        </is>
      </c>
      <c r="G427" t="inlineStr">
        <is>
          <t>HÄRNÖSAND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46314</v>
      </c>
      <c r="F428" t="inlineStr">
        <is>
          <t>VÄSTERNORRLANDS LÄN</t>
        </is>
      </c>
      <c r="G428" t="inlineStr">
        <is>
          <t>HÄRNÖSAND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45409</v>
      </c>
      <c r="E429" s="1" t="n">
        <v>46314</v>
      </c>
      <c r="F429" t="inlineStr">
        <is>
          <t>VÄSTERNORRLANDS LÄN</t>
        </is>
      </c>
      <c r="G429" t="inlineStr">
        <is>
          <t>HÄRNÖSAND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44580</v>
      </c>
      <c r="E430" s="1" t="n">
        <v>46314</v>
      </c>
      <c r="F430" t="inlineStr">
        <is>
          <t>VÄSTERNORRLANDS LÄN</t>
        </is>
      </c>
      <c r="G430" t="inlineStr">
        <is>
          <t>HÄRNÖSAND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46314</v>
      </c>
      <c r="F431" t="inlineStr">
        <is>
          <t>VÄSTERNORRLANDS LÄN</t>
        </is>
      </c>
      <c r="G431" t="inlineStr">
        <is>
          <t>HÄRNÖSAND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46314</v>
      </c>
      <c r="F432" t="inlineStr">
        <is>
          <t>VÄSTERNORRLANDS LÄN</t>
        </is>
      </c>
      <c r="G432" t="inlineStr">
        <is>
          <t>HÄRNÖSAND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46314</v>
      </c>
      <c r="F433" t="inlineStr">
        <is>
          <t>VÄSTERNORRLANDS LÄN</t>
        </is>
      </c>
      <c r="G433" t="inlineStr">
        <is>
          <t>HÄRNÖSAND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28032-2026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46314</v>
      </c>
      <c r="F434" t="inlineStr">
        <is>
          <t>VÄSTERNORRLANDS LÄN</t>
        </is>
      </c>
      <c r="G434" t="inlineStr">
        <is>
          <t>HÄRNÖSAND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46314</v>
      </c>
      <c r="F435" t="inlineStr">
        <is>
          <t>VÄSTERNORRLANDS LÄN</t>
        </is>
      </c>
      <c r="G435" t="inlineStr">
        <is>
          <t>HÄRNÖSAND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58588-2022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44894</v>
      </c>
      <c r="E436" s="1" t="n">
        <v>46314</v>
      </c>
      <c r="F436" t="inlineStr">
        <is>
          <t>VÄSTERNORRLANDS LÄN</t>
        </is>
      </c>
      <c r="G436" t="inlineStr">
        <is>
          <t>HÄRNÖSAND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46195</v>
      </c>
      <c r="E437" s="1" t="n">
        <v>46314</v>
      </c>
      <c r="F437" t="inlineStr">
        <is>
          <t>VÄSTERNORRLANDS LÄN</t>
        </is>
      </c>
      <c r="G437" t="inlineStr">
        <is>
          <t>HÄRNÖSAND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10549-2024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45366</v>
      </c>
      <c r="E438" s="1" t="n">
        <v>46314</v>
      </c>
      <c r="F438" t="inlineStr">
        <is>
          <t>VÄSTERNORRLANDS LÄN</t>
        </is>
      </c>
      <c r="G438" t="inlineStr">
        <is>
          <t>HÄRNÖSAND</t>
        </is>
      </c>
      <c r="I438" t="n">
        <v>8.4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46101</v>
      </c>
      <c r="E439" s="1" t="n">
        <v>46314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16.2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46314</v>
      </c>
      <c r="F440" t="inlineStr">
        <is>
          <t>VÄSTERNORRLANDS LÄN</t>
        </is>
      </c>
      <c r="G440" t="inlineStr">
        <is>
          <t>HÄRNÖSAND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46314</v>
      </c>
      <c r="F441" t="inlineStr">
        <is>
          <t>VÄSTERNORRLANDS LÄN</t>
        </is>
      </c>
      <c r="G441" t="inlineStr">
        <is>
          <t>HÄRNÖSAND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46314</v>
      </c>
      <c r="F442" t="inlineStr">
        <is>
          <t>VÄSTERNORRLANDS LÄN</t>
        </is>
      </c>
      <c r="G442" t="inlineStr">
        <is>
          <t>HÄRNÖSAND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46314</v>
      </c>
      <c r="F443" t="inlineStr">
        <is>
          <t>VÄSTERNORRLANDS LÄN</t>
        </is>
      </c>
      <c r="G443" t="inlineStr">
        <is>
          <t>HÄRNÖSAND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46314</v>
      </c>
      <c r="F444" t="inlineStr">
        <is>
          <t>VÄSTERNORRLANDS LÄN</t>
        </is>
      </c>
      <c r="G444" t="inlineStr">
        <is>
          <t>HÄRNÖSAND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59121-2023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45251</v>
      </c>
      <c r="E445" s="1" t="n">
        <v>46314</v>
      </c>
      <c r="F445" t="inlineStr">
        <is>
          <t>VÄSTERNORRLANDS LÄN</t>
        </is>
      </c>
      <c r="G445" t="inlineStr">
        <is>
          <t>HÄRNÖSAND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46314</v>
      </c>
      <c r="F446" t="inlineStr">
        <is>
          <t>VÄSTERNORRLANDS LÄN</t>
        </is>
      </c>
      <c r="G446" t="inlineStr">
        <is>
          <t>HÄRNÖSAND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61102-2021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44498</v>
      </c>
      <c r="E447" s="1" t="n">
        <v>46314</v>
      </c>
      <c r="F447" t="inlineStr">
        <is>
          <t>VÄSTERNORRLANDS LÄN</t>
        </is>
      </c>
      <c r="G447" t="inlineStr">
        <is>
          <t>HÄRNÖSAND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46314</v>
      </c>
      <c r="F448" t="inlineStr">
        <is>
          <t>VÄSTERNORRLANDS LÄN</t>
        </is>
      </c>
      <c r="G448" t="inlineStr">
        <is>
          <t>HÄRNÖSAND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15921-2026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46314</v>
      </c>
      <c r="F449" t="inlineStr">
        <is>
          <t>VÄSTERNORRLANDS LÄN</t>
        </is>
      </c>
      <c r="G449" t="inlineStr">
        <is>
          <t>HÄRNÖSAND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11881-2024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45376</v>
      </c>
      <c r="E450" s="1" t="n">
        <v>46314</v>
      </c>
      <c r="F450" t="inlineStr">
        <is>
          <t>VÄSTERNORRLANDS LÄN</t>
        </is>
      </c>
      <c r="G450" t="inlineStr">
        <is>
          <t>HÄRNÖSAND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46314</v>
      </c>
      <c r="F451" t="inlineStr">
        <is>
          <t>VÄSTERNORRLANDS LÄN</t>
        </is>
      </c>
      <c r="G451" t="inlineStr">
        <is>
          <t>HÄRNÖSAND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46314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17661-2026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46120</v>
      </c>
      <c r="E453" s="1" t="n">
        <v>46314</v>
      </c>
      <c r="F453" t="inlineStr">
        <is>
          <t>VÄSTERNORRLANDS LÄN</t>
        </is>
      </c>
      <c r="G453" t="inlineStr">
        <is>
          <t>HÄRNÖSAND</t>
        </is>
      </c>
      <c r="I453" t="n">
        <v>10.8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50338-2022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44865</v>
      </c>
      <c r="E454" s="1" t="n">
        <v>46314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45699</v>
      </c>
      <c r="E455" s="1" t="n">
        <v>46314</v>
      </c>
      <c r="F455" t="inlineStr">
        <is>
          <t>VÄSTERNORRLANDS LÄN</t>
        </is>
      </c>
      <c r="G455" t="inlineStr">
        <is>
          <t>HÄRNÖSAND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46122</v>
      </c>
      <c r="E456" s="1" t="n">
        <v>46314</v>
      </c>
      <c r="F456" t="inlineStr">
        <is>
          <t>VÄSTERNORRLANDS LÄN</t>
        </is>
      </c>
      <c r="G456" t="inlineStr">
        <is>
          <t>HÄRNÖSAND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45044</v>
      </c>
      <c r="E457" s="1" t="n">
        <v>46314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SCA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45502</v>
      </c>
      <c r="E458" s="1" t="n">
        <v>46314</v>
      </c>
      <c r="F458" t="inlineStr">
        <is>
          <t>VÄSTERNORRLANDS LÄN</t>
        </is>
      </c>
      <c r="G458" t="inlineStr">
        <is>
          <t>HÄRNÖSAND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24452-2022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44726</v>
      </c>
      <c r="E459" s="1" t="n">
        <v>46314</v>
      </c>
      <c r="F459" t="inlineStr">
        <is>
          <t>VÄSTERNORRLANDS LÄN</t>
        </is>
      </c>
      <c r="G459" t="inlineStr">
        <is>
          <t>HÄRNÖSAND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18575-2026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46314</v>
      </c>
      <c r="F460" t="inlineStr">
        <is>
          <t>VÄSTERNORRLANDS LÄN</t>
        </is>
      </c>
      <c r="G460" t="inlineStr">
        <is>
          <t>HÄRNÖSAND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19327-2026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46133</v>
      </c>
      <c r="E461" s="1" t="n">
        <v>46314</v>
      </c>
      <c r="F461" t="inlineStr">
        <is>
          <t>VÄSTERNORRLANDS LÄN</t>
        </is>
      </c>
      <c r="G461" t="inlineStr">
        <is>
          <t>HÄRNÖSAND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19245-2026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46314</v>
      </c>
      <c r="F462" t="inlineStr">
        <is>
          <t>VÄSTERNORRLANDS LÄN</t>
        </is>
      </c>
      <c r="G462" t="inlineStr">
        <is>
          <t>HÄRNÖSAND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19346-2026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46314</v>
      </c>
      <c r="F463" t="inlineStr">
        <is>
          <t>VÄSTERNORRLANDS LÄN</t>
        </is>
      </c>
      <c r="G463" t="inlineStr">
        <is>
          <t>HÄRNÖSAND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46314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56165-2022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44889</v>
      </c>
      <c r="E465" s="1" t="n">
        <v>46314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46314</v>
      </c>
      <c r="F466" t="inlineStr">
        <is>
          <t>VÄSTERNORRLANDS LÄN</t>
        </is>
      </c>
      <c r="G466" t="inlineStr">
        <is>
          <t>HÄRNÖSAND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46314</v>
      </c>
      <c r="F467" t="inlineStr">
        <is>
          <t>VÄSTERNORRLANDS LÄN</t>
        </is>
      </c>
      <c r="G467" t="inlineStr">
        <is>
          <t>HÄRNÖSAND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44755</v>
      </c>
      <c r="E468" s="1" t="n">
        <v>46314</v>
      </c>
      <c r="F468" t="inlineStr">
        <is>
          <t>VÄSTERNORRLANDS LÄN</t>
        </is>
      </c>
      <c r="G468" t="inlineStr">
        <is>
          <t>HÄRNÖSAND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46314</v>
      </c>
      <c r="F469" t="inlineStr">
        <is>
          <t>VÄSTERNORRLANDS LÄN</t>
        </is>
      </c>
      <c r="G469" t="inlineStr">
        <is>
          <t>HÄRNÖSAND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46314</v>
      </c>
      <c r="F470" t="inlineStr">
        <is>
          <t>VÄSTERNORRLANDS LÄN</t>
        </is>
      </c>
      <c r="G470" t="inlineStr">
        <is>
          <t>HÄRNÖSAND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54252-2022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46314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SCA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45194</v>
      </c>
      <c r="E472" s="1" t="n">
        <v>46314</v>
      </c>
      <c r="F472" t="inlineStr">
        <is>
          <t>VÄSTERNORRLANDS LÄN</t>
        </is>
      </c>
      <c r="G472" t="inlineStr">
        <is>
          <t>HÄRNÖSAND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46314</v>
      </c>
      <c r="F473" t="inlineStr">
        <is>
          <t>VÄSTERNORRLANDS LÄN</t>
        </is>
      </c>
      <c r="G473" t="inlineStr">
        <is>
          <t>HÄRNÖSAND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46314</v>
      </c>
      <c r="F474" t="inlineStr">
        <is>
          <t>VÄSTERNORRLANDS LÄN</t>
        </is>
      </c>
      <c r="G474" t="inlineStr">
        <is>
          <t>HÄRNÖSAND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46314</v>
      </c>
      <c r="F475" t="inlineStr">
        <is>
          <t>VÄSTERNORRLANDS LÄN</t>
        </is>
      </c>
      <c r="G475" t="inlineStr">
        <is>
          <t>HÄRNÖSAND</t>
        </is>
      </c>
      <c r="I475" t="n">
        <v>14.6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45505</v>
      </c>
      <c r="E476" s="1" t="n">
        <v>46314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46320-2022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44847</v>
      </c>
      <c r="E477" s="1" t="n">
        <v>46314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Kyrkan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46314</v>
      </c>
      <c r="F478" t="inlineStr">
        <is>
          <t>VÄSTERNORRLANDS LÄN</t>
        </is>
      </c>
      <c r="G478" t="inlineStr">
        <is>
          <t>HÄRNÖSAND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30171-2026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46206</v>
      </c>
      <c r="E479" s="1" t="n">
        <v>46314</v>
      </c>
      <c r="F479" t="inlineStr">
        <is>
          <t>VÄSTERNORRLANDS LÄN</t>
        </is>
      </c>
      <c r="G479" t="inlineStr">
        <is>
          <t>HÄRNÖSAND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46319-2022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44847</v>
      </c>
      <c r="E480" s="1" t="n">
        <v>46314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Kyrkan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46314</v>
      </c>
      <c r="F481" t="inlineStr">
        <is>
          <t>VÄSTERNORRLANDS LÄN</t>
        </is>
      </c>
      <c r="G481" t="inlineStr">
        <is>
          <t>HÄRNÖSAND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45800</v>
      </c>
      <c r="E482" s="1" t="n">
        <v>46314</v>
      </c>
      <c r="F482" t="inlineStr">
        <is>
          <t>VÄSTERNORRLANDS LÄN</t>
        </is>
      </c>
      <c r="G482" t="inlineStr">
        <is>
          <t>HÄRNÖSAND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46314</v>
      </c>
      <c r="F483" t="inlineStr">
        <is>
          <t>VÄSTERNORRLANDS LÄN</t>
        </is>
      </c>
      <c r="G483" t="inlineStr">
        <is>
          <t>HÄRNÖSAND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45723</v>
      </c>
      <c r="E484" s="1" t="n">
        <v>46314</v>
      </c>
      <c r="F484" t="inlineStr">
        <is>
          <t>VÄSTERNORRLANDS LÄN</t>
        </is>
      </c>
      <c r="G484" t="inlineStr">
        <is>
          <t>HÄRNÖSAND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29279-2024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45482</v>
      </c>
      <c r="E485" s="1" t="n">
        <v>46314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46209</v>
      </c>
      <c r="E486" s="1" t="n">
        <v>46314</v>
      </c>
      <c r="F486" t="inlineStr">
        <is>
          <t>VÄSTERNORRLANDS LÄN</t>
        </is>
      </c>
      <c r="G486" t="inlineStr">
        <is>
          <t>HÄRNÖSAND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46314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46314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46211</v>
      </c>
      <c r="E489" s="1" t="n">
        <v>46314</v>
      </c>
      <c r="F489" t="inlineStr">
        <is>
          <t>VÄSTERNORRLANDS LÄN</t>
        </is>
      </c>
      <c r="G489" t="inlineStr">
        <is>
          <t>HÄRNÖSAND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46314</v>
      </c>
      <c r="F490" t="inlineStr">
        <is>
          <t>VÄSTERNORRLANDS LÄN</t>
        </is>
      </c>
      <c r="G490" t="inlineStr">
        <is>
          <t>HÄRNÖSAND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60970-2021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44496</v>
      </c>
      <c r="E491" s="1" t="n">
        <v>46314</v>
      </c>
      <c r="F491" t="inlineStr">
        <is>
          <t>VÄSTERNORRLANDS LÄN</t>
        </is>
      </c>
      <c r="G491" t="inlineStr">
        <is>
          <t>HÄRNÖSAND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52987-2022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44875</v>
      </c>
      <c r="E492" s="1" t="n">
        <v>46314</v>
      </c>
      <c r="F492" t="inlineStr">
        <is>
          <t>VÄSTERNORRLANDS LÄN</t>
        </is>
      </c>
      <c r="G492" t="inlineStr">
        <is>
          <t>HÄRNÖSAND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69269-2021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44531</v>
      </c>
      <c r="E493" s="1" t="n">
        <v>46314</v>
      </c>
      <c r="F493" t="inlineStr">
        <is>
          <t>VÄSTERNORRLANDS LÄN</t>
        </is>
      </c>
      <c r="G493" t="inlineStr">
        <is>
          <t>HÄRNÖSAND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12267-2025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45729</v>
      </c>
      <c r="E494" s="1" t="n">
        <v>46314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30711-2026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46211</v>
      </c>
      <c r="E495" s="1" t="n">
        <v>46314</v>
      </c>
      <c r="F495" t="inlineStr">
        <is>
          <t>VÄSTERNORRLANDS LÄN</t>
        </is>
      </c>
      <c r="G495" t="inlineStr">
        <is>
          <t>HÄRNÖSAND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38146-2024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45545</v>
      </c>
      <c r="E496" s="1" t="n">
        <v>46314</v>
      </c>
      <c r="F496" t="inlineStr">
        <is>
          <t>VÄSTERNORRLANDS LÄN</t>
        </is>
      </c>
      <c r="G496" t="inlineStr">
        <is>
          <t>HÄRNÖSAND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49346-2024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45595</v>
      </c>
      <c r="E497" s="1" t="n">
        <v>46314</v>
      </c>
      <c r="F497" t="inlineStr">
        <is>
          <t>VÄSTERNORRLANDS LÄN</t>
        </is>
      </c>
      <c r="G497" t="inlineStr">
        <is>
          <t>HÄRNÖSAND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49364-2024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45595</v>
      </c>
      <c r="E498" s="1" t="n">
        <v>46314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31049-2026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46215</v>
      </c>
      <c r="E499" s="1" t="n">
        <v>46314</v>
      </c>
      <c r="F499" t="inlineStr">
        <is>
          <t>VÄSTERNORRLANDS LÄN</t>
        </is>
      </c>
      <c r="G499" t="inlineStr">
        <is>
          <t>HÄRNÖSAND</t>
        </is>
      </c>
      <c r="I499" t="n">
        <v>12.7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46215</v>
      </c>
      <c r="E500" s="1" t="n">
        <v>46314</v>
      </c>
      <c r="F500" t="inlineStr">
        <is>
          <t>VÄSTERNORRLANDS LÄN</t>
        </is>
      </c>
      <c r="G500" t="inlineStr">
        <is>
          <t>HÄRNÖSAND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7793-2024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45348</v>
      </c>
      <c r="E501" s="1" t="n">
        <v>46314</v>
      </c>
      <c r="F501" t="inlineStr">
        <is>
          <t>VÄSTERNORRLANDS LÄN</t>
        </is>
      </c>
      <c r="G501" t="inlineStr">
        <is>
          <t>HÄRNÖSAND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46213</v>
      </c>
      <c r="E502" s="1" t="n">
        <v>46314</v>
      </c>
      <c r="F502" t="inlineStr">
        <is>
          <t>VÄSTERNORRLANDS LÄN</t>
        </is>
      </c>
      <c r="G502" t="inlineStr">
        <is>
          <t>HÄRNÖSAND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30976-2026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46213</v>
      </c>
      <c r="E503" s="1" t="n">
        <v>46314</v>
      </c>
      <c r="F503" t="inlineStr">
        <is>
          <t>VÄSTERNORRLANDS LÄN</t>
        </is>
      </c>
      <c r="G503" t="inlineStr">
        <is>
          <t>HÄRNÖSAND</t>
        </is>
      </c>
      <c r="I503" t="n">
        <v>13.6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64377-2023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45280</v>
      </c>
      <c r="E504" s="1" t="n">
        <v>46314</v>
      </c>
      <c r="F504" t="inlineStr">
        <is>
          <t>VÄSTERNORRLANDS LÄN</t>
        </is>
      </c>
      <c r="G504" t="inlineStr">
        <is>
          <t>HÄRNÖSAND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19827-2022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44694</v>
      </c>
      <c r="E505" s="1" t="n">
        <v>46314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46219</v>
      </c>
      <c r="E506" s="1" t="n">
        <v>46314</v>
      </c>
      <c r="F506" t="inlineStr">
        <is>
          <t>VÄSTERNORRLANDS LÄN</t>
        </is>
      </c>
      <c r="G506" t="inlineStr">
        <is>
          <t>HÄRNÖSAND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46219</v>
      </c>
      <c r="E507" s="1" t="n">
        <v>46314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46219</v>
      </c>
      <c r="E508" s="1" t="n">
        <v>46314</v>
      </c>
      <c r="F508" t="inlineStr">
        <is>
          <t>VÄSTERNORRLANDS LÄN</t>
        </is>
      </c>
      <c r="G508" t="inlineStr">
        <is>
          <t>HÄRNÖSAND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46213</v>
      </c>
      <c r="E509" s="1" t="n">
        <v>46314</v>
      </c>
      <c r="F509" t="inlineStr">
        <is>
          <t>VÄSTERNORRLANDS LÄN</t>
        </is>
      </c>
      <c r="G509" t="inlineStr">
        <is>
          <t>HÄRNÖSAND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29483-2026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46203</v>
      </c>
      <c r="E510" s="1" t="n">
        <v>46314</v>
      </c>
      <c r="F510" t="inlineStr">
        <is>
          <t>VÄSTERNORRLANDS LÄN</t>
        </is>
      </c>
      <c r="G510" t="inlineStr">
        <is>
          <t>HÄRNÖSAND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23186-2026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46161</v>
      </c>
      <c r="E511" s="1" t="n">
        <v>46314</v>
      </c>
      <c r="F511" t="inlineStr">
        <is>
          <t>VÄSTERNORRLANDS LÄN</t>
        </is>
      </c>
      <c r="G511" t="inlineStr">
        <is>
          <t>HÄRNÖSAND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27912-2022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44743</v>
      </c>
      <c r="E512" s="1" t="n">
        <v>46314</v>
      </c>
      <c r="F512" t="inlineStr">
        <is>
          <t>VÄSTERNORRLANDS LÄN</t>
        </is>
      </c>
      <c r="G512" t="inlineStr">
        <is>
          <t>HÄRNÖSAND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37172-2022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44806</v>
      </c>
      <c r="E513" s="1" t="n">
        <v>46314</v>
      </c>
      <c r="F513" t="inlineStr">
        <is>
          <t>VÄSTERNORRLANDS LÄN</t>
        </is>
      </c>
      <c r="G513" t="inlineStr">
        <is>
          <t>HÄRNÖSAND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37172-2022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44806</v>
      </c>
      <c r="E514" s="1" t="n">
        <v>46314</v>
      </c>
      <c r="F514" t="inlineStr">
        <is>
          <t>VÄSTERNORRLANDS LÄN</t>
        </is>
      </c>
      <c r="G514" t="inlineStr">
        <is>
          <t>HÄRNÖSAND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46314</v>
      </c>
      <c r="F515" t="inlineStr">
        <is>
          <t>VÄSTERNORRLANDS LÄN</t>
        </is>
      </c>
      <c r="G515" t="inlineStr">
        <is>
          <t>HÄRNÖSAND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37333-2026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46275</v>
      </c>
      <c r="E516" s="1" t="n">
        <v>46314</v>
      </c>
      <c r="F516" t="inlineStr">
        <is>
          <t>VÄSTERNORRLANDS LÄN</t>
        </is>
      </c>
      <c r="G516" t="inlineStr">
        <is>
          <t>HÄRNÖSAND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44991</v>
      </c>
      <c r="E517" s="1" t="n">
        <v>46314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37246-2026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46274</v>
      </c>
      <c r="E518" s="1" t="n">
        <v>46314</v>
      </c>
      <c r="F518" t="inlineStr">
        <is>
          <t>VÄSTERNORRLANDS LÄN</t>
        </is>
      </c>
      <c r="G518" t="inlineStr">
        <is>
          <t>HÄRNÖSAND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58869-2023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45250</v>
      </c>
      <c r="E519" s="1" t="n">
        <v>46314</v>
      </c>
      <c r="F519" t="inlineStr">
        <is>
          <t>VÄSTERNORRLANDS LÄN</t>
        </is>
      </c>
      <c r="G519" t="inlineStr">
        <is>
          <t>HÄRNÖSAND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45580</v>
      </c>
      <c r="E520" s="1" t="n">
        <v>46314</v>
      </c>
      <c r="F520" t="inlineStr">
        <is>
          <t>VÄSTERNORRLANDS LÄN</t>
        </is>
      </c>
      <c r="G520" t="inlineStr">
        <is>
          <t>HÄRNÖSAND</t>
        </is>
      </c>
      <c r="I520" t="n">
        <v>14.2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31956-2026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46232</v>
      </c>
      <c r="E521" s="1" t="n">
        <v>46314</v>
      </c>
      <c r="F521" t="inlineStr">
        <is>
          <t>VÄSTERNORRLANDS LÄN</t>
        </is>
      </c>
      <c r="G521" t="inlineStr">
        <is>
          <t>HÄRNÖSAND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64749-2023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45281</v>
      </c>
      <c r="E522" s="1" t="n">
        <v>46314</v>
      </c>
      <c r="F522" t="inlineStr">
        <is>
          <t>VÄSTERNORRLANDS LÄN</t>
        </is>
      </c>
      <c r="G522" t="inlineStr">
        <is>
          <t>HÄRNÖSAND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44957</v>
      </c>
      <c r="E523" s="1" t="n">
        <v>46314</v>
      </c>
      <c r="F523" t="inlineStr">
        <is>
          <t>VÄSTERNORRLANDS LÄN</t>
        </is>
      </c>
      <c r="G523" t="inlineStr">
        <is>
          <t>HÄRNÖSAND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45265</v>
      </c>
      <c r="E524" s="1" t="n">
        <v>46314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27977-2024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45476</v>
      </c>
      <c r="E525" s="1" t="n">
        <v>46314</v>
      </c>
      <c r="F525" t="inlineStr">
        <is>
          <t>VÄSTERNORRLANDS LÄN</t>
        </is>
      </c>
      <c r="G525" t="inlineStr">
        <is>
          <t>HÄRNÖSAND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27976-2024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45476</v>
      </c>
      <c r="E526" s="1" t="n">
        <v>46314</v>
      </c>
      <c r="F526" t="inlineStr">
        <is>
          <t>VÄSTERNORRLANDS LÄN</t>
        </is>
      </c>
      <c r="G526" t="inlineStr">
        <is>
          <t>HÄRNÖSAND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32293-2026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46237</v>
      </c>
      <c r="E527" s="1" t="n">
        <v>46314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39498-2023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46314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46281</v>
      </c>
      <c r="E529" s="1" t="n">
        <v>46314</v>
      </c>
      <c r="F529" t="inlineStr">
        <is>
          <t>VÄSTERNORRLANDS LÄN</t>
        </is>
      </c>
      <c r="G529" t="inlineStr">
        <is>
          <t>HÄRNÖSAND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48047-2022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44855</v>
      </c>
      <c r="E530" s="1" t="n">
        <v>46314</v>
      </c>
      <c r="F530" t="inlineStr">
        <is>
          <t>VÄSTERNORRLANDS LÄN</t>
        </is>
      </c>
      <c r="G530" t="inlineStr">
        <is>
          <t>HÄRNÖSAND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56395-2022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44890</v>
      </c>
      <c r="E531" s="1" t="n">
        <v>46314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Kyrkan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46281</v>
      </c>
      <c r="E532" s="1" t="n">
        <v>46314</v>
      </c>
      <c r="F532" t="inlineStr">
        <is>
          <t>VÄSTERNORRLANDS LÄN</t>
        </is>
      </c>
      <c r="G532" t="inlineStr">
        <is>
          <t>HÄRNÖSAND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46239</v>
      </c>
      <c r="E533" s="1" t="n">
        <v>46314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38471-2026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46314</v>
      </c>
      <c r="F534" t="inlineStr">
        <is>
          <t>VÄSTERNORRLANDS LÄN</t>
        </is>
      </c>
      <c r="G534" t="inlineStr">
        <is>
          <t>HÄRNÖSAND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44945</v>
      </c>
      <c r="E535" s="1" t="n">
        <v>46314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46314</v>
      </c>
      <c r="F536" t="inlineStr">
        <is>
          <t>VÄSTERNORRLANDS LÄN</t>
        </is>
      </c>
      <c r="G536" t="inlineStr">
        <is>
          <t>HÄRNÖSAND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59034-2022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44903</v>
      </c>
      <c r="E537" s="1" t="n">
        <v>46314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9160-2026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46070</v>
      </c>
      <c r="E538" s="1" t="n">
        <v>46314</v>
      </c>
      <c r="F538" t="inlineStr">
        <is>
          <t>VÄSTERNORRLANDS LÄN</t>
        </is>
      </c>
      <c r="G538" t="inlineStr">
        <is>
          <t>HÄRNÖSAND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38849-2026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46286</v>
      </c>
      <c r="E539" s="1" t="n">
        <v>46314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23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38854-2026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46286</v>
      </c>
      <c r="E540" s="1" t="n">
        <v>46314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59155-2023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45251</v>
      </c>
      <c r="E541" s="1" t="n">
        <v>46314</v>
      </c>
      <c r="F541" t="inlineStr">
        <is>
          <t>VÄSTERNORRLANDS LÄN</t>
        </is>
      </c>
      <c r="G541" t="inlineStr">
        <is>
          <t>HÄRNÖSAND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46314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Kyrkan</t>
        </is>
      </c>
      <c r="I542" t="n">
        <v>24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46314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25981-2026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46314</v>
      </c>
      <c r="F544" t="inlineStr">
        <is>
          <t>VÄSTERNORRLANDS LÄN</t>
        </is>
      </c>
      <c r="G544" t="inlineStr">
        <is>
          <t>HÄRNÖSAND</t>
        </is>
      </c>
      <c r="I544" t="n">
        <v>8.6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39390-2026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46288</v>
      </c>
      <c r="E545" s="1" t="n">
        <v>46314</v>
      </c>
      <c r="F545" t="inlineStr">
        <is>
          <t>VÄSTERNORRLANDS LÄN</t>
        </is>
      </c>
      <c r="G545" t="inlineStr">
        <is>
          <t>HÄRNÖSAND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32418-2024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45512</v>
      </c>
      <c r="E546" s="1" t="n">
        <v>46314</v>
      </c>
      <c r="F546" t="inlineStr">
        <is>
          <t>VÄSTERNORRLANDS LÄN</t>
        </is>
      </c>
      <c r="G546" t="inlineStr">
        <is>
          <t>HÄRNÖSAND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11042-2025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45723</v>
      </c>
      <c r="E547" s="1" t="n">
        <v>46314</v>
      </c>
      <c r="F547" t="inlineStr">
        <is>
          <t>VÄSTERNORRLANDS LÄN</t>
        </is>
      </c>
      <c r="G547" t="inlineStr">
        <is>
          <t>HÄRNÖSAND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61574-2021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44497</v>
      </c>
      <c r="E548" s="1" t="n">
        <v>46314</v>
      </c>
      <c r="F548" t="inlineStr">
        <is>
          <t>VÄSTERNORRLANDS LÄN</t>
        </is>
      </c>
      <c r="G548" t="inlineStr">
        <is>
          <t>HÄRNÖSAND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62333-2021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44502</v>
      </c>
      <c r="E549" s="1" t="n">
        <v>46314</v>
      </c>
      <c r="F549" t="inlineStr">
        <is>
          <t>VÄSTERNORRLANDS LÄN</t>
        </is>
      </c>
      <c r="G549" t="inlineStr">
        <is>
          <t>HÄRNÖSAND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46288</v>
      </c>
      <c r="E550" s="1" t="n">
        <v>46314</v>
      </c>
      <c r="F550" t="inlineStr">
        <is>
          <t>VÄSTERNORRLANDS LÄN</t>
        </is>
      </c>
      <c r="G550" t="inlineStr">
        <is>
          <t>HÄRNÖSAND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46286</v>
      </c>
      <c r="E551" s="1" t="n">
        <v>46314</v>
      </c>
      <c r="F551" t="inlineStr">
        <is>
          <t>VÄSTERNORRLANDS LÄN</t>
        </is>
      </c>
      <c r="G551" t="inlineStr">
        <is>
          <t>HÄRNÖSAND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46314</v>
      </c>
      <c r="F552" t="inlineStr">
        <is>
          <t>VÄSTERNORRLANDS LÄN</t>
        </is>
      </c>
      <c r="G552" t="inlineStr">
        <is>
          <t>HÄRNÖSAND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39395-2026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46288</v>
      </c>
      <c r="E553" s="1" t="n">
        <v>46314</v>
      </c>
      <c r="F553" t="inlineStr">
        <is>
          <t>VÄSTERNORRLANDS LÄN</t>
        </is>
      </c>
      <c r="G553" t="inlineStr">
        <is>
          <t>HÄRNÖSAND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59715-2024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45639</v>
      </c>
      <c r="E554" s="1" t="n">
        <v>46314</v>
      </c>
      <c r="F554" t="inlineStr">
        <is>
          <t>VÄSTERNORRLANDS LÄN</t>
        </is>
      </c>
      <c r="G554" t="inlineStr">
        <is>
          <t>HÄRNÖSAND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8220-2022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44609</v>
      </c>
      <c r="E555" s="1" t="n">
        <v>46314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Övriga statliga verk och myndigheter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44952</v>
      </c>
      <c r="E556" s="1" t="n">
        <v>46314</v>
      </c>
      <c r="F556" t="inlineStr">
        <is>
          <t>VÄSTERNORRLANDS LÄN</t>
        </is>
      </c>
      <c r="G556" t="inlineStr">
        <is>
          <t>HÄRNÖSAND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33659-2026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46248</v>
      </c>
      <c r="E557" s="1" t="n">
        <v>46314</v>
      </c>
      <c r="F557" t="inlineStr">
        <is>
          <t>VÄSTERNORRLANDS LÄN</t>
        </is>
      </c>
      <c r="G557" t="inlineStr">
        <is>
          <t>HÄRNÖSAND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28319-2022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44747</v>
      </c>
      <c r="E558" s="1" t="n">
        <v>46314</v>
      </c>
      <c r="F558" t="inlineStr">
        <is>
          <t>VÄSTERNORRLANDS LÄN</t>
        </is>
      </c>
      <c r="G558" t="inlineStr">
        <is>
          <t>HÄRNÖSAND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36496-2023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45152</v>
      </c>
      <c r="E559" s="1" t="n">
        <v>46314</v>
      </c>
      <c r="F559" t="inlineStr">
        <is>
          <t>VÄSTERNORRLANDS LÄN</t>
        </is>
      </c>
      <c r="G559" t="inlineStr">
        <is>
          <t>HÄRNÖSAND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45099</v>
      </c>
      <c r="E560" s="1" t="n">
        <v>46314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57154-2024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45629</v>
      </c>
      <c r="E561" s="1" t="n">
        <v>46314</v>
      </c>
      <c r="F561" t="inlineStr">
        <is>
          <t>VÄSTERNORRLANDS LÄN</t>
        </is>
      </c>
      <c r="G561" t="inlineStr">
        <is>
          <t>HÄRNÖSAND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45000</v>
      </c>
      <c r="E562" s="1" t="n">
        <v>46314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12543-2023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45000</v>
      </c>
      <c r="E563" s="1" t="n">
        <v>46314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46252</v>
      </c>
      <c r="E564" s="1" t="n">
        <v>46314</v>
      </c>
      <c r="F564" t="inlineStr">
        <is>
          <t>VÄSTERNORRLANDS LÄN</t>
        </is>
      </c>
      <c r="G564" t="inlineStr">
        <is>
          <t>HÄRNÖSAND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39954-2022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44819</v>
      </c>
      <c r="E565" s="1" t="n">
        <v>46314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18348-2025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46314</v>
      </c>
      <c r="F566" t="inlineStr">
        <is>
          <t>VÄSTERNORRLANDS LÄN</t>
        </is>
      </c>
      <c r="G566" t="inlineStr">
        <is>
          <t>HÄRNÖSAND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33747-2026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46314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39044-2023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45163</v>
      </c>
      <c r="E568" s="1" t="n">
        <v>46314</v>
      </c>
      <c r="F568" t="inlineStr">
        <is>
          <t>VÄSTERNORRLANDS LÄN</t>
        </is>
      </c>
      <c r="G568" t="inlineStr">
        <is>
          <t>HÄRNÖSAND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40833-2026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46296</v>
      </c>
      <c r="E569" s="1" t="n">
        <v>46314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40816-2026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46314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46296</v>
      </c>
      <c r="E571" s="1" t="n">
        <v>46314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40797-2026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46314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46297</v>
      </c>
      <c r="E573" s="1" t="n">
        <v>46314</v>
      </c>
      <c r="F573" t="inlineStr">
        <is>
          <t>VÄSTERNORRLANDS LÄN</t>
        </is>
      </c>
      <c r="G573" t="inlineStr">
        <is>
          <t>HÄRNÖSAND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46314</v>
      </c>
      <c r="F574" t="inlineStr">
        <is>
          <t>VÄSTERNORRLANDS LÄN</t>
        </is>
      </c>
      <c r="G574" t="inlineStr">
        <is>
          <t>HÄRNÖSAND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40868-2026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46297</v>
      </c>
      <c r="E575" s="1" t="n">
        <v>46314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Kyrkan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32140-2023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46314</v>
      </c>
      <c r="F576" t="inlineStr">
        <is>
          <t>VÄSTERNORRLANDS LÄN</t>
        </is>
      </c>
      <c r="G576" t="inlineStr">
        <is>
          <t>HÄRNÖSAND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45685</v>
      </c>
      <c r="E577" s="1" t="n">
        <v>46314</v>
      </c>
      <c r="F577" t="inlineStr">
        <is>
          <t>VÄSTERNORRLANDS LÄN</t>
        </is>
      </c>
      <c r="G577" t="inlineStr">
        <is>
          <t>HÄRNÖSAND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34768-2026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46314</v>
      </c>
      <c r="F578" t="inlineStr">
        <is>
          <t>VÄSTERNORRLANDS LÄN</t>
        </is>
      </c>
      <c r="G578" t="inlineStr">
        <is>
          <t>HÄRNÖSAND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45776</v>
      </c>
      <c r="E579" s="1" t="n">
        <v>46314</v>
      </c>
      <c r="F579" t="inlineStr">
        <is>
          <t>VÄSTERNORRLANDS LÄN</t>
        </is>
      </c>
      <c r="G579" t="inlineStr">
        <is>
          <t>HÄRNÖSAND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45776</v>
      </c>
      <c r="E580" s="1" t="n">
        <v>46314</v>
      </c>
      <c r="F580" t="inlineStr">
        <is>
          <t>VÄSTERNORRLANDS LÄN</t>
        </is>
      </c>
      <c r="G580" t="inlineStr">
        <is>
          <t>HÄRNÖSAND</t>
        </is>
      </c>
      <c r="I580" t="n">
        <v>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21484-2025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46314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32.1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45782</v>
      </c>
      <c r="E582" s="1" t="n">
        <v>46314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12.3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45562</v>
      </c>
      <c r="E583" s="1" t="n">
        <v>46314</v>
      </c>
      <c r="F583" t="inlineStr">
        <is>
          <t>VÄSTERNORRLANDS LÄN</t>
        </is>
      </c>
      <c r="G583" t="inlineStr">
        <is>
          <t>HÄRNÖSAND</t>
        </is>
      </c>
      <c r="I583" t="n">
        <v>15.6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41439-2026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46301</v>
      </c>
      <c r="E584" s="1" t="n">
        <v>46314</v>
      </c>
      <c r="F584" t="inlineStr">
        <is>
          <t>VÄSTERNORRLANDS LÄN</t>
        </is>
      </c>
      <c r="G584" t="inlineStr">
        <is>
          <t>HÄRNÖSAND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45502-2024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45578</v>
      </c>
      <c r="E585" s="1" t="n">
        <v>46314</v>
      </c>
      <c r="F585" t="inlineStr">
        <is>
          <t>VÄSTERNORRLANDS LÄN</t>
        </is>
      </c>
      <c r="G585" t="inlineStr">
        <is>
          <t>HÄRNÖSAND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41997-2026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46314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Kyrkan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46314</v>
      </c>
      <c r="F587" t="inlineStr">
        <is>
          <t>VÄSTERNORRLANDS LÄN</t>
        </is>
      </c>
      <c r="G587" t="inlineStr">
        <is>
          <t>HÄRNÖSAND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44590-2024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46314</v>
      </c>
      <c r="F588" t="inlineStr">
        <is>
          <t>VÄSTERNORRLANDS LÄN</t>
        </is>
      </c>
      <c r="G588" t="inlineStr">
        <is>
          <t>HÄRNÖSAND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46314</v>
      </c>
      <c r="F589" t="inlineStr">
        <is>
          <t>VÄSTERNORRLANDS LÄN</t>
        </is>
      </c>
      <c r="G589" t="inlineStr">
        <is>
          <t>HÄRNÖSAND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6831-2024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45342</v>
      </c>
      <c r="E590" s="1" t="n">
        <v>46314</v>
      </c>
      <c r="F590" t="inlineStr">
        <is>
          <t>VÄSTERNORRLANDS LÄN</t>
        </is>
      </c>
      <c r="G590" t="inlineStr">
        <is>
          <t>HÄRNÖSAND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19949-2024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45433</v>
      </c>
      <c r="E591" s="1" t="n">
        <v>46314</v>
      </c>
      <c r="F591" t="inlineStr">
        <is>
          <t>VÄSTERNORRLANDS LÄN</t>
        </is>
      </c>
      <c r="G591" t="inlineStr">
        <is>
          <t>HÄRNÖSAND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45351</v>
      </c>
      <c r="E592" s="1" t="n">
        <v>46314</v>
      </c>
      <c r="F592" t="inlineStr">
        <is>
          <t>VÄSTERNORRLANDS LÄN</t>
        </is>
      </c>
      <c r="G592" t="inlineStr">
        <is>
          <t>HÄRNÖSAND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46314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46307</v>
      </c>
      <c r="E594" s="1" t="n">
        <v>46314</v>
      </c>
      <c r="F594" t="inlineStr">
        <is>
          <t>VÄSTERNORRLANDS LÄN</t>
        </is>
      </c>
      <c r="G594" t="inlineStr">
        <is>
          <t>HÄRNÖSAND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45585-2024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46314</v>
      </c>
      <c r="F595" t="inlineStr">
        <is>
          <t>VÄSTERNORRLANDS LÄN</t>
        </is>
      </c>
      <c r="G595" t="inlineStr">
        <is>
          <t>HÄRNÖSAND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44571</v>
      </c>
      <c r="E596" s="1" t="n">
        <v>46314</v>
      </c>
      <c r="F596" t="inlineStr">
        <is>
          <t>VÄSTERNORRLANDS LÄN</t>
        </is>
      </c>
      <c r="G596" t="inlineStr">
        <is>
          <t>HÄRNÖSAND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61944-2023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45266</v>
      </c>
      <c r="E597" s="1" t="n">
        <v>46314</v>
      </c>
      <c r="F597" t="inlineStr">
        <is>
          <t>VÄSTERNORRLANDS LÄN</t>
        </is>
      </c>
      <c r="G597" t="inlineStr">
        <is>
          <t>HÄRNÖSAND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46262</v>
      </c>
      <c r="E598" s="1" t="n">
        <v>46314</v>
      </c>
      <c r="F598" t="inlineStr">
        <is>
          <t>VÄSTERNORRLANDS LÄN</t>
        </is>
      </c>
      <c r="G598" t="inlineStr">
        <is>
          <t>HÄRNÖSAND</t>
        </is>
      </c>
      <c r="I598" t="n">
        <v>7.9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45516</v>
      </c>
      <c r="E599" s="1" t="n">
        <v>46314</v>
      </c>
      <c r="F599" t="inlineStr">
        <is>
          <t>VÄSTERNORRLANDS LÄN</t>
        </is>
      </c>
      <c r="G599" t="inlineStr">
        <is>
          <t>HÄRNÖSAND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24955-2025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46314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34745-2023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45139</v>
      </c>
      <c r="E601" s="1" t="n">
        <v>46314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5021-2026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46049</v>
      </c>
      <c r="E602" s="1" t="n">
        <v>46314</v>
      </c>
      <c r="F602" t="inlineStr">
        <is>
          <t>VÄSTERNORRLANDS LÄN</t>
        </is>
      </c>
      <c r="G602" t="inlineStr">
        <is>
          <t>HÄRNÖSAND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46304</v>
      </c>
      <c r="E603" s="1" t="n">
        <v>46314</v>
      </c>
      <c r="F603" t="inlineStr">
        <is>
          <t>VÄSTERNORRLANDS LÄN</t>
        </is>
      </c>
      <c r="G603" t="inlineStr">
        <is>
          <t>HÄRNÖSAND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25541-2025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45803</v>
      </c>
      <c r="E604" s="1" t="n">
        <v>46314</v>
      </c>
      <c r="F604" t="inlineStr">
        <is>
          <t>VÄSTERNORRLANDS LÄN</t>
        </is>
      </c>
      <c r="G604" t="inlineStr">
        <is>
          <t>HÄRNÖSAND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18461-2025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46314</v>
      </c>
      <c r="F605" t="inlineStr">
        <is>
          <t>VÄSTERNORRLANDS LÄN</t>
        </is>
      </c>
      <c r="G605" t="inlineStr">
        <is>
          <t>HÄRNÖSAND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25355-2025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46314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46309</v>
      </c>
      <c r="E607" s="1" t="n">
        <v>46314</v>
      </c>
      <c r="F607" t="inlineStr">
        <is>
          <t>VÄSTERNORRLANDS LÄN</t>
        </is>
      </c>
      <c r="G607" t="inlineStr">
        <is>
          <t>HÄRNÖSAND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26176-2025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45805</v>
      </c>
      <c r="E608" s="1" t="n">
        <v>46314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57685-2024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45630</v>
      </c>
      <c r="E609" s="1" t="n">
        <v>46314</v>
      </c>
      <c r="F609" t="inlineStr">
        <is>
          <t>VÄSTERNORRLANDS LÄN</t>
        </is>
      </c>
      <c r="G609" t="inlineStr">
        <is>
          <t>HÄRNÖSAND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35670-2026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46314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22.1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49531-2023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45205</v>
      </c>
      <c r="E611" s="1" t="n">
        <v>46314</v>
      </c>
      <c r="F611" t="inlineStr">
        <is>
          <t>VÄSTERNORRLANDS LÄN</t>
        </is>
      </c>
      <c r="G611" t="inlineStr">
        <is>
          <t>HÄRNÖSAND</t>
        </is>
      </c>
      <c r="I611" t="n">
        <v>7.9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45811</v>
      </c>
      <c r="E612" s="1" t="n">
        <v>46314</v>
      </c>
      <c r="F612" t="inlineStr">
        <is>
          <t>VÄSTERNORRLANDS LÄN</t>
        </is>
      </c>
      <c r="G612" t="inlineStr">
        <is>
          <t>HÄRNÖSAND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43131-2026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46309</v>
      </c>
      <c r="E613" s="1" t="n">
        <v>46314</v>
      </c>
      <c r="F613" t="inlineStr">
        <is>
          <t>VÄSTERNORRLANDS LÄN</t>
        </is>
      </c>
      <c r="G613" t="inlineStr">
        <is>
          <t>HÄRNÖSAND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27272-2025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46314</v>
      </c>
      <c r="F614" t="inlineStr">
        <is>
          <t>VÄSTERNORRLANDS LÄN</t>
        </is>
      </c>
      <c r="G614" t="inlineStr">
        <is>
          <t>HÄRNÖSAND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43128-2026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46309</v>
      </c>
      <c r="E615" s="1" t="n">
        <v>46314</v>
      </c>
      <c r="F615" t="inlineStr">
        <is>
          <t>VÄSTERNORRLANDS LÄN</t>
        </is>
      </c>
      <c r="G615" t="inlineStr">
        <is>
          <t>HÄRNÖSAND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27273-2025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45812</v>
      </c>
      <c r="E616" s="1" t="n">
        <v>46314</v>
      </c>
      <c r="F616" t="inlineStr">
        <is>
          <t>VÄSTERNORRLANDS LÄN</t>
        </is>
      </c>
      <c r="G616" t="inlineStr">
        <is>
          <t>HÄRNÖSAND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43133-2026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46309</v>
      </c>
      <c r="E617" s="1" t="n">
        <v>46314</v>
      </c>
      <c r="F617" t="inlineStr">
        <is>
          <t>VÄSTERNORRLANDS LÄN</t>
        </is>
      </c>
      <c r="G617" t="inlineStr">
        <is>
          <t>HÄRNÖSAND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29542-2025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46314</v>
      </c>
      <c r="F618" t="inlineStr">
        <is>
          <t>VÄSTERNORRLANDS LÄN</t>
        </is>
      </c>
      <c r="G618" t="inlineStr">
        <is>
          <t>HÄRNÖSAND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29548-2025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45825</v>
      </c>
      <c r="E619" s="1" t="n">
        <v>46314</v>
      </c>
      <c r="F619" t="inlineStr">
        <is>
          <t>VÄSTERNORRLANDS LÄN</t>
        </is>
      </c>
      <c r="G619" t="inlineStr">
        <is>
          <t>HÄRNÖSAND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29549-2025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45825</v>
      </c>
      <c r="E620" s="1" t="n">
        <v>46314</v>
      </c>
      <c r="F620" t="inlineStr">
        <is>
          <t>VÄSTERNORRLANDS LÄN</t>
        </is>
      </c>
      <c r="G620" t="inlineStr">
        <is>
          <t>HÄRNÖSAND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46314</v>
      </c>
      <c r="F621" t="inlineStr">
        <is>
          <t>VÄSTERNORRLANDS LÄN</t>
        </is>
      </c>
      <c r="G621" t="inlineStr">
        <is>
          <t>HÄRNÖSAND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29233-2025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45824</v>
      </c>
      <c r="E622" s="1" t="n">
        <v>46314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45826</v>
      </c>
      <c r="E623" s="1" t="n">
        <v>46314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Kyrkan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46314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46314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31305-2025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45833</v>
      </c>
      <c r="E626" s="1" t="n">
        <v>46314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13.5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31483-2025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45833</v>
      </c>
      <c r="E627" s="1" t="n">
        <v>46314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31303-2025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46314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31890-2025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45834</v>
      </c>
      <c r="E629" s="1" t="n">
        <v>46314</v>
      </c>
      <c r="F629" t="inlineStr">
        <is>
          <t>VÄSTERNORRLANDS LÄN</t>
        </is>
      </c>
      <c r="G629" t="inlineStr">
        <is>
          <t>HÄRNÖSAND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26920-2025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45811</v>
      </c>
      <c r="E630" s="1" t="n">
        <v>46314</v>
      </c>
      <c r="F630" t="inlineStr">
        <is>
          <t>VÄSTERNORRLANDS LÄN</t>
        </is>
      </c>
      <c r="G630" t="inlineStr">
        <is>
          <t>HÄRNÖSAND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31721-2025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45834</v>
      </c>
      <c r="E631" s="1" t="n">
        <v>46314</v>
      </c>
      <c r="F631" t="inlineStr">
        <is>
          <t>VÄSTERNORRLANDS LÄN</t>
        </is>
      </c>
      <c r="G631" t="inlineStr">
        <is>
          <t>HÄRNÖSAND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32365-2025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45837</v>
      </c>
      <c r="E632" s="1" t="n">
        <v>46314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32374-2025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45837</v>
      </c>
      <c r="E633" s="1" t="n">
        <v>46314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34729-2025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46314</v>
      </c>
      <c r="F634" t="inlineStr">
        <is>
          <t>VÄSTERNORRLANDS LÄN</t>
        </is>
      </c>
      <c r="G634" t="inlineStr">
        <is>
          <t>HÄRNÖSAND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33145-2025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45840</v>
      </c>
      <c r="E635" s="1" t="n">
        <v>46314</v>
      </c>
      <c r="F635" t="inlineStr">
        <is>
          <t>VÄSTERNORRLANDS LÄN</t>
        </is>
      </c>
      <c r="G635" t="inlineStr">
        <is>
          <t>HÄRNÖSAND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16220-2025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45749</v>
      </c>
      <c r="E636" s="1" t="n">
        <v>46314</v>
      </c>
      <c r="F636" t="inlineStr">
        <is>
          <t>VÄSTERNORRLANDS LÄN</t>
        </is>
      </c>
      <c r="G636" t="inlineStr">
        <is>
          <t>HÄRNÖSAND</t>
        </is>
      </c>
      <c r="I636" t="n">
        <v>10.3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34736-2025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45848</v>
      </c>
      <c r="E637" s="1" t="n">
        <v>46314</v>
      </c>
      <c r="F637" t="inlineStr">
        <is>
          <t>VÄSTERNORRLANDS LÄN</t>
        </is>
      </c>
      <c r="G637" t="inlineStr">
        <is>
          <t>HÄRNÖSAND</t>
        </is>
      </c>
      <c r="I637" t="n">
        <v>7.9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34751-2025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45848</v>
      </c>
      <c r="E638" s="1" t="n">
        <v>46314</v>
      </c>
      <c r="F638" t="inlineStr">
        <is>
          <t>VÄSTERNORRLANDS LÄN</t>
        </is>
      </c>
      <c r="G638" t="inlineStr">
        <is>
          <t>HÄRNÖSAND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35189-2025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45853</v>
      </c>
      <c r="E639" s="1" t="n">
        <v>46314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8023-2023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44973</v>
      </c>
      <c r="E640" s="1" t="n">
        <v>46314</v>
      </c>
      <c r="F640" t="inlineStr">
        <is>
          <t>VÄSTERNORRLANDS LÄN</t>
        </is>
      </c>
      <c r="G640" t="inlineStr">
        <is>
          <t>HÄRNÖSAND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14494-2025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46314</v>
      </c>
      <c r="F641" t="inlineStr">
        <is>
          <t>VÄSTERNORRLANDS LÄN</t>
        </is>
      </c>
      <c r="G641" t="inlineStr">
        <is>
          <t>HÄRNÖSAND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23805-2025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45793</v>
      </c>
      <c r="E642" s="1" t="n">
        <v>46314</v>
      </c>
      <c r="F642" t="inlineStr">
        <is>
          <t>VÄSTERNORRLANDS LÄN</t>
        </is>
      </c>
      <c r="G642" t="inlineStr">
        <is>
          <t>HÄRNÖSAND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45729</v>
      </c>
      <c r="E643" s="1" t="n">
        <v>46314</v>
      </c>
      <c r="F643" t="inlineStr">
        <is>
          <t>VÄSTERNORRLANDS LÄN</t>
        </is>
      </c>
      <c r="G643" t="inlineStr">
        <is>
          <t>HÄRNÖSAND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44459-2024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45574</v>
      </c>
      <c r="E644" s="1" t="n">
        <v>46314</v>
      </c>
      <c r="F644" t="inlineStr">
        <is>
          <t>VÄSTERNORRLANDS LÄN</t>
        </is>
      </c>
      <c r="G644" t="inlineStr">
        <is>
          <t>HÄRNÖSAND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14495-2025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46314</v>
      </c>
      <c r="F645" t="inlineStr">
        <is>
          <t>VÄSTERNORRLANDS LÄN</t>
        </is>
      </c>
      <c r="G645" t="inlineStr">
        <is>
          <t>HÄRNÖSAND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36958-2025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45874</v>
      </c>
      <c r="E646" s="1" t="n">
        <v>46314</v>
      </c>
      <c r="F646" t="inlineStr">
        <is>
          <t>VÄSTERNORRLANDS LÄN</t>
        </is>
      </c>
      <c r="G646" t="inlineStr">
        <is>
          <t>HÄRNÖSAND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36959-2025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46314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36960-2025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45874</v>
      </c>
      <c r="E648" s="1" t="n">
        <v>46314</v>
      </c>
      <c r="F648" t="inlineStr">
        <is>
          <t>VÄSTERNORRLANDS LÄN</t>
        </is>
      </c>
      <c r="G648" t="inlineStr">
        <is>
          <t>HÄRNÖSAND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36993-2025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45874</v>
      </c>
      <c r="E649" s="1" t="n">
        <v>46314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37562-2025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45880</v>
      </c>
      <c r="E650" s="1" t="n">
        <v>46314</v>
      </c>
      <c r="F650" t="inlineStr">
        <is>
          <t>VÄSTERNORRLANDS LÄN</t>
        </is>
      </c>
      <c r="G650" t="inlineStr">
        <is>
          <t>HÄRNÖSAND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46314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46314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46314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46314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46314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46314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46314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46314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46314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>
      <c r="A660" t="inlineStr">
        <is>
          <t>S 2294-2026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46267</v>
      </c>
      <c r="E660" s="1" t="n">
        <v>46314</v>
      </c>
      <c r="F660" t="inlineStr">
        <is>
          <t>VÄSTERNORRLANDS LÄN</t>
        </is>
      </c>
      <c r="G660" t="inlineStr">
        <is>
          <t>HÄRNÖSAND</t>
        </is>
      </c>
      <c r="H660" t="inlineStr">
        <is>
          <t>SCA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2026-10-19T02:02:25Z</dcterms:created>
  <dcterms:modified xmlns:dcterms="http://purl.org/dc/terms/" xmlns:xsi="http://www.w3.org/2001/XMLSchema-instance" xsi:type="dcterms:W3CDTF">2026-10-19T02:02:26Z</dcterms:modified>
</cp:coreProperties>
</file>