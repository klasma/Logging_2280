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46262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46262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46262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46262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46262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46262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46262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46262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46262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46262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46262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46262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46262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47711-2024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46262</v>
      </c>
      <c r="F29" t="inlineStr">
        <is>
          <t>VÄSTERNORRLANDS LÄN</t>
        </is>
      </c>
      <c r="G29" t="inlineStr">
        <is>
          <t>HÄRNÖSAND</t>
        </is>
      </c>
      <c r="I29" t="n">
        <v>39.5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17</v>
      </c>
      <c r="U29" t="n">
        <v>3</v>
      </c>
      <c r="V29" s="2" t="inlineStr">
        <is>
          <t>Dropptaggsvamp
Motaggsvamp
Tallticka
Ullticka
Vedticka</t>
        </is>
      </c>
      <c r="W29">
        <f>HYPERLINK("https://klasma.github.io/Logging_2280/artfynd/A 47711-2024 artfynd.xlsx", "A 47711-2024")</f>
        <v/>
      </c>
      <c r="X29">
        <f>HYPERLINK("https://klasma.github.io/Logging_2280/kartor/A 47711-2024 karta.png", "A 47711-2024")</f>
        <v/>
      </c>
      <c r="Y29">
        <f>HYPERLINK("https://klasma.github.io/Logging_2280/kartor_geotiff/A 47711-2024 georefererad karta.tif", "A 47711-2024")</f>
        <v/>
      </c>
      <c r="AA29">
        <f>HYPERLINK("https://klasma.github.io/Logging_2280/klagomål/A 47711-2024 FSC-klagomål.docx", "A 47711-2024")</f>
        <v/>
      </c>
      <c r="AB29">
        <f>HYPERLINK("https://klasma.github.io/Logging_2280/klagomålsmail/A 47711-2024 FSC-klagomål mail.docx", "A 47711-2024")</f>
        <v/>
      </c>
      <c r="AC29">
        <f>HYPERLINK("https://klasma.github.io/Logging_2280/tillsyn/A 47711-2024 tillsynsbegäran.docx", "A 47711-2024")</f>
        <v/>
      </c>
      <c r="AD29">
        <f>HYPERLINK("https://klasma.github.io/Logging_2280/tillsynsmail/A 47711-2024 tillsynsbegäran mail.docx", "A 47711-2024")</f>
        <v/>
      </c>
    </row>
    <row r="30" ht="15" customHeight="1">
      <c r="A30" t="inlineStr">
        <is>
          <t>A 44401-2023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45188</v>
      </c>
      <c r="E30" s="1" t="n">
        <v>46262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5.9</v>
      </c>
      <c r="J30" t="n">
        <v>2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Gammelgransskål
Rynkskinn
Tretåig hackspett
Ullticka
Spillkråka</t>
        </is>
      </c>
      <c r="W30">
        <f>HYPERLINK("https://klasma.github.io/Logging_2280/artfynd/A 44401-2023 artfynd.xlsx", "A 44401-2023")</f>
        <v/>
      </c>
      <c r="X30">
        <f>HYPERLINK("https://klasma.github.io/Logging_2280/kartor/A 44401-2023 karta.png", "A 44401-2023")</f>
        <v/>
      </c>
      <c r="Y30">
        <f>HYPERLINK("https://klasma.github.io/Logging_2280/kartor_geotiff/A 44401-2023 georefererad karta.tif", "A 44401-2023")</f>
        <v/>
      </c>
      <c r="AA30">
        <f>HYPERLINK("https://klasma.github.io/Logging_2280/klagomål/A 44401-2023 FSC-klagomål.docx", "A 44401-2023")</f>
        <v/>
      </c>
      <c r="AB30">
        <f>HYPERLINK("https://klasma.github.io/Logging_2280/klagomålsmail/A 44401-2023 FSC-klagomål mail.docx", "A 44401-2023")</f>
        <v/>
      </c>
      <c r="AC30">
        <f>HYPERLINK("https://klasma.github.io/Logging_2280/tillsyn/A 44401-2023 tillsynsbegäran.docx", "A 44401-2023")</f>
        <v/>
      </c>
      <c r="AD30">
        <f>HYPERLINK("https://klasma.github.io/Logging_2280/tillsynsmail/A 44401-2023 tillsynsbegäran mail.docx", "A 44401-2023")</f>
        <v/>
      </c>
      <c r="AE30">
        <f>HYPERLINK("https://klasma.github.io/Logging_2280/fåglar/A 44401-2023 prioriterade fågelarter.docx", "A 44401-2023")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46262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A 48667-2024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45593</v>
      </c>
      <c r="E32" s="1" t="n">
        <v>46262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</v>
      </c>
      <c r="J32" t="n">
        <v>0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Gränsticka
Kattfotslav
Bårdlav
Skinnlav
Vedticka</t>
        </is>
      </c>
      <c r="W32">
        <f>HYPERLINK("https://klasma.github.io/Logging_2280/artfynd/A 48667-2024 artfynd.xlsx", "A 48667-2024")</f>
        <v/>
      </c>
      <c r="X32">
        <f>HYPERLINK("https://klasma.github.io/Logging_2280/kartor/A 48667-2024 karta.png", "A 48667-2024")</f>
        <v/>
      </c>
      <c r="Y32">
        <f>HYPERLINK("https://klasma.github.io/Logging_2280/kartor_geotiff/A 48667-2024 georefererad karta.tif", "A 48667-2024")</f>
        <v/>
      </c>
      <c r="AA32">
        <f>HYPERLINK("https://klasma.github.io/Logging_2280/klagomål/A 48667-2024 FSC-klagomål.docx", "A 48667-2024")</f>
        <v/>
      </c>
      <c r="AB32">
        <f>HYPERLINK("https://klasma.github.io/Logging_2280/klagomålsmail/A 48667-2024 FSC-klagomål mail.docx", "A 48667-2024")</f>
        <v/>
      </c>
      <c r="AC32">
        <f>HYPERLINK("https://klasma.github.io/Logging_2280/tillsyn/A 48667-2024 tillsynsbegäran.docx", "A 48667-2024")</f>
        <v/>
      </c>
      <c r="AD32">
        <f>HYPERLINK("https://klasma.github.io/Logging_2280/tillsynsmail/A 48667-2024 tillsynsbegäran mail.docx", "A 48667-2024")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46262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46262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46262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28512-2024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45477</v>
      </c>
      <c r="E36" s="1" t="n">
        <v>46262</v>
      </c>
      <c r="F36" t="inlineStr">
        <is>
          <t>VÄSTERNORRLANDS LÄN</t>
        </is>
      </c>
      <c r="G36" t="inlineStr">
        <is>
          <t>HÄRNÖSAND</t>
        </is>
      </c>
      <c r="I36" t="n">
        <v>5.8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Scharlakansvårskål agg.
Skinnlav
Svart trolldruva
Blåsippa</t>
        </is>
      </c>
      <c r="W36">
        <f>HYPERLINK("https://klasma.github.io/Logging_2280/artfynd/A 28512-2024 artfynd.xlsx", "A 28512-2024")</f>
        <v/>
      </c>
      <c r="X36">
        <f>HYPERLINK("https://klasma.github.io/Logging_2280/kartor/A 28512-2024 karta.png", "A 28512-2024")</f>
        <v/>
      </c>
      <c r="Y36">
        <f>HYPERLINK("https://klasma.github.io/Logging_2280/kartor_geotiff/A 28512-2024 georefererad karta.tif", "A 28512-2024")</f>
        <v/>
      </c>
      <c r="AA36">
        <f>HYPERLINK("https://klasma.github.io/Logging_2280/klagomål/A 28512-2024 FSC-klagomål.docx", "A 28512-2024")</f>
        <v/>
      </c>
      <c r="AB36">
        <f>HYPERLINK("https://klasma.github.io/Logging_2280/klagomålsmail/A 28512-2024 FSC-klagomål mail.docx", "A 28512-2024")</f>
        <v/>
      </c>
      <c r="AC36">
        <f>HYPERLINK("https://klasma.github.io/Logging_2280/tillsyn/A 28512-2024 tillsynsbegäran.docx", "A 28512-2024")</f>
        <v/>
      </c>
      <c r="AD36">
        <f>HYPERLINK("https://klasma.github.io/Logging_2280/tillsynsmail/A 28512-2024 tillsynsbegäran mail.docx", "A 28512-2024")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46262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46262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46262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46262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46262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46262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46262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46262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46262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46262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3953-2024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46262</v>
      </c>
      <c r="F50" t="inlineStr">
        <is>
          <t>VÄSTERNORRLANDS LÄN</t>
        </is>
      </c>
      <c r="G50" t="inlineStr">
        <is>
          <t>HÄRNÖSAND</t>
        </is>
      </c>
      <c r="I50" t="n">
        <v>4.7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Slåtterfibbla
Strutbräken
Svart trolldruva</t>
        </is>
      </c>
      <c r="W50">
        <f>HYPERLINK("https://klasma.github.io/Logging_2280/artfynd/A 3953-2024 artfynd.xlsx", "A 3953-2024")</f>
        <v/>
      </c>
      <c r="X50">
        <f>HYPERLINK("https://klasma.github.io/Logging_2280/kartor/A 3953-2024 karta.png", "A 3953-2024")</f>
        <v/>
      </c>
      <c r="Y50">
        <f>HYPERLINK("https://klasma.github.io/Logging_2280/kartor_geotiff/A 3953-2024 georefererad karta.tif", "A 3953-2024")</f>
        <v/>
      </c>
      <c r="AA50">
        <f>HYPERLINK("https://klasma.github.io/Logging_2280/klagomål/A 3953-2024 FSC-klagomål.docx", "A 3953-2024")</f>
        <v/>
      </c>
      <c r="AB50">
        <f>HYPERLINK("https://klasma.github.io/Logging_2280/klagomålsmail/A 3953-2024 FSC-klagomål mail.docx", "A 3953-2024")</f>
        <v/>
      </c>
      <c r="AC50">
        <f>HYPERLINK("https://klasma.github.io/Logging_2280/tillsyn/A 3953-2024 tillsynsbegäran.docx", "A 3953-2024")</f>
        <v/>
      </c>
      <c r="AD50">
        <f>HYPERLINK("https://klasma.github.io/Logging_2280/tillsynsmail/A 3953-2024 tillsynsbegäran mail.docx", "A 3953-2024")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46262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46262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46262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46262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46262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46262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46262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34545-2025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46262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Kyrkan</t>
        </is>
      </c>
      <c r="I58" t="n">
        <v>9.699999999999999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Tretåig hackspett
Korallblylav</t>
        </is>
      </c>
      <c r="W58">
        <f>HYPERLINK("https://klasma.github.io/Logging_2280/artfynd/A 34545-2025 artfynd.xlsx", "A 34545-2025")</f>
        <v/>
      </c>
      <c r="X58">
        <f>HYPERLINK("https://klasma.github.io/Logging_2280/kartor/A 34545-2025 karta.png", "A 34545-2025")</f>
        <v/>
      </c>
      <c r="Y58">
        <f>HYPERLINK("https://klasma.github.io/Logging_2280/kartor_geotiff/A 34545-2025 georefererad karta.tif", "A 34545-2025")</f>
        <v/>
      </c>
      <c r="AA58">
        <f>HYPERLINK("https://klasma.github.io/Logging_2280/klagomål/A 34545-2025 FSC-klagomål.docx", "A 34545-2025")</f>
        <v/>
      </c>
      <c r="AB58">
        <f>HYPERLINK("https://klasma.github.io/Logging_2280/klagomålsmail/A 34545-2025 FSC-klagomål mail.docx", "A 34545-2025")</f>
        <v/>
      </c>
      <c r="AC58">
        <f>HYPERLINK("https://klasma.github.io/Logging_2280/tillsyn/A 34545-2025 tillsynsbegäran.docx", "A 34545-2025")</f>
        <v/>
      </c>
      <c r="AD58">
        <f>HYPERLINK("https://klasma.github.io/Logging_2280/tillsynsmail/A 34545-2025 tillsynsbegäran mail.docx", "A 34545-2025")</f>
        <v/>
      </c>
      <c r="AE58">
        <f>HYPERLINK("https://klasma.github.io/Logging_2280/fåglar/A 34545-2025 prioriterade fågelarter.docx", "A 34545-2025")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46262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46262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46262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46262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46262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20771-2026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46262</v>
      </c>
      <c r="F64" t="inlineStr">
        <is>
          <t>VÄSTERNORRLANDS LÄN</t>
        </is>
      </c>
      <c r="G64" t="inlineStr">
        <is>
          <t>HÄRNÖSAND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Nordfladdermus
Tajgafladdermus</t>
        </is>
      </c>
      <c r="W64">
        <f>HYPERLINK("https://klasma.github.io/Logging_2280/artfynd/A 20771-2026 artfynd.xlsx", "A 20771-2026")</f>
        <v/>
      </c>
      <c r="X64">
        <f>HYPERLINK("https://klasma.github.io/Logging_2280/kartor/A 20771-2026 karta.png", "A 20771-2026")</f>
        <v/>
      </c>
      <c r="Y64">
        <f>HYPERLINK("https://klasma.github.io/Logging_2280/kartor_geotiff/A 20771-2026 georefererad karta.tif", "A 20771-2026")</f>
        <v/>
      </c>
      <c r="AA64">
        <f>HYPERLINK("https://klasma.github.io/Logging_2280/klagomål/A 20771-2026 FSC-klagomål.docx", "A 20771-2026")</f>
        <v/>
      </c>
      <c r="AB64">
        <f>HYPERLINK("https://klasma.github.io/Logging_2280/klagomålsmail/A 20771-2026 FSC-klagomål mail.docx", "A 20771-2026")</f>
        <v/>
      </c>
      <c r="AC64">
        <f>HYPERLINK("https://klasma.github.io/Logging_2280/tillsyn/A 20771-2026 tillsynsbegäran.docx", "A 20771-2026")</f>
        <v/>
      </c>
      <c r="AD64">
        <f>HYPERLINK("https://klasma.github.io/Logging_2280/tillsynsmail/A 20771-2026 tillsynsbegäran mail.docx", "A 20771-2026")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46262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46262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46262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46262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46262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46262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46262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13984-2023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46262</v>
      </c>
      <c r="F72" t="inlineStr">
        <is>
          <t>VÄSTERNORRLANDS LÄN</t>
        </is>
      </c>
      <c r="G72" t="inlineStr">
        <is>
          <t>HÄRNÖSAND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HYPERLINK("https://klasma.github.io/Logging_2280/artfynd/A 13984-2023 artfynd.xlsx", "A 13984-2023")</f>
        <v/>
      </c>
      <c r="X72">
        <f>HYPERLINK("https://klasma.github.io/Logging_2280/kartor/A 13984-2023 karta.png", "A 13984-2023")</f>
        <v/>
      </c>
      <c r="Y72">
        <f>HYPERLINK("https://klasma.github.io/Logging_2280/kartor_geotiff/A 13984-2023 georefererad karta.tif", "A 13984-2023")</f>
        <v/>
      </c>
      <c r="AA72">
        <f>HYPERLINK("https://klasma.github.io/Logging_2280/klagomål/A 13984-2023 FSC-klagomål.docx", "A 13984-2023")</f>
        <v/>
      </c>
      <c r="AB72">
        <f>HYPERLINK("https://klasma.github.io/Logging_2280/klagomålsmail/A 13984-2023 FSC-klagomål mail.docx", "A 13984-2023")</f>
        <v/>
      </c>
      <c r="AC72">
        <f>HYPERLINK("https://klasma.github.io/Logging_2280/tillsyn/A 13984-2023 tillsynsbegäran.docx", "A 13984-2023")</f>
        <v/>
      </c>
      <c r="AD72">
        <f>HYPERLINK("https://klasma.github.io/Logging_2280/tillsynsmail/A 13984-2023 tillsynsbegäran mail.docx", "A 13984-2023")</f>
        <v/>
      </c>
    </row>
    <row r="73" ht="15" customHeight="1">
      <c r="A73" t="inlineStr">
        <is>
          <t>A 24202-2024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46262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Garnlav</t>
        </is>
      </c>
      <c r="W73">
        <f>HYPERLINK("https://klasma.github.io/Logging_2280/artfynd/A 24202-2024 artfynd.xlsx", "A 24202-2024")</f>
        <v/>
      </c>
      <c r="X73">
        <f>HYPERLINK("https://klasma.github.io/Logging_2280/kartor/A 24202-2024 karta.png", "A 24202-2024")</f>
        <v/>
      </c>
      <c r="Y73">
        <f>HYPERLINK("https://klasma.github.io/Logging_2280/kartor_geotiff/A 24202-2024 georefererad karta.tif", "A 24202-2024")</f>
        <v/>
      </c>
      <c r="AA73">
        <f>HYPERLINK("https://klasma.github.io/Logging_2280/klagomål/A 24202-2024 FSC-klagomål.docx", "A 24202-2024")</f>
        <v/>
      </c>
      <c r="AB73">
        <f>HYPERLINK("https://klasma.github.io/Logging_2280/klagomålsmail/A 24202-2024 FSC-klagomål mail.docx", "A 24202-2024")</f>
        <v/>
      </c>
      <c r="AC73">
        <f>HYPERLINK("https://klasma.github.io/Logging_2280/tillsyn/A 24202-2024 tillsynsbegäran.docx", "A 24202-2024")</f>
        <v/>
      </c>
      <c r="AD73">
        <f>HYPERLINK("https://klasma.github.io/Logging_2280/tillsynsmail/A 24202-2024 tillsynsbegäran mail.docx", "A 24202-2024")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46262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46262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26086-2025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46262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HYPERLINK("https://klasma.github.io/Logging_2280/artfynd/A 26086-2025 artfynd.xlsx", "A 26086-2025")</f>
        <v/>
      </c>
      <c r="X76">
        <f>HYPERLINK("https://klasma.github.io/Logging_2280/kartor/A 26086-2025 karta.png", "A 26086-2025")</f>
        <v/>
      </c>
      <c r="Y76">
        <f>HYPERLINK("https://klasma.github.io/Logging_2280/kartor_geotiff/A 26086-2025 georefererad karta.tif", "A 26086-2025")</f>
        <v/>
      </c>
      <c r="AA76">
        <f>HYPERLINK("https://klasma.github.io/Logging_2280/klagomål/A 26086-2025 FSC-klagomål.docx", "A 26086-2025")</f>
        <v/>
      </c>
      <c r="AB76">
        <f>HYPERLINK("https://klasma.github.io/Logging_2280/klagomålsmail/A 26086-2025 FSC-klagomål mail.docx", "A 26086-2025")</f>
        <v/>
      </c>
      <c r="AC76">
        <f>HYPERLINK("https://klasma.github.io/Logging_2280/tillsyn/A 26086-2025 tillsynsbegäran.docx", "A 26086-2025")</f>
        <v/>
      </c>
      <c r="AD76">
        <f>HYPERLINK("https://klasma.github.io/Logging_2280/tillsynsmail/A 26086-2025 tillsynsbegäran mail.docx", "A 26086-2025")</f>
        <v/>
      </c>
      <c r="AE76">
        <f>HYPERLINK("https://klasma.github.io/Logging_2280/fåglar/A 26086-2025 prioriterade fågelarter.docx", "A 26086-2025")</f>
        <v/>
      </c>
    </row>
    <row r="77" ht="15" customHeight="1">
      <c r="A77" t="inlineStr">
        <is>
          <t>A 7853-2024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46262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4.1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HYPERLINK("https://klasma.github.io/Logging_2280/artfynd/A 7853-2024 artfynd.xlsx", "A 7853-2024")</f>
        <v/>
      </c>
      <c r="X77">
        <f>HYPERLINK("https://klasma.github.io/Logging_2280/kartor/A 7853-2024 karta.png", "A 7853-2024")</f>
        <v/>
      </c>
      <c r="Y77">
        <f>HYPERLINK("https://klasma.github.io/Logging_2280/kartor_geotiff/A 7853-2024 georefererad karta.tif", "A 7853-2024")</f>
        <v/>
      </c>
      <c r="AA77">
        <f>HYPERLINK("https://klasma.github.io/Logging_2280/klagomål/A 7853-2024 FSC-klagomål.docx", "A 7853-2024")</f>
        <v/>
      </c>
      <c r="AB77">
        <f>HYPERLINK("https://klasma.github.io/Logging_2280/klagomålsmail/A 7853-2024 FSC-klagomål mail.docx", "A 7853-2024")</f>
        <v/>
      </c>
      <c r="AC77">
        <f>HYPERLINK("https://klasma.github.io/Logging_2280/tillsyn/A 7853-2024 tillsynsbegäran.docx", "A 7853-2024")</f>
        <v/>
      </c>
      <c r="AD77">
        <f>HYPERLINK("https://klasma.github.io/Logging_2280/tillsynsmail/A 7853-2024 tillsynsbegäran mail.docx", "A 7853-2024")</f>
        <v/>
      </c>
    </row>
    <row r="78" ht="15" customHeight="1">
      <c r="A78" t="inlineStr">
        <is>
          <t>A 26174-2025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46262</v>
      </c>
      <c r="F78" t="inlineStr">
        <is>
          <t>VÄSTERNORRLANDS LÄN</t>
        </is>
      </c>
      <c r="G78" t="inlineStr">
        <is>
          <t>HÄRNÖSAND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Lunglav</t>
        </is>
      </c>
      <c r="W78">
        <f>HYPERLINK("https://klasma.github.io/Logging_2280/artfynd/A 26174-2025 artfynd.xlsx", "A 26174-2025")</f>
        <v/>
      </c>
      <c r="X78">
        <f>HYPERLINK("https://klasma.github.io/Logging_2280/kartor/A 26174-2025 karta.png", "A 26174-2025")</f>
        <v/>
      </c>
      <c r="Y78">
        <f>HYPERLINK("https://klasma.github.io/Logging_2280/kartor_geotiff/A 26174-2025 georefererad karta.tif", "A 26174-2025")</f>
        <v/>
      </c>
      <c r="AA78">
        <f>HYPERLINK("https://klasma.github.io/Logging_2280/klagomål/A 26174-2025 FSC-klagomål.docx", "A 26174-2025")</f>
        <v/>
      </c>
      <c r="AB78">
        <f>HYPERLINK("https://klasma.github.io/Logging_2280/klagomålsmail/A 26174-2025 FSC-klagomål mail.docx", "A 26174-2025")</f>
        <v/>
      </c>
      <c r="AC78">
        <f>HYPERLINK("https://klasma.github.io/Logging_2280/tillsyn/A 26174-2025 tillsynsbegäran.docx", "A 26174-2025")</f>
        <v/>
      </c>
      <c r="AD78">
        <f>HYPERLINK("https://klasma.github.io/Logging_2280/tillsynsmail/A 26174-2025 tillsynsbegäran mail.docx", "A 26174-2025")</f>
        <v/>
      </c>
    </row>
    <row r="79" ht="15" customHeight="1">
      <c r="A79" t="inlineStr">
        <is>
          <t>A 26922-2025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45811</v>
      </c>
      <c r="E79" s="1" t="n">
        <v>46262</v>
      </c>
      <c r="F79" t="inlineStr">
        <is>
          <t>VÄSTERNORRLANDS LÄN</t>
        </is>
      </c>
      <c r="G79" t="inlineStr">
        <is>
          <t>HÄRNÖSAND</t>
        </is>
      </c>
      <c r="I79" t="n">
        <v>2.4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Barkticka</t>
        </is>
      </c>
      <c r="W79">
        <f>HYPERLINK("https://klasma.github.io/Logging_2280/artfynd/A 26922-2025 artfynd.xlsx", "A 26922-2025")</f>
        <v/>
      </c>
      <c r="X79">
        <f>HYPERLINK("https://klasma.github.io/Logging_2280/kartor/A 26922-2025 karta.png", "A 26922-2025")</f>
        <v/>
      </c>
      <c r="Y79">
        <f>HYPERLINK("https://klasma.github.io/Logging_2280/kartor_geotiff/A 26922-2025 georefererad karta.tif", "A 26922-2025")</f>
        <v/>
      </c>
      <c r="AA79">
        <f>HYPERLINK("https://klasma.github.io/Logging_2280/klagomål/A 26922-2025 FSC-klagomål.docx", "A 26922-2025")</f>
        <v/>
      </c>
      <c r="AB79">
        <f>HYPERLINK("https://klasma.github.io/Logging_2280/klagomålsmail/A 26922-2025 FSC-klagomål mail.docx", "A 26922-2025")</f>
        <v/>
      </c>
      <c r="AC79">
        <f>HYPERLINK("https://klasma.github.io/Logging_2280/tillsyn/A 26922-2025 tillsynsbegäran.docx", "A 26922-2025")</f>
        <v/>
      </c>
      <c r="AD79">
        <f>HYPERLINK("https://klasma.github.io/Logging_2280/tillsynsmail/A 26922-2025 tillsynsbegäran mail.docx", "A 26922-2025")</f>
        <v/>
      </c>
    </row>
    <row r="80" ht="15" customHeight="1">
      <c r="A80" t="inlineStr">
        <is>
          <t>A 45060-2025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46262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Gammelgransskål</t>
        </is>
      </c>
      <c r="W80">
        <f>HYPERLINK("https://klasma.github.io/Logging_2280/artfynd/A 45060-2025 artfynd.xlsx", "A 45060-2025")</f>
        <v/>
      </c>
      <c r="X80">
        <f>HYPERLINK("https://klasma.github.io/Logging_2280/kartor/A 45060-2025 karta.png", "A 45060-2025")</f>
        <v/>
      </c>
      <c r="Y80">
        <f>HYPERLINK("https://klasma.github.io/Logging_2280/kartor_geotiff/A 45060-2025 georefererad karta.tif", "A 45060-2025")</f>
        <v/>
      </c>
      <c r="AA80">
        <f>HYPERLINK("https://klasma.github.io/Logging_2280/klagomål/A 45060-2025 FSC-klagomål.docx", "A 45060-2025")</f>
        <v/>
      </c>
      <c r="AB80">
        <f>HYPERLINK("https://klasma.github.io/Logging_2280/klagomålsmail/A 45060-2025 FSC-klagomål mail.docx", "A 45060-2025")</f>
        <v/>
      </c>
      <c r="AC80">
        <f>HYPERLINK("https://klasma.github.io/Logging_2280/tillsyn/A 45060-2025 tillsynsbegäran.docx", "A 45060-2025")</f>
        <v/>
      </c>
      <c r="AD80">
        <f>HYPERLINK("https://klasma.github.io/Logging_2280/tillsynsmail/A 45060-2025 tillsynsbegäran mail.docx", "A 45060-2025")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46262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1190-2026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46031</v>
      </c>
      <c r="E82" s="1" t="n">
        <v>46262</v>
      </c>
      <c r="F82" t="inlineStr">
        <is>
          <t>VÄSTERNORRLANDS LÄN</t>
        </is>
      </c>
      <c r="G82" t="inlineStr">
        <is>
          <t>HÄRNÖSAND</t>
        </is>
      </c>
      <c r="I82" t="n">
        <v>3.5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Tretåig hackspett</t>
        </is>
      </c>
      <c r="W82">
        <f>HYPERLINK("https://klasma.github.io/Logging_2280/artfynd/A 1190-2026 artfynd.xlsx", "A 1190-2026")</f>
        <v/>
      </c>
      <c r="X82">
        <f>HYPERLINK("https://klasma.github.io/Logging_2280/kartor/A 1190-2026 karta.png", "A 1190-2026")</f>
        <v/>
      </c>
      <c r="Y82">
        <f>HYPERLINK("https://klasma.github.io/Logging_2280/kartor_geotiff/A 1190-2026 georefererad karta.tif", "A 1190-2026")</f>
        <v/>
      </c>
      <c r="AA82">
        <f>HYPERLINK("https://klasma.github.io/Logging_2280/klagomål/A 1190-2026 FSC-klagomål.docx", "A 1190-2026")</f>
        <v/>
      </c>
      <c r="AB82">
        <f>HYPERLINK("https://klasma.github.io/Logging_2280/klagomålsmail/A 1190-2026 FSC-klagomål mail.docx", "A 1190-2026")</f>
        <v/>
      </c>
      <c r="AC82">
        <f>HYPERLINK("https://klasma.github.io/Logging_2280/tillsyn/A 1190-2026 tillsynsbegäran.docx", "A 1190-2026")</f>
        <v/>
      </c>
      <c r="AD82">
        <f>HYPERLINK("https://klasma.github.io/Logging_2280/tillsynsmail/A 1190-2026 tillsynsbegäran mail.docx", "A 1190-2026")</f>
        <v/>
      </c>
      <c r="AE82">
        <f>HYPERLINK("https://klasma.github.io/Logging_2280/fåglar/A 1190-2026 prioriterade fågelarter.docx", "A 1190-2026")</f>
        <v/>
      </c>
    </row>
    <row r="83" ht="15" customHeight="1">
      <c r="A83" t="inlineStr">
        <is>
          <t>A 8407-2024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45352</v>
      </c>
      <c r="E83" s="1" t="n">
        <v>46262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Lunglav</t>
        </is>
      </c>
      <c r="W83">
        <f>HYPERLINK("https://klasma.github.io/Logging_2280/artfynd/A 8407-2024 artfynd.xlsx", "A 8407-2024")</f>
        <v/>
      </c>
      <c r="X83">
        <f>HYPERLINK("https://klasma.github.io/Logging_2280/kartor/A 8407-2024 karta.png", "A 8407-2024")</f>
        <v/>
      </c>
      <c r="Y83">
        <f>HYPERLINK("https://klasma.github.io/Logging_2280/kartor_geotiff/A 8407-2024 georefererad karta.tif", "A 8407-2024")</f>
        <v/>
      </c>
      <c r="AA83">
        <f>HYPERLINK("https://klasma.github.io/Logging_2280/klagomål/A 8407-2024 FSC-klagomål.docx", "A 8407-2024")</f>
        <v/>
      </c>
      <c r="AB83">
        <f>HYPERLINK("https://klasma.github.io/Logging_2280/klagomålsmail/A 8407-2024 FSC-klagomål mail.docx", "A 8407-2024")</f>
        <v/>
      </c>
      <c r="AC83">
        <f>HYPERLINK("https://klasma.github.io/Logging_2280/tillsyn/A 8407-2024 tillsynsbegäran.docx", "A 8407-2024")</f>
        <v/>
      </c>
      <c r="AD83">
        <f>HYPERLINK("https://klasma.github.io/Logging_2280/tillsynsmail/A 8407-2024 tillsynsbegäran mail.docx", "A 8407-2024")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46262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25340-2026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46176</v>
      </c>
      <c r="E85" s="1" t="n">
        <v>46262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Garnlav</t>
        </is>
      </c>
      <c r="W85">
        <f>HYPERLINK("https://klasma.github.io/Logging_2280/artfynd/A 25340-2026 artfynd.xlsx", "A 25340-2026")</f>
        <v/>
      </c>
      <c r="X85">
        <f>HYPERLINK("https://klasma.github.io/Logging_2280/kartor/A 25340-2026 karta.png", "A 25340-2026")</f>
        <v/>
      </c>
      <c r="Y85">
        <f>HYPERLINK("https://klasma.github.io/Logging_2280/kartor_geotiff/A 25340-2026 georefererad karta.tif", "A 25340-2026")</f>
        <v/>
      </c>
      <c r="AA85">
        <f>HYPERLINK("https://klasma.github.io/Logging_2280/klagomål/A 25340-2026 FSC-klagomål.docx", "A 25340-2026")</f>
        <v/>
      </c>
      <c r="AB85">
        <f>HYPERLINK("https://klasma.github.io/Logging_2280/klagomålsmail/A 25340-2026 FSC-klagomål mail.docx", "A 25340-2026")</f>
        <v/>
      </c>
      <c r="AC85">
        <f>HYPERLINK("https://klasma.github.io/Logging_2280/tillsyn/A 25340-2026 tillsynsbegäran.docx", "A 25340-2026")</f>
        <v/>
      </c>
      <c r="AD85">
        <f>HYPERLINK("https://klasma.github.io/Logging_2280/tillsynsmail/A 25340-2026 tillsynsbegäran mail.docx", "A 25340-2026")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46262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63724-2023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45276</v>
      </c>
      <c r="E87" s="1" t="n">
        <v>46262</v>
      </c>
      <c r="F87" t="inlineStr">
        <is>
          <t>VÄSTERNORRLANDS LÄN</t>
        </is>
      </c>
      <c r="G87" t="inlineStr">
        <is>
          <t>HÄRNÖSAND</t>
        </is>
      </c>
      <c r="I87" t="n">
        <v>10.1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Älg</t>
        </is>
      </c>
      <c r="W87">
        <f>HYPERLINK("https://klasma.github.io/Logging_2280/artfynd/A 63724-2023 artfynd.xlsx", "A 63724-2023")</f>
        <v/>
      </c>
      <c r="X87">
        <f>HYPERLINK("https://klasma.github.io/Logging_2280/kartor/A 63724-2023 karta.png", "A 63724-2023")</f>
        <v/>
      </c>
      <c r="Y87">
        <f>HYPERLINK("https://klasma.github.io/Logging_2280/kartor_geotiff/A 63724-2023 georefererad karta.tif", "A 63724-2023")</f>
        <v/>
      </c>
      <c r="AA87">
        <f>HYPERLINK("https://klasma.github.io/Logging_2280/klagomål/A 63724-2023 FSC-klagomål.docx", "A 63724-2023")</f>
        <v/>
      </c>
      <c r="AB87">
        <f>HYPERLINK("https://klasma.github.io/Logging_2280/klagomålsmail/A 63724-2023 FSC-klagomål mail.docx", "A 63724-2023")</f>
        <v/>
      </c>
      <c r="AC87">
        <f>HYPERLINK("https://klasma.github.io/Logging_2280/tillsyn/A 63724-2023 tillsynsbegäran.docx", "A 63724-2023")</f>
        <v/>
      </c>
      <c r="AD87">
        <f>HYPERLINK("https://klasma.github.io/Logging_2280/tillsynsmail/A 63724-2023 tillsynsbegäran mail.docx", "A 63724-2023")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46262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27457-2026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46262</v>
      </c>
      <c r="F89" t="inlineStr">
        <is>
          <t>VÄSTERNORRLANDS LÄN</t>
        </is>
      </c>
      <c r="G89" t="inlineStr">
        <is>
          <t>HÄRNÖSAND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HYPERLINK("https://klasma.github.io/Logging_2280/artfynd/A 27457-2026 artfynd.xlsx", "A 27457-2026")</f>
        <v/>
      </c>
      <c r="X89">
        <f>HYPERLINK("https://klasma.github.io/Logging_2280/kartor/A 27457-2026 karta.png", "A 27457-2026")</f>
        <v/>
      </c>
      <c r="Y89">
        <f>HYPERLINK("https://klasma.github.io/Logging_2280/kartor_geotiff/A 27457-2026 georefererad karta.tif", "A 27457-2026")</f>
        <v/>
      </c>
      <c r="AA89">
        <f>HYPERLINK("https://klasma.github.io/Logging_2280/klagomål/A 27457-2026 FSC-klagomål.docx", "A 27457-2026")</f>
        <v/>
      </c>
      <c r="AB89">
        <f>HYPERLINK("https://klasma.github.io/Logging_2280/klagomålsmail/A 27457-2026 FSC-klagomål mail.docx", "A 27457-2026")</f>
        <v/>
      </c>
      <c r="AC89">
        <f>HYPERLINK("https://klasma.github.io/Logging_2280/tillsyn/A 27457-2026 tillsynsbegäran.docx", "A 27457-2026")</f>
        <v/>
      </c>
      <c r="AD89">
        <f>HYPERLINK("https://klasma.github.io/Logging_2280/tillsynsmail/A 27457-2026 tillsynsbegäran mail.docx", "A 27457-2026")</f>
        <v/>
      </c>
    </row>
    <row r="90" ht="15" customHeight="1">
      <c r="A90" t="inlineStr">
        <is>
          <t>A 27923-2026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46262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9.300000000000001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Veckticka</t>
        </is>
      </c>
      <c r="W90">
        <f>HYPERLINK("https://klasma.github.io/Logging_2280/artfynd/A 27923-2026 artfynd.xlsx", "A 27923-2026")</f>
        <v/>
      </c>
      <c r="X90">
        <f>HYPERLINK("https://klasma.github.io/Logging_2280/kartor/A 27923-2026 karta.png", "A 27923-2026")</f>
        <v/>
      </c>
      <c r="Y90">
        <f>HYPERLINK("https://klasma.github.io/Logging_2280/kartor_geotiff/A 27923-2026 georefererad karta.tif", "A 27923-2026")</f>
        <v/>
      </c>
      <c r="AA90">
        <f>HYPERLINK("https://klasma.github.io/Logging_2280/klagomål/A 27923-2026 FSC-klagomål.docx", "A 27923-2026")</f>
        <v/>
      </c>
      <c r="AB90">
        <f>HYPERLINK("https://klasma.github.io/Logging_2280/klagomålsmail/A 27923-2026 FSC-klagomål mail.docx", "A 27923-2026")</f>
        <v/>
      </c>
      <c r="AC90">
        <f>HYPERLINK("https://klasma.github.io/Logging_2280/tillsyn/A 27923-2026 tillsynsbegäran.docx", "A 27923-2026")</f>
        <v/>
      </c>
      <c r="AD90">
        <f>HYPERLINK("https://klasma.github.io/Logging_2280/tillsynsmail/A 27923-2026 tillsynsbegäran mail.docx", "A 27923-2026")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46262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46262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46262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46262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46262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46262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46262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46262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46262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46262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46262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46262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46262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46262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46262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46262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46262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46262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46262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46262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46262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46262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46262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55790-2021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44476</v>
      </c>
      <c r="E114" s="1" t="n">
        <v>46262</v>
      </c>
      <c r="F114" t="inlineStr">
        <is>
          <t>VÄSTERNORRLANDS LÄN</t>
        </is>
      </c>
      <c r="G114" t="inlineStr">
        <is>
          <t>HÄRNÖSAND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46262</v>
      </c>
      <c r="F115" t="inlineStr">
        <is>
          <t>VÄSTERNORRLANDS LÄN</t>
        </is>
      </c>
      <c r="G115" t="inlineStr">
        <is>
          <t>HÄRNÖSAND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15849-2022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44664</v>
      </c>
      <c r="E116" s="1" t="n">
        <v>46262</v>
      </c>
      <c r="F116" t="inlineStr">
        <is>
          <t>VÄSTERNORRLANDS LÄN</t>
        </is>
      </c>
      <c r="G116" t="inlineStr">
        <is>
          <t>HÄRNÖSAND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44804</v>
      </c>
      <c r="E117" s="1" t="n">
        <v>46262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46262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46262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46262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44581</v>
      </c>
      <c r="E121" s="1" t="n">
        <v>46262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46262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44469</v>
      </c>
      <c r="E123" s="1" t="n">
        <v>46262</v>
      </c>
      <c r="F123" t="inlineStr">
        <is>
          <t>VÄSTERNORRLANDS LÄN</t>
        </is>
      </c>
      <c r="G123" t="inlineStr">
        <is>
          <t>HÄRNÖSAND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44672</v>
      </c>
      <c r="E124" s="1" t="n">
        <v>46262</v>
      </c>
      <c r="F124" t="inlineStr">
        <is>
          <t>VÄSTERNORRLANDS LÄN</t>
        </is>
      </c>
      <c r="G124" t="inlineStr">
        <is>
          <t>HÄRNÖSAND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46262</v>
      </c>
      <c r="F125" t="inlineStr">
        <is>
          <t>VÄSTERNORRLANDS LÄN</t>
        </is>
      </c>
      <c r="G125" t="inlineStr">
        <is>
          <t>HÄRNÖSAND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46262</v>
      </c>
      <c r="F126" t="inlineStr">
        <is>
          <t>VÄSTERNORRLANDS LÄN</t>
        </is>
      </c>
      <c r="G126" t="inlineStr">
        <is>
          <t>HÄRNÖSAND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46262</v>
      </c>
      <c r="F127" t="inlineStr">
        <is>
          <t>VÄSTERNORRLANDS LÄN</t>
        </is>
      </c>
      <c r="G127" t="inlineStr">
        <is>
          <t>HÄRNÖSAND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46262</v>
      </c>
      <c r="F128" t="inlineStr">
        <is>
          <t>VÄSTERNORRLANDS LÄN</t>
        </is>
      </c>
      <c r="G128" t="inlineStr">
        <is>
          <t>HÄRNÖSAND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46262</v>
      </c>
      <c r="F129" t="inlineStr">
        <is>
          <t>VÄSTERNORRLANDS LÄN</t>
        </is>
      </c>
      <c r="G129" t="inlineStr">
        <is>
          <t>HÄRNÖSAND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70563-2021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44532</v>
      </c>
      <c r="E130" s="1" t="n">
        <v>46262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46262</v>
      </c>
      <c r="F131" t="inlineStr">
        <is>
          <t>VÄSTERNORRLANDS LÄN</t>
        </is>
      </c>
      <c r="G131" t="inlineStr">
        <is>
          <t>HÄRNÖSAND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44512</v>
      </c>
      <c r="E132" s="1" t="n">
        <v>46262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46262</v>
      </c>
      <c r="F133" t="inlineStr">
        <is>
          <t>VÄSTERNORRLANDS LÄN</t>
        </is>
      </c>
      <c r="G133" t="inlineStr">
        <is>
          <t>HÄRNÖSAND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70603-2021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44536</v>
      </c>
      <c r="E134" s="1" t="n">
        <v>46262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67078-2021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44522</v>
      </c>
      <c r="E135" s="1" t="n">
        <v>46262</v>
      </c>
      <c r="F135" t="inlineStr">
        <is>
          <t>VÄSTERNORRLANDS LÄN</t>
        </is>
      </c>
      <c r="G135" t="inlineStr">
        <is>
          <t>HÄRNÖSAND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46262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44792</v>
      </c>
      <c r="E137" s="1" t="n">
        <v>46262</v>
      </c>
      <c r="F137" t="inlineStr">
        <is>
          <t>VÄSTERNORRLANDS LÄN</t>
        </is>
      </c>
      <c r="G137" t="inlineStr">
        <is>
          <t>HÄRNÖSAND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46262</v>
      </c>
      <c r="F138" t="inlineStr">
        <is>
          <t>VÄSTERNORRLANDS LÄN</t>
        </is>
      </c>
      <c r="G138" t="inlineStr">
        <is>
          <t>HÄRNÖSAND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45334</v>
      </c>
      <c r="E139" s="1" t="n">
        <v>46262</v>
      </c>
      <c r="F139" t="inlineStr">
        <is>
          <t>VÄSTERNORRLANDS LÄN</t>
        </is>
      </c>
      <c r="G139" t="inlineStr">
        <is>
          <t>HÄRNÖSAND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46262</v>
      </c>
      <c r="F140" t="inlineStr">
        <is>
          <t>VÄSTERNORRLANDS LÄN</t>
        </is>
      </c>
      <c r="G140" t="inlineStr">
        <is>
          <t>HÄRNÖSAND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44641</v>
      </c>
      <c r="E141" s="1" t="n">
        <v>46262</v>
      </c>
      <c r="F141" t="inlineStr">
        <is>
          <t>VÄSTERNORRLANDS LÄN</t>
        </is>
      </c>
      <c r="G141" t="inlineStr">
        <is>
          <t>HÄRNÖSAND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54251-2022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44881</v>
      </c>
      <c r="E142" s="1" t="n">
        <v>46262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28325-2022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44747</v>
      </c>
      <c r="E143" s="1" t="n">
        <v>46262</v>
      </c>
      <c r="F143" t="inlineStr">
        <is>
          <t>VÄSTERNORRLANDS LÄN</t>
        </is>
      </c>
      <c r="G143" t="inlineStr">
        <is>
          <t>HÄRNÖSAND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46262</v>
      </c>
      <c r="F144" t="inlineStr">
        <is>
          <t>VÄSTERNORRLANDS LÄN</t>
        </is>
      </c>
      <c r="G144" t="inlineStr">
        <is>
          <t>HÄRNÖSAND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49039-2023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45209</v>
      </c>
      <c r="E145" s="1" t="n">
        <v>46262</v>
      </c>
      <c r="F145" t="inlineStr">
        <is>
          <t>VÄSTERNORRLANDS LÄN</t>
        </is>
      </c>
      <c r="G145" t="inlineStr">
        <is>
          <t>HÄRNÖSAND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21480-2025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45782</v>
      </c>
      <c r="E146" s="1" t="n">
        <v>46262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46262</v>
      </c>
      <c r="F147" t="inlineStr">
        <is>
          <t>VÄSTERNORRLANDS LÄN</t>
        </is>
      </c>
      <c r="G147" t="inlineStr">
        <is>
          <t>HÄRNÖSAND</t>
        </is>
      </c>
      <c r="I147" t="n">
        <v>15.6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45667</v>
      </c>
      <c r="E148" s="1" t="n">
        <v>46262</v>
      </c>
      <c r="F148" t="inlineStr">
        <is>
          <t>VÄSTERNORRLANDS LÄN</t>
        </is>
      </c>
      <c r="G148" t="inlineStr">
        <is>
          <t>HÄRNÖSAND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45578</v>
      </c>
      <c r="E149" s="1" t="n">
        <v>46262</v>
      </c>
      <c r="F149" t="inlineStr">
        <is>
          <t>VÄSTERNORRLANDS LÄN</t>
        </is>
      </c>
      <c r="G149" t="inlineStr">
        <is>
          <t>HÄRNÖSAND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9727-2022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46262</v>
      </c>
      <c r="F150" t="inlineStr">
        <is>
          <t>VÄSTERNORRLANDS LÄN</t>
        </is>
      </c>
      <c r="G150" t="inlineStr">
        <is>
          <t>HÄRNÖSAND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45576</v>
      </c>
      <c r="E151" s="1" t="n">
        <v>46262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46262</v>
      </c>
      <c r="F152" t="inlineStr">
        <is>
          <t>VÄSTERNORRLANDS LÄN</t>
        </is>
      </c>
      <c r="G152" t="inlineStr">
        <is>
          <t>HÄRNÖSAND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46262</v>
      </c>
      <c r="F153" t="inlineStr">
        <is>
          <t>VÄSTERNORRLANDS LÄN</t>
        </is>
      </c>
      <c r="G153" t="inlineStr">
        <is>
          <t>HÄRNÖSAND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18103-2025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46262</v>
      </c>
      <c r="F154" t="inlineStr">
        <is>
          <t>VÄSTERNORRLANDS LÄN</t>
        </is>
      </c>
      <c r="G154" t="inlineStr">
        <is>
          <t>HÄRNÖSAND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46262</v>
      </c>
      <c r="F155" t="inlineStr">
        <is>
          <t>VÄSTERNORRLANDS LÄN</t>
        </is>
      </c>
      <c r="G155" t="inlineStr">
        <is>
          <t>HÄRNÖSAND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45574</v>
      </c>
      <c r="E156" s="1" t="n">
        <v>46262</v>
      </c>
      <c r="F156" t="inlineStr">
        <is>
          <t>VÄSTERNORRLANDS LÄN</t>
        </is>
      </c>
      <c r="G156" t="inlineStr">
        <is>
          <t>HÄRNÖSAND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45405</v>
      </c>
      <c r="E157" s="1" t="n">
        <v>46262</v>
      </c>
      <c r="F157" t="inlineStr">
        <is>
          <t>VÄSTERNORRLANDS LÄN</t>
        </is>
      </c>
      <c r="G157" t="inlineStr">
        <is>
          <t>HÄRNÖSAND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46262</v>
      </c>
      <c r="F158" t="inlineStr">
        <is>
          <t>VÄSTERNORRLANDS LÄN</t>
        </is>
      </c>
      <c r="G158" t="inlineStr">
        <is>
          <t>HÄRNÖSAND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45342</v>
      </c>
      <c r="E159" s="1" t="n">
        <v>46262</v>
      </c>
      <c r="F159" t="inlineStr">
        <is>
          <t>VÄSTERNORRLANDS LÄN</t>
        </is>
      </c>
      <c r="G159" t="inlineStr">
        <is>
          <t>HÄRNÖSAND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19949-2024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45433</v>
      </c>
      <c r="E160" s="1" t="n">
        <v>46262</v>
      </c>
      <c r="F160" t="inlineStr">
        <is>
          <t>VÄSTERNORRLANDS LÄN</t>
        </is>
      </c>
      <c r="G160" t="inlineStr">
        <is>
          <t>HÄRNÖSAND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46262</v>
      </c>
      <c r="F161" t="inlineStr">
        <is>
          <t>VÄSTERNORRLANDS LÄN</t>
        </is>
      </c>
      <c r="G161" t="inlineStr">
        <is>
          <t>HÄRNÖSAND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45887</v>
      </c>
      <c r="E162" s="1" t="n">
        <v>46262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46262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45496</v>
      </c>
      <c r="E164" s="1" t="n">
        <v>46262</v>
      </c>
      <c r="F164" t="inlineStr">
        <is>
          <t>VÄSTERNORRLANDS LÄN</t>
        </is>
      </c>
      <c r="G164" t="inlineStr">
        <is>
          <t>HÄRNÖSAND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45579</v>
      </c>
      <c r="E165" s="1" t="n">
        <v>46262</v>
      </c>
      <c r="F165" t="inlineStr">
        <is>
          <t>VÄSTERNORRLANDS LÄN</t>
        </is>
      </c>
      <c r="G165" t="inlineStr">
        <is>
          <t>HÄRNÖSAND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44571</v>
      </c>
      <c r="E166" s="1" t="n">
        <v>46262</v>
      </c>
      <c r="F166" t="inlineStr">
        <is>
          <t>VÄSTERNORRLANDS LÄN</t>
        </is>
      </c>
      <c r="G166" t="inlineStr">
        <is>
          <t>HÄRNÖSAND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46262</v>
      </c>
      <c r="F167" t="inlineStr">
        <is>
          <t>VÄSTERNORRLANDS LÄN</t>
        </is>
      </c>
      <c r="G167" t="inlineStr">
        <is>
          <t>HÄRNÖSAND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46262</v>
      </c>
      <c r="F168" t="inlineStr">
        <is>
          <t>VÄSTERNORRLANDS LÄN</t>
        </is>
      </c>
      <c r="G168" t="inlineStr">
        <is>
          <t>HÄRNÖSAND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46262</v>
      </c>
      <c r="F169" t="inlineStr">
        <is>
          <t>VÄSTERNORRLANDS LÄN</t>
        </is>
      </c>
      <c r="G169" t="inlineStr">
        <is>
          <t>HÄRNÖSAND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32790-2024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45516</v>
      </c>
      <c r="E170" s="1" t="n">
        <v>46262</v>
      </c>
      <c r="F170" t="inlineStr">
        <is>
          <t>VÄSTERNORRLANDS LÄN</t>
        </is>
      </c>
      <c r="G170" t="inlineStr">
        <is>
          <t>HÄRNÖSAND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46262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45139</v>
      </c>
      <c r="E172" s="1" t="n">
        <v>46262</v>
      </c>
      <c r="F172" t="inlineStr">
        <is>
          <t>VÄSTERNORRLANDS LÄN</t>
        </is>
      </c>
      <c r="G172" t="inlineStr">
        <is>
          <t>HÄRNÖSAND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45890</v>
      </c>
      <c r="E173" s="1" t="n">
        <v>46262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45126</v>
      </c>
      <c r="E174" s="1" t="n">
        <v>46262</v>
      </c>
      <c r="F174" t="inlineStr">
        <is>
          <t>VÄSTERNORRLANDS LÄN</t>
        </is>
      </c>
      <c r="G174" t="inlineStr">
        <is>
          <t>HÄRNÖSAND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46262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6.7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46262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46262</v>
      </c>
      <c r="F177" t="inlineStr">
        <is>
          <t>VÄSTERNORRLANDS LÄN</t>
        </is>
      </c>
      <c r="G177" t="inlineStr">
        <is>
          <t>HÄRNÖSAND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55583-2021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44475</v>
      </c>
      <c r="E178" s="1" t="n">
        <v>46262</v>
      </c>
      <c r="F178" t="inlineStr">
        <is>
          <t>VÄSTERNORRLANDS LÄN</t>
        </is>
      </c>
      <c r="G178" t="inlineStr">
        <is>
          <t>HÄRNÖSAND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45352</v>
      </c>
      <c r="E179" s="1" t="n">
        <v>46262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44809</v>
      </c>
      <c r="E180" s="1" t="n">
        <v>46262</v>
      </c>
      <c r="F180" t="inlineStr">
        <is>
          <t>VÄSTERNORRLANDS LÄN</t>
        </is>
      </c>
      <c r="G180" t="inlineStr">
        <is>
          <t>HÄRNÖSAND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46262</v>
      </c>
      <c r="F181" t="inlineStr">
        <is>
          <t>VÄSTERNORRLANDS LÄN</t>
        </is>
      </c>
      <c r="G181" t="inlineStr">
        <is>
          <t>HÄRNÖSAND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46262</v>
      </c>
      <c r="F182" t="inlineStr">
        <is>
          <t>VÄSTERNORRLANDS LÄN</t>
        </is>
      </c>
      <c r="G182" t="inlineStr">
        <is>
          <t>HÄRNÖSAND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45803</v>
      </c>
      <c r="E183" s="1" t="n">
        <v>46262</v>
      </c>
      <c r="F183" t="inlineStr">
        <is>
          <t>VÄSTERNORRLANDS LÄN</t>
        </is>
      </c>
      <c r="G183" t="inlineStr">
        <is>
          <t>HÄRNÖSAND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46262</v>
      </c>
      <c r="F184" t="inlineStr">
        <is>
          <t>VÄSTERNORRLANDS LÄN</t>
        </is>
      </c>
      <c r="G184" t="inlineStr">
        <is>
          <t>HÄRNÖSAND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18461-2025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45762</v>
      </c>
      <c r="E185" s="1" t="n">
        <v>46262</v>
      </c>
      <c r="F185" t="inlineStr">
        <is>
          <t>VÄSTERNORRLANDS LÄN</t>
        </is>
      </c>
      <c r="G185" t="inlineStr">
        <is>
          <t>HÄRNÖSAND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46262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45300</v>
      </c>
      <c r="E187" s="1" t="n">
        <v>46262</v>
      </c>
      <c r="F187" t="inlineStr">
        <is>
          <t>VÄSTERNORRLANDS LÄN</t>
        </is>
      </c>
      <c r="G187" t="inlineStr">
        <is>
          <t>HÄRNÖSAND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45228</v>
      </c>
      <c r="E188" s="1" t="n">
        <v>46262</v>
      </c>
      <c r="F188" t="inlineStr">
        <is>
          <t>VÄSTERNORRLANDS LÄN</t>
        </is>
      </c>
      <c r="G188" t="inlineStr">
        <is>
          <t>HÄRNÖSAND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46262</v>
      </c>
      <c r="F189" t="inlineStr">
        <is>
          <t>VÄSTERNORRLANDS LÄN</t>
        </is>
      </c>
      <c r="G189" t="inlineStr">
        <is>
          <t>HÄRNÖSAND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7852-2024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45350</v>
      </c>
      <c r="E190" s="1" t="n">
        <v>46262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45805</v>
      </c>
      <c r="E191" s="1" t="n">
        <v>46262</v>
      </c>
      <c r="F191" t="inlineStr">
        <is>
          <t>VÄSTERNORRLANDS LÄN</t>
        </is>
      </c>
      <c r="G191" t="inlineStr">
        <is>
          <t>HÄRNÖSAND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57685-2024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45630</v>
      </c>
      <c r="E192" s="1" t="n">
        <v>46262</v>
      </c>
      <c r="F192" t="inlineStr">
        <is>
          <t>VÄSTERNORRLANDS LÄN</t>
        </is>
      </c>
      <c r="G192" t="inlineStr">
        <is>
          <t>HÄRNÖSAND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45628</v>
      </c>
      <c r="E193" s="1" t="n">
        <v>46262</v>
      </c>
      <c r="F193" t="inlineStr">
        <is>
          <t>VÄSTERNORRLANDS LÄN</t>
        </is>
      </c>
      <c r="G193" t="inlineStr">
        <is>
          <t>HÄRNÖSAND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45205</v>
      </c>
      <c r="E194" s="1" t="n">
        <v>46262</v>
      </c>
      <c r="F194" t="inlineStr">
        <is>
          <t>VÄSTERNORRLANDS LÄN</t>
        </is>
      </c>
      <c r="G194" t="inlineStr">
        <is>
          <t>HÄRNÖSAND</t>
        </is>
      </c>
      <c r="I194" t="n">
        <v>7.9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41562-2025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45901</v>
      </c>
      <c r="E195" s="1" t="n">
        <v>46262</v>
      </c>
      <c r="F195" t="inlineStr">
        <is>
          <t>VÄSTERNORRLANDS LÄN</t>
        </is>
      </c>
      <c r="G195" t="inlineStr">
        <is>
          <t>HÄRNÖSAND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45811</v>
      </c>
      <c r="E196" s="1" t="n">
        <v>46262</v>
      </c>
      <c r="F196" t="inlineStr">
        <is>
          <t>VÄSTERNORRLANDS LÄN</t>
        </is>
      </c>
      <c r="G196" t="inlineStr">
        <is>
          <t>HÄRNÖSAND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46262</v>
      </c>
      <c r="F197" t="inlineStr">
        <is>
          <t>VÄSTERNORRLANDS LÄN</t>
        </is>
      </c>
      <c r="G197" t="inlineStr">
        <is>
          <t>HÄRNÖSAND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46262</v>
      </c>
      <c r="F198" t="inlineStr">
        <is>
          <t>VÄSTERNORRLANDS LÄN</t>
        </is>
      </c>
      <c r="G198" t="inlineStr">
        <is>
          <t>HÄRNÖSAND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45793</v>
      </c>
      <c r="E199" s="1" t="n">
        <v>46262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55773-2025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46262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46262</v>
      </c>
      <c r="F201" t="inlineStr">
        <is>
          <t>VÄSTERNORRLANDS LÄN</t>
        </is>
      </c>
      <c r="G201" t="inlineStr">
        <is>
          <t>HÄRNÖSAND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45482</v>
      </c>
      <c r="E202" s="1" t="n">
        <v>46262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46262</v>
      </c>
      <c r="F203" t="inlineStr">
        <is>
          <t>VÄSTERNORRLANDS LÄN</t>
        </is>
      </c>
      <c r="G203" t="inlineStr">
        <is>
          <t>HÄRNÖSAND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46262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45975</v>
      </c>
      <c r="E205" s="1" t="n">
        <v>46262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45975</v>
      </c>
      <c r="E206" s="1" t="n">
        <v>46262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45978</v>
      </c>
      <c r="E207" s="1" t="n">
        <v>46262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45979</v>
      </c>
      <c r="E208" s="1" t="n">
        <v>46262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46262</v>
      </c>
      <c r="F209" t="inlineStr">
        <is>
          <t>VÄSTERNORRLANDS LÄN</t>
        </is>
      </c>
      <c r="G209" t="inlineStr">
        <is>
          <t>HÄRNÖSAND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57099-2025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46262</v>
      </c>
      <c r="F210" t="inlineStr">
        <is>
          <t>VÄSTERNORRLANDS LÄN</t>
        </is>
      </c>
      <c r="G210" t="inlineStr">
        <is>
          <t>HÄRNÖSAND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45979</v>
      </c>
      <c r="E211" s="1" t="n">
        <v>46262</v>
      </c>
      <c r="F211" t="inlineStr">
        <is>
          <t>VÄSTERNORRLANDS LÄN</t>
        </is>
      </c>
      <c r="G211" t="inlineStr">
        <is>
          <t>HÄRNÖSAND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46262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57035-2025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46262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57037-2025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46262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46262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57877-2025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46262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58995-2025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46262</v>
      </c>
      <c r="F217" t="inlineStr">
        <is>
          <t>VÄSTERNORRLANDS LÄN</t>
        </is>
      </c>
      <c r="G217" t="inlineStr">
        <is>
          <t>HÄRNÖSAND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46262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46262</v>
      </c>
      <c r="F219" t="inlineStr">
        <is>
          <t>VÄSTERNORRLANDS LÄN</t>
        </is>
      </c>
      <c r="G219" t="inlineStr">
        <is>
          <t>HÄRNÖSAND</t>
        </is>
      </c>
      <c r="I219" t="n">
        <v>9.300000000000001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46262</v>
      </c>
      <c r="F220" t="inlineStr">
        <is>
          <t>VÄSTERNORRLANDS LÄN</t>
        </is>
      </c>
      <c r="G220" t="inlineStr">
        <is>
          <t>HÄRNÖSAND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46262</v>
      </c>
      <c r="F221" t="inlineStr">
        <is>
          <t>VÄSTERNORRLANDS LÄN</t>
        </is>
      </c>
      <c r="G221" t="inlineStr">
        <is>
          <t>HÄRNÖSAND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46262</v>
      </c>
      <c r="F222" t="inlineStr">
        <is>
          <t>VÄSTERNORRLANDS LÄN</t>
        </is>
      </c>
      <c r="G222" t="inlineStr">
        <is>
          <t>HÄRNÖSAND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46262</v>
      </c>
      <c r="F223" t="inlineStr">
        <is>
          <t>VÄSTERNORRLANDS LÄN</t>
        </is>
      </c>
      <c r="G223" t="inlineStr">
        <is>
          <t>HÄRNÖSAND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46262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29233-2025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46262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46262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46262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30039-2025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46262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Kyrkan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46262</v>
      </c>
      <c r="F229" t="inlineStr">
        <is>
          <t>VÄSTERNORRLANDS LÄN</t>
        </is>
      </c>
      <c r="G229" t="inlineStr">
        <is>
          <t>HÄRNÖSAND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46262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46262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46262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45531</v>
      </c>
      <c r="E233" s="1" t="n">
        <v>46262</v>
      </c>
      <c r="F233" t="inlineStr">
        <is>
          <t>VÄSTERNORRLANDS LÄN</t>
        </is>
      </c>
      <c r="G233" t="inlineStr">
        <is>
          <t>HÄRNÖSAND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46262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46262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46262</v>
      </c>
      <c r="F236" t="inlineStr">
        <is>
          <t>VÄSTERNORRLANDS LÄN</t>
        </is>
      </c>
      <c r="G236" t="inlineStr">
        <is>
          <t>HÄRNÖSAND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46262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45811</v>
      </c>
      <c r="E238" s="1" t="n">
        <v>46262</v>
      </c>
      <c r="F238" t="inlineStr">
        <is>
          <t>VÄSTERNORRLANDS LÄN</t>
        </is>
      </c>
      <c r="G238" t="inlineStr">
        <is>
          <t>HÄRNÖSAND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46262</v>
      </c>
      <c r="F239" t="inlineStr">
        <is>
          <t>VÄSTERNORRLANDS LÄN</t>
        </is>
      </c>
      <c r="G239" t="inlineStr">
        <is>
          <t>HÄRNÖSAND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46262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46262</v>
      </c>
      <c r="F241" t="inlineStr">
        <is>
          <t>VÄSTERNORRLANDS LÄN</t>
        </is>
      </c>
      <c r="G241" t="inlineStr">
        <is>
          <t>HÄRNÖSAND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45354-2025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46262</v>
      </c>
      <c r="F242" t="inlineStr">
        <is>
          <t>VÄSTERNORRLANDS LÄN</t>
        </is>
      </c>
      <c r="G242" t="inlineStr">
        <is>
          <t>HÄRNÖSAND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45837</v>
      </c>
      <c r="E243" s="1" t="n">
        <v>46262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46262</v>
      </c>
      <c r="F244" t="inlineStr">
        <is>
          <t>VÄSTERNORRLANDS LÄN</t>
        </is>
      </c>
      <c r="G244" t="inlineStr">
        <is>
          <t>HÄRNÖSAND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45837</v>
      </c>
      <c r="E245" s="1" t="n">
        <v>46262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46262</v>
      </c>
      <c r="F246" t="inlineStr">
        <is>
          <t>VÄSTERNORRLANDS LÄN</t>
        </is>
      </c>
      <c r="G246" t="inlineStr">
        <is>
          <t>HÄRNÖSAND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46262</v>
      </c>
      <c r="F247" t="inlineStr">
        <is>
          <t>VÄSTERNORRLANDS LÄN</t>
        </is>
      </c>
      <c r="G247" t="inlineStr">
        <is>
          <t>HÄRNÖSAND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47550-2022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44853</v>
      </c>
      <c r="E248" s="1" t="n">
        <v>46262</v>
      </c>
      <c r="F248" t="inlineStr">
        <is>
          <t>VÄSTERNORRLANDS LÄN</t>
        </is>
      </c>
      <c r="G248" t="inlineStr">
        <is>
          <t>HÄRNÖSAND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45981-2025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45924</v>
      </c>
      <c r="E249" s="1" t="n">
        <v>46262</v>
      </c>
      <c r="F249" t="inlineStr">
        <is>
          <t>VÄSTERNORRLANDS LÄN</t>
        </is>
      </c>
      <c r="G249" t="inlineStr">
        <is>
          <t>HÄRNÖSAND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46262</v>
      </c>
      <c r="F250" t="inlineStr">
        <is>
          <t>VÄSTERNORRLANDS LÄN</t>
        </is>
      </c>
      <c r="G250" t="inlineStr">
        <is>
          <t>HÄRNÖSAND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45289</v>
      </c>
      <c r="E251" s="1" t="n">
        <v>46262</v>
      </c>
      <c r="F251" t="inlineStr">
        <is>
          <t>VÄSTERNORRLANDS LÄN</t>
        </is>
      </c>
      <c r="G251" t="inlineStr">
        <is>
          <t>HÄRNÖSAND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45990-2025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46262</v>
      </c>
      <c r="F252" t="inlineStr">
        <is>
          <t>VÄSTERNORRLANDS LÄN</t>
        </is>
      </c>
      <c r="G252" t="inlineStr">
        <is>
          <t>HÄRNÖSAND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46262</v>
      </c>
      <c r="F253" t="inlineStr">
        <is>
          <t>VÄSTERNORRLANDS LÄN</t>
        </is>
      </c>
      <c r="G253" t="inlineStr">
        <is>
          <t>HÄRNÖSAND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46262</v>
      </c>
      <c r="F254" t="inlineStr">
        <is>
          <t>VÄSTERNORRLANDS LÄN</t>
        </is>
      </c>
      <c r="G254" t="inlineStr">
        <is>
          <t>HÄRNÖSAND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64746-2023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46262</v>
      </c>
      <c r="F255" t="inlineStr">
        <is>
          <t>VÄSTERNORRLANDS LÄN</t>
        </is>
      </c>
      <c r="G255" t="inlineStr">
        <is>
          <t>HÄRNÖSAND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65224-2023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45289</v>
      </c>
      <c r="E256" s="1" t="n">
        <v>46262</v>
      </c>
      <c r="F256" t="inlineStr">
        <is>
          <t>VÄSTERNORRLANDS LÄN</t>
        </is>
      </c>
      <c r="G256" t="inlineStr">
        <is>
          <t>HÄRNÖSAND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46262</v>
      </c>
      <c r="F257" t="inlineStr">
        <is>
          <t>VÄSTERNORRLANDS LÄN</t>
        </is>
      </c>
      <c r="G257" t="inlineStr">
        <is>
          <t>HÄRNÖSAND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45848</v>
      </c>
      <c r="E258" s="1" t="n">
        <v>46262</v>
      </c>
      <c r="F258" t="inlineStr">
        <is>
          <t>VÄSTERNORRLANDS LÄN</t>
        </is>
      </c>
      <c r="G258" t="inlineStr">
        <is>
          <t>HÄRNÖSAND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34751-2025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45848</v>
      </c>
      <c r="E259" s="1" t="n">
        <v>46262</v>
      </c>
      <c r="F259" t="inlineStr">
        <is>
          <t>VÄSTERNORRLANDS LÄN</t>
        </is>
      </c>
      <c r="G259" t="inlineStr">
        <is>
          <t>HÄRNÖSAND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64023-2023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45278</v>
      </c>
      <c r="E260" s="1" t="n">
        <v>46262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45853</v>
      </c>
      <c r="E261" s="1" t="n">
        <v>46262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44973</v>
      </c>
      <c r="E262" s="1" t="n">
        <v>46262</v>
      </c>
      <c r="F262" t="inlineStr">
        <is>
          <t>VÄSTERNORRLANDS LÄN</t>
        </is>
      </c>
      <c r="G262" t="inlineStr">
        <is>
          <t>HÄRNÖSAND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46262</v>
      </c>
      <c r="F263" t="inlineStr">
        <is>
          <t>VÄSTERNORRLANDS LÄN</t>
        </is>
      </c>
      <c r="G263" t="inlineStr">
        <is>
          <t>HÄRNÖSAND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45741</v>
      </c>
      <c r="E264" s="1" t="n">
        <v>46262</v>
      </c>
      <c r="F264" t="inlineStr">
        <is>
          <t>VÄSTERNORRLANDS LÄN</t>
        </is>
      </c>
      <c r="G264" t="inlineStr">
        <is>
          <t>HÄRNÖSAND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45793</v>
      </c>
      <c r="E265" s="1" t="n">
        <v>46262</v>
      </c>
      <c r="F265" t="inlineStr">
        <is>
          <t>VÄSTERNORRLANDS LÄN</t>
        </is>
      </c>
      <c r="G265" t="inlineStr">
        <is>
          <t>HÄRNÖSAND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45919</v>
      </c>
      <c r="E266" s="1" t="n">
        <v>46262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46262</v>
      </c>
      <c r="F267" t="inlineStr">
        <is>
          <t>VÄSTERNORRLANDS LÄN</t>
        </is>
      </c>
      <c r="G267" t="inlineStr">
        <is>
          <t>HÄRNÖSAND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48721-2025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46262</v>
      </c>
      <c r="F268" t="inlineStr">
        <is>
          <t>VÄSTERNORRLANDS LÄN</t>
        </is>
      </c>
      <c r="G268" t="inlineStr">
        <is>
          <t>HÄRNÖSAND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46262</v>
      </c>
      <c r="F269" t="inlineStr">
        <is>
          <t>VÄSTERNORRLANDS LÄN</t>
        </is>
      </c>
      <c r="G269" t="inlineStr">
        <is>
          <t>HÄRNÖSAND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46262</v>
      </c>
      <c r="F270" t="inlineStr">
        <is>
          <t>VÄSTERNORRLANDS LÄN</t>
        </is>
      </c>
      <c r="G270" t="inlineStr">
        <is>
          <t>HÄRNÖSAND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44459-2024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46262</v>
      </c>
      <c r="F271" t="inlineStr">
        <is>
          <t>VÄSTERNORRLANDS LÄN</t>
        </is>
      </c>
      <c r="G271" t="inlineStr">
        <is>
          <t>HÄRNÖSAND</t>
        </is>
      </c>
      <c r="I271" t="n">
        <v>9.5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45741</v>
      </c>
      <c r="E272" s="1" t="n">
        <v>46262</v>
      </c>
      <c r="F272" t="inlineStr">
        <is>
          <t>VÄSTERNORRLANDS LÄN</t>
        </is>
      </c>
      <c r="G272" t="inlineStr">
        <is>
          <t>HÄRNÖSAND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48800-2025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46262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45578</v>
      </c>
      <c r="E274" s="1" t="n">
        <v>46262</v>
      </c>
      <c r="F274" t="inlineStr">
        <is>
          <t>VÄSTERNORRLANDS LÄN</t>
        </is>
      </c>
      <c r="G274" t="inlineStr">
        <is>
          <t>HÄRNÖSAND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45504-2024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45578</v>
      </c>
      <c r="E275" s="1" t="n">
        <v>46262</v>
      </c>
      <c r="F275" t="inlineStr">
        <is>
          <t>VÄSTERNORRLANDS LÄN</t>
        </is>
      </c>
      <c r="G275" t="inlineStr">
        <is>
          <t>HÄRNÖSAND</t>
        </is>
      </c>
      <c r="I275" t="n">
        <v>10.3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46262</v>
      </c>
      <c r="F276" t="inlineStr">
        <is>
          <t>VÄSTERNORRLANDS LÄN</t>
        </is>
      </c>
      <c r="G276" t="inlineStr">
        <is>
          <t>HÄRNÖSAND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46262</v>
      </c>
      <c r="F277" t="inlineStr">
        <is>
          <t>VÄSTERNORRLANDS LÄN</t>
        </is>
      </c>
      <c r="G277" t="inlineStr">
        <is>
          <t>HÄRNÖSAND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45939</v>
      </c>
      <c r="E278" s="1" t="n">
        <v>46262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45874</v>
      </c>
      <c r="E279" s="1" t="n">
        <v>46262</v>
      </c>
      <c r="F279" t="inlineStr">
        <is>
          <t>VÄSTERNORRLANDS LÄN</t>
        </is>
      </c>
      <c r="G279" t="inlineStr">
        <is>
          <t>HÄRNÖSAND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46262</v>
      </c>
      <c r="F280" t="inlineStr">
        <is>
          <t>VÄSTERNORRLANDS LÄN</t>
        </is>
      </c>
      <c r="G280" t="inlineStr">
        <is>
          <t>HÄRNÖSAND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45874</v>
      </c>
      <c r="E281" s="1" t="n">
        <v>46262</v>
      </c>
      <c r="F281" t="inlineStr">
        <is>
          <t>VÄSTERNORRLANDS LÄN</t>
        </is>
      </c>
      <c r="G281" t="inlineStr">
        <is>
          <t>HÄRNÖSAND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44728</v>
      </c>
      <c r="E282" s="1" t="n">
        <v>46262</v>
      </c>
      <c r="F282" t="inlineStr">
        <is>
          <t>VÄSTERNORRLANDS LÄN</t>
        </is>
      </c>
      <c r="G282" t="inlineStr">
        <is>
          <t>HÄRNÖSAND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45757</v>
      </c>
      <c r="E283" s="1" t="n">
        <v>46262</v>
      </c>
      <c r="F283" t="inlineStr">
        <is>
          <t>VÄSTERNORRLANDS LÄN</t>
        </is>
      </c>
      <c r="G283" t="inlineStr">
        <is>
          <t>HÄRNÖSAND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45874</v>
      </c>
      <c r="E284" s="1" t="n">
        <v>46262</v>
      </c>
      <c r="F284" t="inlineStr">
        <is>
          <t>VÄSTERNORRLANDS LÄN</t>
        </is>
      </c>
      <c r="G284" t="inlineStr">
        <is>
          <t>HÄRNÖSAND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37562-2025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46262</v>
      </c>
      <c r="F285" t="inlineStr">
        <is>
          <t>VÄSTERNORRLANDS LÄN</t>
        </is>
      </c>
      <c r="G285" t="inlineStr">
        <is>
          <t>HÄRNÖSAND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60768-2025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45999</v>
      </c>
      <c r="E286" s="1" t="n">
        <v>46262</v>
      </c>
      <c r="F286" t="inlineStr">
        <is>
          <t>VÄSTERNORRLANDS LÄN</t>
        </is>
      </c>
      <c r="G286" t="inlineStr">
        <is>
          <t>HÄRNÖSAND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60771-2025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45999</v>
      </c>
      <c r="E287" s="1" t="n">
        <v>46262</v>
      </c>
      <c r="F287" t="inlineStr">
        <is>
          <t>VÄSTERNORRLANDS LÄN</t>
        </is>
      </c>
      <c r="G287" t="inlineStr">
        <is>
          <t>HÄRNÖSAND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46262</v>
      </c>
      <c r="F288" t="inlineStr">
        <is>
          <t>VÄSTERNORRLANDS LÄN</t>
        </is>
      </c>
      <c r="G288" t="inlineStr">
        <is>
          <t>HÄRNÖSAND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45496</v>
      </c>
      <c r="E289" s="1" t="n">
        <v>46262</v>
      </c>
      <c r="F289" t="inlineStr">
        <is>
          <t>VÄSTERNORRLANDS LÄN</t>
        </is>
      </c>
      <c r="G289" t="inlineStr">
        <is>
          <t>HÄRNÖSAND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46000</v>
      </c>
      <c r="E290" s="1" t="n">
        <v>46262</v>
      </c>
      <c r="F290" t="inlineStr">
        <is>
          <t>VÄSTERNORRLANDS LÄN</t>
        </is>
      </c>
      <c r="G290" t="inlineStr">
        <is>
          <t>HÄRNÖSAND</t>
        </is>
      </c>
      <c r="I290" t="n">
        <v>6.3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46262</v>
      </c>
      <c r="F291" t="inlineStr">
        <is>
          <t>VÄSTERNORRLANDS LÄN</t>
        </is>
      </c>
      <c r="G291" t="inlineStr">
        <is>
          <t>HÄRNÖSAND</t>
        </is>
      </c>
      <c r="I291" t="n">
        <v>12.5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18812-2025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45764</v>
      </c>
      <c r="E292" s="1" t="n">
        <v>46262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38926-2025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46262</v>
      </c>
      <c r="F293" t="inlineStr">
        <is>
          <t>VÄSTERNORRLANDS LÄN</t>
        </is>
      </c>
      <c r="G293" t="inlineStr">
        <is>
          <t>HÄRNÖSAND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29429-2024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45483</v>
      </c>
      <c r="E294" s="1" t="n">
        <v>46262</v>
      </c>
      <c r="F294" t="inlineStr">
        <is>
          <t>VÄSTERNORRLANDS LÄN</t>
        </is>
      </c>
      <c r="G294" t="inlineStr">
        <is>
          <t>HÄRNÖSAND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46262</v>
      </c>
      <c r="F295" t="inlineStr">
        <is>
          <t>VÄSTERNORRLANDS LÄN</t>
        </is>
      </c>
      <c r="G295" t="inlineStr">
        <is>
          <t>HÄRNÖSAND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44603</v>
      </c>
      <c r="E296" s="1" t="n">
        <v>46262</v>
      </c>
      <c r="F296" t="inlineStr">
        <is>
          <t>VÄSTERNORRLANDS LÄN</t>
        </is>
      </c>
      <c r="G296" t="inlineStr">
        <is>
          <t>HÄRNÖSAND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41147-2023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46262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47781-2023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46262</v>
      </c>
      <c r="F298" t="inlineStr">
        <is>
          <t>VÄSTERNORRLANDS LÄN</t>
        </is>
      </c>
      <c r="G298" t="inlineStr">
        <is>
          <t>HÄRNÖSAND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19167-2025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46262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40452-2023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45168</v>
      </c>
      <c r="E300" s="1" t="n">
        <v>46262</v>
      </c>
      <c r="F300" t="inlineStr">
        <is>
          <t>VÄSTERNORRLANDS LÄN</t>
        </is>
      </c>
      <c r="G300" t="inlineStr">
        <is>
          <t>HÄRNÖSAND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46013</v>
      </c>
      <c r="E301" s="1" t="n">
        <v>46262</v>
      </c>
      <c r="F301" t="inlineStr">
        <is>
          <t>VÄSTERNORRLANDS LÄN</t>
        </is>
      </c>
      <c r="G301" t="inlineStr">
        <is>
          <t>HÄRNÖSAND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46262</v>
      </c>
      <c r="F302" t="inlineStr">
        <is>
          <t>VÄSTERNORRLANDS LÄN</t>
        </is>
      </c>
      <c r="G302" t="inlineStr">
        <is>
          <t>HÄRNÖSAND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45097</v>
      </c>
      <c r="E303" s="1" t="n">
        <v>46262</v>
      </c>
      <c r="F303" t="inlineStr">
        <is>
          <t>VÄSTERNORRLANDS LÄN</t>
        </is>
      </c>
      <c r="G303" t="inlineStr">
        <is>
          <t>HÄRNÖSAND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46262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46023</v>
      </c>
      <c r="E305" s="1" t="n">
        <v>46262</v>
      </c>
      <c r="F305" t="inlineStr">
        <is>
          <t>VÄSTERNORRLANDS LÄN</t>
        </is>
      </c>
      <c r="G305" t="inlineStr">
        <is>
          <t>HÄRNÖSAND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46023</v>
      </c>
      <c r="E306" s="1" t="n">
        <v>46262</v>
      </c>
      <c r="F306" t="inlineStr">
        <is>
          <t>VÄSTERNORRLANDS LÄN</t>
        </is>
      </c>
      <c r="G306" t="inlineStr">
        <is>
          <t>HÄRNÖSAND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46023</v>
      </c>
      <c r="E307" s="1" t="n">
        <v>46262</v>
      </c>
      <c r="F307" t="inlineStr">
        <is>
          <t>VÄSTERNORRLANDS LÄN</t>
        </is>
      </c>
      <c r="G307" t="inlineStr">
        <is>
          <t>HÄRNÖSAND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46024</v>
      </c>
      <c r="E308" s="1" t="n">
        <v>46262</v>
      </c>
      <c r="F308" t="inlineStr">
        <is>
          <t>VÄSTERNORRLANDS LÄN</t>
        </is>
      </c>
      <c r="G308" t="inlineStr">
        <is>
          <t>HÄRNÖSAND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46024</v>
      </c>
      <c r="E309" s="1" t="n">
        <v>46262</v>
      </c>
      <c r="F309" t="inlineStr">
        <is>
          <t>VÄSTERNORRLANDS LÄN</t>
        </is>
      </c>
      <c r="G309" t="inlineStr">
        <is>
          <t>HÄRNÖSAND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46024</v>
      </c>
      <c r="E310" s="1" t="n">
        <v>46262</v>
      </c>
      <c r="F310" t="inlineStr">
        <is>
          <t>VÄSTERNORRLANDS LÄN</t>
        </is>
      </c>
      <c r="G310" t="inlineStr">
        <is>
          <t>HÄRNÖSAND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46026</v>
      </c>
      <c r="E311" s="1" t="n">
        <v>46262</v>
      </c>
      <c r="F311" t="inlineStr">
        <is>
          <t>VÄSTERNORRLANDS LÄN</t>
        </is>
      </c>
      <c r="G311" t="inlineStr">
        <is>
          <t>HÄRNÖSAND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46024</v>
      </c>
      <c r="E312" s="1" t="n">
        <v>46262</v>
      </c>
      <c r="F312" t="inlineStr">
        <is>
          <t>VÄSTERNORRLANDS LÄN</t>
        </is>
      </c>
      <c r="G312" t="inlineStr">
        <is>
          <t>HÄRNÖSAND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45729</v>
      </c>
      <c r="E313" s="1" t="n">
        <v>46262</v>
      </c>
      <c r="F313" t="inlineStr">
        <is>
          <t>VÄSTERNORRLANDS LÄN</t>
        </is>
      </c>
      <c r="G313" t="inlineStr">
        <is>
          <t>HÄRNÖSAND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46262</v>
      </c>
      <c r="F314" t="inlineStr">
        <is>
          <t>VÄSTERNORRLANDS LÄN</t>
        </is>
      </c>
      <c r="G314" t="inlineStr">
        <is>
          <t>HÄRNÖSAND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46262</v>
      </c>
      <c r="F315" t="inlineStr">
        <is>
          <t>VÄSTERNORRLANDS LÄN</t>
        </is>
      </c>
      <c r="G315" t="inlineStr">
        <is>
          <t>HÄRNÖSAND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46029</v>
      </c>
      <c r="E316" s="1" t="n">
        <v>46262</v>
      </c>
      <c r="F316" t="inlineStr">
        <is>
          <t>VÄSTERNORRLANDS LÄN</t>
        </is>
      </c>
      <c r="G316" t="inlineStr">
        <is>
          <t>HÄRNÖSAND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46262</v>
      </c>
      <c r="F317" t="inlineStr">
        <is>
          <t>VÄSTERNORRLANDS LÄN</t>
        </is>
      </c>
      <c r="G317" t="inlineStr">
        <is>
          <t>HÄRNÖSAND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780-2026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46029</v>
      </c>
      <c r="E318" s="1" t="n">
        <v>46262</v>
      </c>
      <c r="F318" t="inlineStr">
        <is>
          <t>VÄSTERNORRLANDS LÄN</t>
        </is>
      </c>
      <c r="G318" t="inlineStr">
        <is>
          <t>HÄRNÖSAND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54560-2024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46262</v>
      </c>
      <c r="F319" t="inlineStr">
        <is>
          <t>VÄSTERNORRLANDS LÄN</t>
        </is>
      </c>
      <c r="G319" t="inlineStr">
        <is>
          <t>HÄRNÖSAND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46262</v>
      </c>
      <c r="F320" t="inlineStr">
        <is>
          <t>VÄSTERNORRLANDS LÄN</t>
        </is>
      </c>
      <c r="G320" t="inlineStr">
        <is>
          <t>HÄRNÖSAND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46262</v>
      </c>
      <c r="F321" t="inlineStr">
        <is>
          <t>VÄSTERNORRLANDS LÄN</t>
        </is>
      </c>
      <c r="G321" t="inlineStr">
        <is>
          <t>HÄRNÖSAND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45352</v>
      </c>
      <c r="E322" s="1" t="n">
        <v>46262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46262</v>
      </c>
      <c r="F323" t="inlineStr">
        <is>
          <t>VÄSTERNORRLANDS LÄN</t>
        </is>
      </c>
      <c r="G323" t="inlineStr">
        <is>
          <t>HÄRNÖSAND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46262</v>
      </c>
      <c r="F324" t="inlineStr">
        <is>
          <t>VÄSTERNORRLANDS LÄN</t>
        </is>
      </c>
      <c r="G324" t="inlineStr">
        <is>
          <t>HÄRNÖSAND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45769</v>
      </c>
      <c r="E325" s="1" t="n">
        <v>46262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45730</v>
      </c>
      <c r="E326" s="1" t="n">
        <v>46262</v>
      </c>
      <c r="F326" t="inlineStr">
        <is>
          <t>VÄSTERNORRLANDS LÄN</t>
        </is>
      </c>
      <c r="G326" t="inlineStr">
        <is>
          <t>HÄRNÖSAND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45342</v>
      </c>
      <c r="E327" s="1" t="n">
        <v>46262</v>
      </c>
      <c r="F327" t="inlineStr">
        <is>
          <t>VÄSTERNORRLANDS LÄN</t>
        </is>
      </c>
      <c r="G327" t="inlineStr">
        <is>
          <t>HÄRNÖSAND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45531</v>
      </c>
      <c r="E328" s="1" t="n">
        <v>46262</v>
      </c>
      <c r="F328" t="inlineStr">
        <is>
          <t>VÄSTERNORRLANDS LÄN</t>
        </is>
      </c>
      <c r="G328" t="inlineStr">
        <is>
          <t>HÄRNÖSAND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59408-2024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45638</v>
      </c>
      <c r="E329" s="1" t="n">
        <v>46262</v>
      </c>
      <c r="F329" t="inlineStr">
        <is>
          <t>VÄSTERNORRLANDS LÄN</t>
        </is>
      </c>
      <c r="G329" t="inlineStr">
        <is>
          <t>HÄRNÖSAND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46038</v>
      </c>
      <c r="E330" s="1" t="n">
        <v>46262</v>
      </c>
      <c r="F330" t="inlineStr">
        <is>
          <t>VÄSTERNORRLANDS LÄN</t>
        </is>
      </c>
      <c r="G330" t="inlineStr">
        <is>
          <t>HÄRNÖSAND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46262</v>
      </c>
      <c r="F331" t="inlineStr">
        <is>
          <t>VÄSTERNORRLANDS LÄN</t>
        </is>
      </c>
      <c r="G331" t="inlineStr">
        <is>
          <t>HÄRNÖSAND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45293</v>
      </c>
      <c r="E332" s="1" t="n">
        <v>46262</v>
      </c>
      <c r="F332" t="inlineStr">
        <is>
          <t>VÄSTERNORRLANDS LÄN</t>
        </is>
      </c>
      <c r="G332" t="inlineStr">
        <is>
          <t>HÄRNÖSAND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45180</v>
      </c>
      <c r="E333" s="1" t="n">
        <v>46262</v>
      </c>
      <c r="F333" t="inlineStr">
        <is>
          <t>VÄSTERNORRLANDS LÄN</t>
        </is>
      </c>
      <c r="G333" t="inlineStr">
        <is>
          <t>HÄRNÖSAND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46262</v>
      </c>
      <c r="F334" t="inlineStr">
        <is>
          <t>VÄSTERNORRLANDS LÄN</t>
        </is>
      </c>
      <c r="G334" t="inlineStr">
        <is>
          <t>HÄRNÖSAND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47944-2022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44853</v>
      </c>
      <c r="E335" s="1" t="n">
        <v>46262</v>
      </c>
      <c r="F335" t="inlineStr">
        <is>
          <t>VÄSTERNORRLANDS LÄN</t>
        </is>
      </c>
      <c r="G335" t="inlineStr">
        <is>
          <t>HÄRNÖSAND</t>
        </is>
      </c>
      <c r="I335" t="n">
        <v>7.6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46262</v>
      </c>
      <c r="F336" t="inlineStr">
        <is>
          <t>VÄSTERNORRLANDS LÄN</t>
        </is>
      </c>
      <c r="G336" t="inlineStr">
        <is>
          <t>HÄRNÖSAND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45320</v>
      </c>
      <c r="E337" s="1" t="n">
        <v>46262</v>
      </c>
      <c r="F337" t="inlineStr">
        <is>
          <t>VÄSTERNORRLANDS LÄN</t>
        </is>
      </c>
      <c r="G337" t="inlineStr">
        <is>
          <t>HÄRNÖSAND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46045</v>
      </c>
      <c r="E338" s="1" t="n">
        <v>46262</v>
      </c>
      <c r="F338" t="inlineStr">
        <is>
          <t>VÄSTERNORRLANDS LÄN</t>
        </is>
      </c>
      <c r="G338" t="inlineStr">
        <is>
          <t>HÄRNÖSAND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46262</v>
      </c>
      <c r="F339" t="inlineStr">
        <is>
          <t>VÄSTERNORRLANDS LÄN</t>
        </is>
      </c>
      <c r="G339" t="inlineStr">
        <is>
          <t>HÄRNÖSAND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45293</v>
      </c>
      <c r="E340" s="1" t="n">
        <v>46262</v>
      </c>
      <c r="F340" t="inlineStr">
        <is>
          <t>VÄSTERNORRLANDS LÄN</t>
        </is>
      </c>
      <c r="G340" t="inlineStr">
        <is>
          <t>HÄRNÖSAND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46262</v>
      </c>
      <c r="F341" t="inlineStr">
        <is>
          <t>VÄSTERNORRLANDS LÄN</t>
        </is>
      </c>
      <c r="G341" t="inlineStr">
        <is>
          <t>HÄRNÖSAND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46262</v>
      </c>
      <c r="F342" t="inlineStr">
        <is>
          <t>VÄSTERNORRLANDS LÄN</t>
        </is>
      </c>
      <c r="G342" t="inlineStr">
        <is>
          <t>HÄRNÖSAND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46054</v>
      </c>
      <c r="E343" s="1" t="n">
        <v>46262</v>
      </c>
      <c r="F343" t="inlineStr">
        <is>
          <t>VÄSTERNORRLANDS LÄN</t>
        </is>
      </c>
      <c r="G343" t="inlineStr">
        <is>
          <t>HÄRNÖSAND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46262</v>
      </c>
      <c r="F344" t="inlineStr">
        <is>
          <t>VÄSTERNORRLANDS LÄN</t>
        </is>
      </c>
      <c r="G344" t="inlineStr">
        <is>
          <t>HÄRNÖSAND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46262</v>
      </c>
      <c r="F345" t="inlineStr">
        <is>
          <t>VÄSTERNORRLANDS LÄN</t>
        </is>
      </c>
      <c r="G345" t="inlineStr">
        <is>
          <t>HÄRNÖSAND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46262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SCA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46262</v>
      </c>
      <c r="F347" t="inlineStr">
        <is>
          <t>VÄSTERNORRLANDS LÄN</t>
        </is>
      </c>
      <c r="G347" t="inlineStr">
        <is>
          <t>HÄRNÖSAND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46262</v>
      </c>
      <c r="F348" t="inlineStr">
        <is>
          <t>VÄSTERNORRLANDS LÄN</t>
        </is>
      </c>
      <c r="G348" t="inlineStr">
        <is>
          <t>HÄRNÖSAND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23547-2023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45072</v>
      </c>
      <c r="E349" s="1" t="n">
        <v>46262</v>
      </c>
      <c r="F349" t="inlineStr">
        <is>
          <t>VÄSTERNORRLANDS LÄN</t>
        </is>
      </c>
      <c r="G349" t="inlineStr">
        <is>
          <t>HÄRNÖSAND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44936</v>
      </c>
      <c r="E350" s="1" t="n">
        <v>46262</v>
      </c>
      <c r="F350" t="inlineStr">
        <is>
          <t>VÄSTERNORRLANDS LÄN</t>
        </is>
      </c>
      <c r="G350" t="inlineStr">
        <is>
          <t>HÄRNÖSAND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32180-2024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45511</v>
      </c>
      <c r="E351" s="1" t="n">
        <v>46262</v>
      </c>
      <c r="F351" t="inlineStr">
        <is>
          <t>VÄSTERNORRLANDS LÄN</t>
        </is>
      </c>
      <c r="G351" t="inlineStr">
        <is>
          <t>HÄRNÖSAND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45749</v>
      </c>
      <c r="E352" s="1" t="n">
        <v>46262</v>
      </c>
      <c r="F352" t="inlineStr">
        <is>
          <t>VÄSTERNORRLANDS LÄN</t>
        </is>
      </c>
      <c r="G352" t="inlineStr">
        <is>
          <t>HÄRNÖSAND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46262</v>
      </c>
      <c r="F353" t="inlineStr">
        <is>
          <t>VÄSTERNORRLANDS LÄN</t>
        </is>
      </c>
      <c r="G353" t="inlineStr">
        <is>
          <t>HÄRNÖSAND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46262</v>
      </c>
      <c r="F354" t="inlineStr">
        <is>
          <t>VÄSTERNORRLANDS LÄN</t>
        </is>
      </c>
      <c r="G354" t="inlineStr">
        <is>
          <t>HÄRNÖSAND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25007-2022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44728</v>
      </c>
      <c r="E355" s="1" t="n">
        <v>46262</v>
      </c>
      <c r="F355" t="inlineStr">
        <is>
          <t>VÄSTERNORRLANDS LÄN</t>
        </is>
      </c>
      <c r="G355" t="inlineStr">
        <is>
          <t>HÄRNÖSAND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46262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Kyrkan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8414-2026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46262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Kyrkan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8415-2026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46065</v>
      </c>
      <c r="E358" s="1" t="n">
        <v>46262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Kyrkan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8495-2026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46065</v>
      </c>
      <c r="E359" s="1" t="n">
        <v>46262</v>
      </c>
      <c r="F359" t="inlineStr">
        <is>
          <t>VÄSTERNORRLANDS LÄN</t>
        </is>
      </c>
      <c r="G359" t="inlineStr">
        <is>
          <t>HÄRNÖSAND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44971</v>
      </c>
      <c r="E360" s="1" t="n">
        <v>46262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9053-2026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46262</v>
      </c>
      <c r="F361" t="inlineStr">
        <is>
          <t>VÄSTERNORRLANDS LÄN</t>
        </is>
      </c>
      <c r="G361" t="inlineStr">
        <is>
          <t>HÄRNÖSAND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30184-2024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45489</v>
      </c>
      <c r="E362" s="1" t="n">
        <v>46262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9160-2026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46070</v>
      </c>
      <c r="E363" s="1" t="n">
        <v>46262</v>
      </c>
      <c r="F363" t="inlineStr">
        <is>
          <t>VÄSTERNORRLANDS LÄN</t>
        </is>
      </c>
      <c r="G363" t="inlineStr">
        <is>
          <t>HÄRNÖSAND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46070</v>
      </c>
      <c r="E364" s="1" t="n">
        <v>46262</v>
      </c>
      <c r="F364" t="inlineStr">
        <is>
          <t>VÄSTERNORRLANDS LÄN</t>
        </is>
      </c>
      <c r="G364" t="inlineStr">
        <is>
          <t>HÄRNÖSAND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46070</v>
      </c>
      <c r="E365" s="1" t="n">
        <v>46262</v>
      </c>
      <c r="F365" t="inlineStr">
        <is>
          <t>VÄSTERNORRLANDS LÄN</t>
        </is>
      </c>
      <c r="G365" t="inlineStr">
        <is>
          <t>HÄRNÖSAND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46262</v>
      </c>
      <c r="F366" t="inlineStr">
        <is>
          <t>VÄSTERNORRLANDS LÄN</t>
        </is>
      </c>
      <c r="G366" t="inlineStr">
        <is>
          <t>HÄRNÖSAND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9805-2026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46071</v>
      </c>
      <c r="E367" s="1" t="n">
        <v>46262</v>
      </c>
      <c r="F367" t="inlineStr">
        <is>
          <t>VÄSTERNORRLANDS LÄN</t>
        </is>
      </c>
      <c r="G367" t="inlineStr">
        <is>
          <t>HÄRNÖSAND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34161-2022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44791</v>
      </c>
      <c r="E368" s="1" t="n">
        <v>46262</v>
      </c>
      <c r="F368" t="inlineStr">
        <is>
          <t>VÄSTERNORRLANDS LÄN</t>
        </is>
      </c>
      <c r="G368" t="inlineStr">
        <is>
          <t>HÄRNÖSAND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63375-2023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46262</v>
      </c>
      <c r="F369" t="inlineStr">
        <is>
          <t>VÄSTERNORRLANDS LÄN</t>
        </is>
      </c>
      <c r="G369" t="inlineStr">
        <is>
          <t>HÄRNÖSAND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46262</v>
      </c>
      <c r="F370" t="inlineStr">
        <is>
          <t>VÄSTERNORRLANDS LÄN</t>
        </is>
      </c>
      <c r="G370" t="inlineStr">
        <is>
          <t>HÄRNÖSAND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34226-2023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45126</v>
      </c>
      <c r="E371" s="1" t="n">
        <v>46262</v>
      </c>
      <c r="F371" t="inlineStr">
        <is>
          <t>VÄSTERNORRLANDS LÄN</t>
        </is>
      </c>
      <c r="G371" t="inlineStr">
        <is>
          <t>HÄRNÖSAND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46072</v>
      </c>
      <c r="E372" s="1" t="n">
        <v>46262</v>
      </c>
      <c r="F372" t="inlineStr">
        <is>
          <t>VÄSTERNORRLANDS LÄN</t>
        </is>
      </c>
      <c r="G372" t="inlineStr">
        <is>
          <t>HÄRNÖSAND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10571-2026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46077</v>
      </c>
      <c r="E373" s="1" t="n">
        <v>46262</v>
      </c>
      <c r="F373" t="inlineStr">
        <is>
          <t>VÄSTERNORRLANDS LÄN</t>
        </is>
      </c>
      <c r="G373" t="inlineStr">
        <is>
          <t>HÄRNÖSAND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45685</v>
      </c>
      <c r="E374" s="1" t="n">
        <v>46262</v>
      </c>
      <c r="F374" t="inlineStr">
        <is>
          <t>VÄSTERNORRLANDS LÄN</t>
        </is>
      </c>
      <c r="G374" t="inlineStr">
        <is>
          <t>HÄRNÖSAND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44987</v>
      </c>
      <c r="E375" s="1" t="n">
        <v>46262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45189</v>
      </c>
      <c r="E376" s="1" t="n">
        <v>46262</v>
      </c>
      <c r="F376" t="inlineStr">
        <is>
          <t>VÄSTERNORRLANDS LÄN</t>
        </is>
      </c>
      <c r="G376" t="inlineStr">
        <is>
          <t>HÄRNÖSAND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11202-2026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46080</v>
      </c>
      <c r="E377" s="1" t="n">
        <v>46262</v>
      </c>
      <c r="F377" t="inlineStr">
        <is>
          <t>VÄSTERNORRLANDS LÄN</t>
        </is>
      </c>
      <c r="G377" t="inlineStr">
        <is>
          <t>HÄRNÖSAND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45376</v>
      </c>
      <c r="E378" s="1" t="n">
        <v>46262</v>
      </c>
      <c r="F378" t="inlineStr">
        <is>
          <t>VÄSTERNORRLANDS LÄN</t>
        </is>
      </c>
      <c r="G378" t="inlineStr">
        <is>
          <t>HÄRNÖSAND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44869</v>
      </c>
      <c r="E379" s="1" t="n">
        <v>46262</v>
      </c>
      <c r="F379" t="inlineStr">
        <is>
          <t>VÄSTERNORRLANDS LÄN</t>
        </is>
      </c>
      <c r="G379" t="inlineStr">
        <is>
          <t>HÄRNÖSAND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13611-2023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45006</v>
      </c>
      <c r="E380" s="1" t="n">
        <v>46262</v>
      </c>
      <c r="F380" t="inlineStr">
        <is>
          <t>VÄSTERNORRLANDS LÄN</t>
        </is>
      </c>
      <c r="G380" t="inlineStr">
        <is>
          <t>HÄRNÖSAND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19122-2024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45428</v>
      </c>
      <c r="E381" s="1" t="n">
        <v>46262</v>
      </c>
      <c r="F381" t="inlineStr">
        <is>
          <t>VÄSTERNORRLANDS LÄN</t>
        </is>
      </c>
      <c r="G381" t="inlineStr">
        <is>
          <t>HÄRNÖSAND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46262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46085</v>
      </c>
      <c r="E383" s="1" t="n">
        <v>46262</v>
      </c>
      <c r="F383" t="inlineStr">
        <is>
          <t>VÄSTERNORRLANDS LÄN</t>
        </is>
      </c>
      <c r="G383" t="inlineStr">
        <is>
          <t>HÄRNÖSAND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8375-2026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46262</v>
      </c>
      <c r="F384" t="inlineStr">
        <is>
          <t>VÄSTERNORRLANDS LÄN</t>
        </is>
      </c>
      <c r="G384" t="inlineStr">
        <is>
          <t>HÄRNÖSAND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45409</v>
      </c>
      <c r="E385" s="1" t="n">
        <v>46262</v>
      </c>
      <c r="F385" t="inlineStr">
        <is>
          <t>VÄSTERNORRLANDS LÄN</t>
        </is>
      </c>
      <c r="G385" t="inlineStr">
        <is>
          <t>HÄRNÖSAND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46262</v>
      </c>
      <c r="F386" t="inlineStr">
        <is>
          <t>VÄSTERNORRLANDS LÄN</t>
        </is>
      </c>
      <c r="G386" t="inlineStr">
        <is>
          <t>HÄRNÖSAND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46262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Övriga statliga verk och myndigheter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45409</v>
      </c>
      <c r="E388" s="1" t="n">
        <v>46262</v>
      </c>
      <c r="F388" t="inlineStr">
        <is>
          <t>VÄSTERNORRLANDS LÄN</t>
        </is>
      </c>
      <c r="G388" t="inlineStr">
        <is>
          <t>HÄRNÖSAND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46091</v>
      </c>
      <c r="E389" s="1" t="n">
        <v>46262</v>
      </c>
      <c r="F389" t="inlineStr">
        <is>
          <t>VÄSTERNORRLANDS LÄN</t>
        </is>
      </c>
      <c r="G389" t="inlineStr">
        <is>
          <t>HÄRNÖSAND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12630-2026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46091</v>
      </c>
      <c r="E390" s="1" t="n">
        <v>46262</v>
      </c>
      <c r="F390" t="inlineStr">
        <is>
          <t>VÄSTERNORRLANDS LÄN</t>
        </is>
      </c>
      <c r="G390" t="inlineStr">
        <is>
          <t>HÄRNÖSAND</t>
        </is>
      </c>
      <c r="I390" t="n">
        <v>9.9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46091</v>
      </c>
      <c r="E391" s="1" t="n">
        <v>46262</v>
      </c>
      <c r="F391" t="inlineStr">
        <is>
          <t>VÄSTERNORRLANDS LÄN</t>
        </is>
      </c>
      <c r="G391" t="inlineStr">
        <is>
          <t>HÄRNÖSAND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12650-2026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46091</v>
      </c>
      <c r="E392" s="1" t="n">
        <v>46262</v>
      </c>
      <c r="F392" t="inlineStr">
        <is>
          <t>VÄSTERNORRLANDS LÄN</t>
        </is>
      </c>
      <c r="G392" t="inlineStr">
        <is>
          <t>HÄRNÖSAND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46091</v>
      </c>
      <c r="E393" s="1" t="n">
        <v>46262</v>
      </c>
      <c r="F393" t="inlineStr">
        <is>
          <t>VÄSTERNORRLANDS LÄN</t>
        </is>
      </c>
      <c r="G393" t="inlineStr">
        <is>
          <t>HÄRNÖSAND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46262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13488-2026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46262</v>
      </c>
      <c r="F395" t="inlineStr">
        <is>
          <t>VÄSTERNORRLANDS LÄN</t>
        </is>
      </c>
      <c r="G395" t="inlineStr">
        <is>
          <t>HÄRNÖSAND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14936-2026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46104</v>
      </c>
      <c r="E396" s="1" t="n">
        <v>46262</v>
      </c>
      <c r="F396" t="inlineStr">
        <is>
          <t>VÄSTERNORRLANDS LÄN</t>
        </is>
      </c>
      <c r="G396" t="inlineStr">
        <is>
          <t>HÄRNÖSAND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35785-2023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46262</v>
      </c>
      <c r="F397" t="inlineStr">
        <is>
          <t>VÄSTERNORRLANDS LÄN</t>
        </is>
      </c>
      <c r="G397" t="inlineStr">
        <is>
          <t>HÄRNÖSAND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25116-2024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45462</v>
      </c>
      <c r="E398" s="1" t="n">
        <v>46262</v>
      </c>
      <c r="F398" t="inlineStr">
        <is>
          <t>VÄSTERNORRLANDS LÄN</t>
        </is>
      </c>
      <c r="G398" t="inlineStr">
        <is>
          <t>HÄRNÖSAND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46101</v>
      </c>
      <c r="E399" s="1" t="n">
        <v>46262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16.2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15137-2026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46262</v>
      </c>
      <c r="F400" t="inlineStr">
        <is>
          <t>VÄSTERNORRLANDS LÄN</t>
        </is>
      </c>
      <c r="G400" t="inlineStr">
        <is>
          <t>HÄRNÖSAND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45161</v>
      </c>
      <c r="E401" s="1" t="n">
        <v>46262</v>
      </c>
      <c r="F401" t="inlineStr">
        <is>
          <t>VÄSTERNORRLANDS LÄN</t>
        </is>
      </c>
      <c r="G401" t="inlineStr">
        <is>
          <t>HÄRNÖSAND</t>
        </is>
      </c>
      <c r="H401" t="inlineStr">
        <is>
          <t>SCA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46262</v>
      </c>
      <c r="F402" t="inlineStr">
        <is>
          <t>VÄSTERNORRLANDS LÄN</t>
        </is>
      </c>
      <c r="G402" t="inlineStr">
        <is>
          <t>HÄRNÖSAND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15199-2026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46105</v>
      </c>
      <c r="E403" s="1" t="n">
        <v>46262</v>
      </c>
      <c r="F403" t="inlineStr">
        <is>
          <t>VÄSTERNORRLANDS LÄN</t>
        </is>
      </c>
      <c r="G403" t="inlineStr">
        <is>
          <t>HÄRNÖSAND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26976-2023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45091</v>
      </c>
      <c r="E404" s="1" t="n">
        <v>46262</v>
      </c>
      <c r="F404" t="inlineStr">
        <is>
          <t>VÄSTERNORRLANDS LÄN</t>
        </is>
      </c>
      <c r="G404" t="inlineStr">
        <is>
          <t>HÄRNÖSAND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46262</v>
      </c>
      <c r="F405" t="inlineStr">
        <is>
          <t>VÄSTERNORRLANDS LÄN</t>
        </is>
      </c>
      <c r="G405" t="inlineStr">
        <is>
          <t>HÄRNÖSAND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46262</v>
      </c>
      <c r="F406" t="inlineStr">
        <is>
          <t>VÄSTERNORRLANDS LÄN</t>
        </is>
      </c>
      <c r="G406" t="inlineStr">
        <is>
          <t>HÄRNÖSAND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46262</v>
      </c>
      <c r="F407" t="inlineStr">
        <is>
          <t>VÄSTERNORRLANDS LÄN</t>
        </is>
      </c>
      <c r="G407" t="inlineStr">
        <is>
          <t>HÄRNÖSAND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44937</v>
      </c>
      <c r="E408" s="1" t="n">
        <v>46262</v>
      </c>
      <c r="F408" t="inlineStr">
        <is>
          <t>VÄSTERNORRLANDS LÄN</t>
        </is>
      </c>
      <c r="G408" t="inlineStr">
        <is>
          <t>HÄRNÖSAND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15928-2026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46262</v>
      </c>
      <c r="F409" t="inlineStr">
        <is>
          <t>VÄSTERNORRLANDS LÄN</t>
        </is>
      </c>
      <c r="G409" t="inlineStr">
        <is>
          <t>HÄRNÖSAND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46262</v>
      </c>
      <c r="F410" t="inlineStr">
        <is>
          <t>VÄSTERNORRLANDS LÄN</t>
        </is>
      </c>
      <c r="G410" t="inlineStr">
        <is>
          <t>HÄRNÖSAND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15930-2026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46262</v>
      </c>
      <c r="F411" t="inlineStr">
        <is>
          <t>VÄSTERNORRLANDS LÄN</t>
        </is>
      </c>
      <c r="G411" t="inlineStr">
        <is>
          <t>HÄRNÖSAND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11045-2025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45723</v>
      </c>
      <c r="E412" s="1" t="n">
        <v>46262</v>
      </c>
      <c r="F412" t="inlineStr">
        <is>
          <t>VÄSTERNORRLANDS LÄN</t>
        </is>
      </c>
      <c r="G412" t="inlineStr">
        <is>
          <t>HÄRNÖSAND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45733</v>
      </c>
      <c r="E413" s="1" t="n">
        <v>46262</v>
      </c>
      <c r="F413" t="inlineStr">
        <is>
          <t>VÄSTERNORRLANDS LÄN</t>
        </is>
      </c>
      <c r="G413" t="inlineStr">
        <is>
          <t>HÄRNÖSAND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16705-2026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46113</v>
      </c>
      <c r="E414" s="1" t="n">
        <v>46262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45293</v>
      </c>
      <c r="E415" s="1" t="n">
        <v>46262</v>
      </c>
      <c r="F415" t="inlineStr">
        <is>
          <t>VÄSTERNORRLANDS LÄN</t>
        </is>
      </c>
      <c r="G415" t="inlineStr">
        <is>
          <t>HÄRNÖSAND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17661-2026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46120</v>
      </c>
      <c r="E416" s="1" t="n">
        <v>46262</v>
      </c>
      <c r="F416" t="inlineStr">
        <is>
          <t>VÄSTERNORRLANDS LÄN</t>
        </is>
      </c>
      <c r="G416" t="inlineStr">
        <is>
          <t>HÄRNÖSAND</t>
        </is>
      </c>
      <c r="I416" t="n">
        <v>10.8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45392</v>
      </c>
      <c r="E417" s="1" t="n">
        <v>46262</v>
      </c>
      <c r="F417" t="inlineStr">
        <is>
          <t>VÄSTERNORRLANDS LÄN</t>
        </is>
      </c>
      <c r="G417" t="inlineStr">
        <is>
          <t>HÄRNÖSAND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18885-2023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45044</v>
      </c>
      <c r="E418" s="1" t="n">
        <v>46262</v>
      </c>
      <c r="F418" t="inlineStr">
        <is>
          <t>VÄSTERNORRLANDS LÄN</t>
        </is>
      </c>
      <c r="G418" t="inlineStr">
        <is>
          <t>HÄRNÖSAND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46122</v>
      </c>
      <c r="E419" s="1" t="n">
        <v>46262</v>
      </c>
      <c r="F419" t="inlineStr">
        <is>
          <t>VÄSTERNORRLANDS LÄN</t>
        </is>
      </c>
      <c r="G419" t="inlineStr">
        <is>
          <t>HÄRNÖSAND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44951</v>
      </c>
      <c r="E420" s="1" t="n">
        <v>46262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46126</v>
      </c>
      <c r="E421" s="1" t="n">
        <v>46262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31.9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46262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59073-2022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44897</v>
      </c>
      <c r="E423" s="1" t="n">
        <v>46262</v>
      </c>
      <c r="F423" t="inlineStr">
        <is>
          <t>VÄSTERNORRLANDS LÄN</t>
        </is>
      </c>
      <c r="G423" t="inlineStr">
        <is>
          <t>HÄRNÖSAND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46262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12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25430-2022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44732</v>
      </c>
      <c r="E425" s="1" t="n">
        <v>46262</v>
      </c>
      <c r="F425" t="inlineStr">
        <is>
          <t>VÄSTERNORRLANDS LÄN</t>
        </is>
      </c>
      <c r="G425" t="inlineStr">
        <is>
          <t>HÄRNÖSAND</t>
        </is>
      </c>
      <c r="I425" t="n">
        <v>18.7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44596</v>
      </c>
      <c r="E426" s="1" t="n">
        <v>46262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Övriga statliga verk och myndigheter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18575-2026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46127</v>
      </c>
      <c r="E427" s="1" t="n">
        <v>46262</v>
      </c>
      <c r="F427" t="inlineStr">
        <is>
          <t>VÄSTERNORRLANDS LÄN</t>
        </is>
      </c>
      <c r="G427" t="inlineStr">
        <is>
          <t>HÄRNÖSAND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21471-2022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44706</v>
      </c>
      <c r="E428" s="1" t="n">
        <v>46262</v>
      </c>
      <c r="F428" t="inlineStr">
        <is>
          <t>VÄSTERNORRLANDS LÄN</t>
        </is>
      </c>
      <c r="G428" t="inlineStr">
        <is>
          <t>HÄRNÖSAND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32421-2024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45512</v>
      </c>
      <c r="E429" s="1" t="n">
        <v>46262</v>
      </c>
      <c r="F429" t="inlineStr">
        <is>
          <t>VÄSTERNORRLANDS LÄN</t>
        </is>
      </c>
      <c r="G429" t="inlineStr">
        <is>
          <t>HÄRNÖSAND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19327-2026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46133</v>
      </c>
      <c r="E430" s="1" t="n">
        <v>46262</v>
      </c>
      <c r="F430" t="inlineStr">
        <is>
          <t>VÄSTERNORRLANDS LÄN</t>
        </is>
      </c>
      <c r="G430" t="inlineStr">
        <is>
          <t>HÄRNÖSAND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46262</v>
      </c>
      <c r="F431" t="inlineStr">
        <is>
          <t>VÄSTERNORRLANDS LÄN</t>
        </is>
      </c>
      <c r="G431" t="inlineStr">
        <is>
          <t>HÄRNÖSAND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46133</v>
      </c>
      <c r="E432" s="1" t="n">
        <v>46262</v>
      </c>
      <c r="F432" t="inlineStr">
        <is>
          <t>VÄSTERNORRLANDS LÄN</t>
        </is>
      </c>
      <c r="G432" t="inlineStr">
        <is>
          <t>HÄRNÖSAND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45646</v>
      </c>
      <c r="E433" s="1" t="n">
        <v>46262</v>
      </c>
      <c r="F433" t="inlineStr">
        <is>
          <t>VÄSTERNORRLANDS LÄN</t>
        </is>
      </c>
      <c r="G433" t="inlineStr">
        <is>
          <t>HÄRNÖSAND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4852-2024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46262</v>
      </c>
      <c r="F434" t="inlineStr">
        <is>
          <t>VÄSTERNORRLANDS LÄN</t>
        </is>
      </c>
      <c r="G434" t="inlineStr">
        <is>
          <t>HÄRNÖSAND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54091-2024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45616</v>
      </c>
      <c r="E435" s="1" t="n">
        <v>46262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3476-2024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46262</v>
      </c>
      <c r="F436" t="inlineStr">
        <is>
          <t>VÄSTERNORRLANDS LÄN</t>
        </is>
      </c>
      <c r="G436" t="inlineStr">
        <is>
          <t>HÄRNÖSAND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17431-2023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45035</v>
      </c>
      <c r="E437" s="1" t="n">
        <v>46262</v>
      </c>
      <c r="F437" t="inlineStr">
        <is>
          <t>VÄSTERNORRLANDS LÄN</t>
        </is>
      </c>
      <c r="G437" t="inlineStr">
        <is>
          <t>HÄRNÖSAND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45163</v>
      </c>
      <c r="E438" s="1" t="n">
        <v>46262</v>
      </c>
      <c r="F438" t="inlineStr">
        <is>
          <t>VÄSTERNORRLANDS LÄN</t>
        </is>
      </c>
      <c r="G438" t="inlineStr">
        <is>
          <t>HÄRNÖSAND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47552-2022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44853</v>
      </c>
      <c r="E439" s="1" t="n">
        <v>46262</v>
      </c>
      <c r="F439" t="inlineStr">
        <is>
          <t>VÄSTERNORRLANDS LÄN</t>
        </is>
      </c>
      <c r="G439" t="inlineStr">
        <is>
          <t>HÄRNÖSAND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34619-2023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45138</v>
      </c>
      <c r="E440" s="1" t="n">
        <v>46262</v>
      </c>
      <c r="F440" t="inlineStr">
        <is>
          <t>VÄSTERNORRLANDS LÄN</t>
        </is>
      </c>
      <c r="G440" t="inlineStr">
        <is>
          <t>HÄRNÖSAND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35595-2024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45531</v>
      </c>
      <c r="E441" s="1" t="n">
        <v>46262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44867</v>
      </c>
      <c r="E442" s="1" t="n">
        <v>46262</v>
      </c>
      <c r="F442" t="inlineStr">
        <is>
          <t>VÄSTERNORRLANDS LÄN</t>
        </is>
      </c>
      <c r="G442" t="inlineStr">
        <is>
          <t>HÄRNÖSAND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45390</v>
      </c>
      <c r="E443" s="1" t="n">
        <v>46262</v>
      </c>
      <c r="F443" t="inlineStr">
        <is>
          <t>VÄSTERNORRLANDS LÄN</t>
        </is>
      </c>
      <c r="G443" t="inlineStr">
        <is>
          <t>HÄRNÖSAND</t>
        </is>
      </c>
      <c r="I443" t="n">
        <v>14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8417-2026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46065</v>
      </c>
      <c r="E444" s="1" t="n">
        <v>46262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Kyrkan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2957-2025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45678</v>
      </c>
      <c r="E445" s="1" t="n">
        <v>46262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SCA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19900-2025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45771</v>
      </c>
      <c r="E446" s="1" t="n">
        <v>46262</v>
      </c>
      <c r="F446" t="inlineStr">
        <is>
          <t>VÄSTERNORRLANDS LÄN</t>
        </is>
      </c>
      <c r="G446" t="inlineStr">
        <is>
          <t>HÄRNÖSAND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45904</v>
      </c>
      <c r="E447" s="1" t="n">
        <v>46262</v>
      </c>
      <c r="F447" t="inlineStr">
        <is>
          <t>VÄSTERNORRLANDS LÄN</t>
        </is>
      </c>
      <c r="G447" t="inlineStr">
        <is>
          <t>HÄRNÖSAND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46024</v>
      </c>
      <c r="E448" s="1" t="n">
        <v>46262</v>
      </c>
      <c r="F448" t="inlineStr">
        <is>
          <t>VÄSTERNORRLANDS LÄN</t>
        </is>
      </c>
      <c r="G448" t="inlineStr">
        <is>
          <t>HÄRNÖSAND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46262</v>
      </c>
      <c r="F449" t="inlineStr">
        <is>
          <t>VÄSTERNORRLANDS LÄN</t>
        </is>
      </c>
      <c r="G449" t="inlineStr">
        <is>
          <t>HÄRNÖSAND</t>
        </is>
      </c>
      <c r="H449" t="inlineStr">
        <is>
          <t>Kyrkan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16979-2022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44676</v>
      </c>
      <c r="E450" s="1" t="n">
        <v>46262</v>
      </c>
      <c r="F450" t="inlineStr">
        <is>
          <t>VÄSTERNORRLANDS LÄN</t>
        </is>
      </c>
      <c r="G450" t="inlineStr">
        <is>
          <t>HÄRNÖSAND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45825</v>
      </c>
      <c r="E451" s="1" t="n">
        <v>46262</v>
      </c>
      <c r="F451" t="inlineStr">
        <is>
          <t>VÄSTERNORRLANDS LÄN</t>
        </is>
      </c>
      <c r="G451" t="inlineStr">
        <is>
          <t>HÄRNÖSAND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34612-2024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45526</v>
      </c>
      <c r="E452" s="1" t="n">
        <v>46262</v>
      </c>
      <c r="F452" t="inlineStr">
        <is>
          <t>VÄSTERNORRLANDS LÄN</t>
        </is>
      </c>
      <c r="G452" t="inlineStr">
        <is>
          <t>HÄRNÖSAND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14874-2023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45015</v>
      </c>
      <c r="E453" s="1" t="n">
        <v>46262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34011-2024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45523</v>
      </c>
      <c r="E454" s="1" t="n">
        <v>46262</v>
      </c>
      <c r="F454" t="inlineStr">
        <is>
          <t>VÄSTERNORRLANDS LÄN</t>
        </is>
      </c>
      <c r="G454" t="inlineStr">
        <is>
          <t>HÄRNÖSAND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38920-2025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45887</v>
      </c>
      <c r="E455" s="1" t="n">
        <v>46262</v>
      </c>
      <c r="F455" t="inlineStr">
        <is>
          <t>VÄSTERNORRLANDS LÄN</t>
        </is>
      </c>
      <c r="G455" t="inlineStr">
        <is>
          <t>HÄRNÖSAND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46262</v>
      </c>
      <c r="F456" t="inlineStr">
        <is>
          <t>VÄSTERNORRLANDS LÄN</t>
        </is>
      </c>
      <c r="G456" t="inlineStr">
        <is>
          <t>HÄRNÖSAND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45749</v>
      </c>
      <c r="E457" s="1" t="n">
        <v>46262</v>
      </c>
      <c r="F457" t="inlineStr">
        <is>
          <t>VÄSTERNORRLANDS LÄN</t>
        </is>
      </c>
      <c r="G457" t="inlineStr">
        <is>
          <t>HÄRNÖSAND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46262</v>
      </c>
      <c r="F458" t="inlineStr">
        <is>
          <t>VÄSTERNORRLANDS LÄN</t>
        </is>
      </c>
      <c r="G458" t="inlineStr">
        <is>
          <t>HÄRNÖSAND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20863-2026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46142</v>
      </c>
      <c r="E459" s="1" t="n">
        <v>46262</v>
      </c>
      <c r="F459" t="inlineStr">
        <is>
          <t>VÄSTERNORRLANDS LÄN</t>
        </is>
      </c>
      <c r="G459" t="inlineStr">
        <is>
          <t>HÄRNÖSAND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45313</v>
      </c>
      <c r="E460" s="1" t="n">
        <v>46262</v>
      </c>
      <c r="F460" t="inlineStr">
        <is>
          <t>VÄSTERNORRLANDS LÄN</t>
        </is>
      </c>
      <c r="G460" t="inlineStr">
        <is>
          <t>HÄRNÖSAND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46262</v>
      </c>
      <c r="F461" t="inlineStr">
        <is>
          <t>VÄSTERNORRLANDS LÄN</t>
        </is>
      </c>
      <c r="G461" t="inlineStr">
        <is>
          <t>HÄRNÖSAND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55895-2024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45622</v>
      </c>
      <c r="E462" s="1" t="n">
        <v>46262</v>
      </c>
      <c r="F462" t="inlineStr">
        <is>
          <t>VÄSTERNORRLANDS LÄN</t>
        </is>
      </c>
      <c r="G462" t="inlineStr">
        <is>
          <t>HÄRNÖSAND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44971</v>
      </c>
      <c r="E463" s="1" t="n">
        <v>46262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35969-2023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45148</v>
      </c>
      <c r="E464" s="1" t="n">
        <v>46262</v>
      </c>
      <c r="F464" t="inlineStr">
        <is>
          <t>VÄSTERNORRLANDS LÄN</t>
        </is>
      </c>
      <c r="G464" t="inlineStr">
        <is>
          <t>HÄRNÖSAND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56680-2023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45243</v>
      </c>
      <c r="E465" s="1" t="n">
        <v>46262</v>
      </c>
      <c r="F465" t="inlineStr">
        <is>
          <t>VÄSTERNORRLANDS LÄN</t>
        </is>
      </c>
      <c r="G465" t="inlineStr">
        <is>
          <t>HÄRNÖSAND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45687-2022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44845</v>
      </c>
      <c r="E466" s="1" t="n">
        <v>46262</v>
      </c>
      <c r="F466" t="inlineStr">
        <is>
          <t>VÄSTERNORRLANDS LÄN</t>
        </is>
      </c>
      <c r="G466" t="inlineStr">
        <is>
          <t>HÄRNÖSAND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21928-2026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46262</v>
      </c>
      <c r="F467" t="inlineStr">
        <is>
          <t>VÄSTERNORRLANDS LÄN</t>
        </is>
      </c>
      <c r="G467" t="inlineStr">
        <is>
          <t>HÄRNÖSAND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22142-2026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46262</v>
      </c>
      <c r="F468" t="inlineStr">
        <is>
          <t>VÄSTERNORRLANDS LÄN</t>
        </is>
      </c>
      <c r="G468" t="inlineStr">
        <is>
          <t>HÄRNÖSAND</t>
        </is>
      </c>
      <c r="I468" t="n">
        <v>16.7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46262</v>
      </c>
      <c r="F469" t="inlineStr">
        <is>
          <t>VÄSTERNORRLANDS LÄN</t>
        </is>
      </c>
      <c r="G469" t="inlineStr">
        <is>
          <t>HÄRNÖSAND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16875-2024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45409</v>
      </c>
      <c r="E470" s="1" t="n">
        <v>46262</v>
      </c>
      <c r="F470" t="inlineStr">
        <is>
          <t>VÄSTERNORRLANDS LÄN</t>
        </is>
      </c>
      <c r="G470" t="inlineStr">
        <is>
          <t>HÄRNÖSAND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44580</v>
      </c>
      <c r="E471" s="1" t="n">
        <v>46262</v>
      </c>
      <c r="F471" t="inlineStr">
        <is>
          <t>VÄSTERNORRLANDS LÄN</t>
        </is>
      </c>
      <c r="G471" t="inlineStr">
        <is>
          <t>HÄRNÖSAND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58588-2022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44894</v>
      </c>
      <c r="E472" s="1" t="n">
        <v>46262</v>
      </c>
      <c r="F472" t="inlineStr">
        <is>
          <t>VÄSTERNORRLANDS LÄN</t>
        </is>
      </c>
      <c r="G472" t="inlineStr">
        <is>
          <t>HÄRNÖSAND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46262</v>
      </c>
      <c r="F473" t="inlineStr">
        <is>
          <t>VÄSTERNORRLANDS LÄN</t>
        </is>
      </c>
      <c r="G473" t="inlineStr">
        <is>
          <t>HÄRNÖSAND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10549-2024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46262</v>
      </c>
      <c r="F474" t="inlineStr">
        <is>
          <t>VÄSTERNORRLANDS LÄN</t>
        </is>
      </c>
      <c r="G474" t="inlineStr">
        <is>
          <t>HÄRNÖSAND</t>
        </is>
      </c>
      <c r="I474" t="n">
        <v>8.4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47224-2025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46262</v>
      </c>
      <c r="F475" t="inlineStr">
        <is>
          <t>VÄSTERNORRLANDS LÄN</t>
        </is>
      </c>
      <c r="G475" t="inlineStr">
        <is>
          <t>HÄRNÖSAND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15821-2026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46107</v>
      </c>
      <c r="E476" s="1" t="n">
        <v>46262</v>
      </c>
      <c r="F476" t="inlineStr">
        <is>
          <t>VÄSTERNORRLANDS LÄN</t>
        </is>
      </c>
      <c r="G476" t="inlineStr">
        <is>
          <t>HÄRNÖSAND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59121-2023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45251</v>
      </c>
      <c r="E477" s="1" t="n">
        <v>46262</v>
      </c>
      <c r="F477" t="inlineStr">
        <is>
          <t>VÄSTERNORRLANDS LÄN</t>
        </is>
      </c>
      <c r="G477" t="inlineStr">
        <is>
          <t>HÄRNÖSAND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61102-2021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44498</v>
      </c>
      <c r="E478" s="1" t="n">
        <v>46262</v>
      </c>
      <c r="F478" t="inlineStr">
        <is>
          <t>VÄSTERNORRLANDS LÄN</t>
        </is>
      </c>
      <c r="G478" t="inlineStr">
        <is>
          <t>HÄRNÖSAND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11881-2024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45376</v>
      </c>
      <c r="E479" s="1" t="n">
        <v>46262</v>
      </c>
      <c r="F479" t="inlineStr">
        <is>
          <t>VÄSTERNORRLANDS LÄN</t>
        </is>
      </c>
      <c r="G479" t="inlineStr">
        <is>
          <t>HÄRNÖSAND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46161</v>
      </c>
      <c r="E480" s="1" t="n">
        <v>46262</v>
      </c>
      <c r="F480" t="inlineStr">
        <is>
          <t>VÄSTERNORRLANDS LÄN</t>
        </is>
      </c>
      <c r="G480" t="inlineStr">
        <is>
          <t>HÄRNÖSAND</t>
        </is>
      </c>
      <c r="I480" t="n">
        <v>9.199999999999999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46262</v>
      </c>
      <c r="F481" t="inlineStr">
        <is>
          <t>VÄSTERNORRLANDS LÄN</t>
        </is>
      </c>
      <c r="G481" t="inlineStr">
        <is>
          <t>HÄRNÖSAND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46262</v>
      </c>
      <c r="F482" t="inlineStr">
        <is>
          <t>VÄSTERNORRLANDS LÄN</t>
        </is>
      </c>
      <c r="G482" t="inlineStr">
        <is>
          <t>HÄRNÖSAND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45786</v>
      </c>
      <c r="E483" s="1" t="n">
        <v>46262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SCA</t>
        </is>
      </c>
      <c r="I483" t="n">
        <v>31.8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45790</v>
      </c>
      <c r="E484" s="1" t="n">
        <v>46262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31.8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23137-2026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46262</v>
      </c>
      <c r="F485" t="inlineStr">
        <is>
          <t>VÄSTERNORRLANDS LÄN</t>
        </is>
      </c>
      <c r="G485" t="inlineStr">
        <is>
          <t>HÄRNÖSAND</t>
        </is>
      </c>
      <c r="I485" t="n">
        <v>9.199999999999999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50338-2022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44865</v>
      </c>
      <c r="E486" s="1" t="n">
        <v>46262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46262</v>
      </c>
      <c r="F487" t="inlineStr">
        <is>
          <t>VÄSTERNORRLANDS LÄN</t>
        </is>
      </c>
      <c r="G487" t="inlineStr">
        <is>
          <t>HÄRNÖSAND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22990-2026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46160</v>
      </c>
      <c r="E488" s="1" t="n">
        <v>46262</v>
      </c>
      <c r="F488" t="inlineStr">
        <is>
          <t>VÄSTERNORRLANDS LÄN</t>
        </is>
      </c>
      <c r="G488" t="inlineStr">
        <is>
          <t>HÄRNÖSAND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27694-2025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45813</v>
      </c>
      <c r="E489" s="1" t="n">
        <v>46262</v>
      </c>
      <c r="F489" t="inlineStr">
        <is>
          <t>VÄSTERNORRLANDS LÄN</t>
        </is>
      </c>
      <c r="G489" t="inlineStr">
        <is>
          <t>HÄRNÖSAND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23140-2026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46161</v>
      </c>
      <c r="E490" s="1" t="n">
        <v>46262</v>
      </c>
      <c r="F490" t="inlineStr">
        <is>
          <t>VÄSTERNORRLANDS LÄN</t>
        </is>
      </c>
      <c r="G490" t="inlineStr">
        <is>
          <t>HÄRNÖSAND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23148-2026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46262</v>
      </c>
      <c r="F491" t="inlineStr">
        <is>
          <t>VÄSTERNORRLANDS LÄN</t>
        </is>
      </c>
      <c r="G491" t="inlineStr">
        <is>
          <t>HÄRNÖSAND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46161</v>
      </c>
      <c r="E492" s="1" t="n">
        <v>46262</v>
      </c>
      <c r="F492" t="inlineStr">
        <is>
          <t>VÄSTERNORRLANDS LÄN</t>
        </is>
      </c>
      <c r="G492" t="inlineStr">
        <is>
          <t>HÄRNÖSAND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23168-2026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46161</v>
      </c>
      <c r="E493" s="1" t="n">
        <v>46262</v>
      </c>
      <c r="F493" t="inlineStr">
        <is>
          <t>VÄSTERNORRLANDS LÄN</t>
        </is>
      </c>
      <c r="G493" t="inlineStr">
        <is>
          <t>HÄRNÖSAND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23182-2026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46161</v>
      </c>
      <c r="E494" s="1" t="n">
        <v>46262</v>
      </c>
      <c r="F494" t="inlineStr">
        <is>
          <t>VÄSTERNORRLANDS LÄN</t>
        </is>
      </c>
      <c r="G494" t="inlineStr">
        <is>
          <t>HÄRNÖSAND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23186-2026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46161</v>
      </c>
      <c r="E495" s="1" t="n">
        <v>46262</v>
      </c>
      <c r="F495" t="inlineStr">
        <is>
          <t>VÄSTERNORRLANDS LÄN</t>
        </is>
      </c>
      <c r="G495" t="inlineStr">
        <is>
          <t>HÄRNÖSAND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18979-2023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45044</v>
      </c>
      <c r="E496" s="1" t="n">
        <v>46262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31408-2024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45502</v>
      </c>
      <c r="E497" s="1" t="n">
        <v>46262</v>
      </c>
      <c r="F497" t="inlineStr">
        <is>
          <t>VÄSTERNORRLANDS LÄN</t>
        </is>
      </c>
      <c r="G497" t="inlineStr">
        <is>
          <t>HÄRNÖSAND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23233-2026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46162</v>
      </c>
      <c r="E498" s="1" t="n">
        <v>46262</v>
      </c>
      <c r="F498" t="inlineStr">
        <is>
          <t>VÄSTERNORRLANDS LÄN</t>
        </is>
      </c>
      <c r="G498" t="inlineStr">
        <is>
          <t>HÄRNÖSAND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23231-2026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46162</v>
      </c>
      <c r="E499" s="1" t="n">
        <v>46262</v>
      </c>
      <c r="F499" t="inlineStr">
        <is>
          <t>VÄSTERNORRLANDS LÄN</t>
        </is>
      </c>
      <c r="G499" t="inlineStr">
        <is>
          <t>HÄRNÖSAND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45832</v>
      </c>
      <c r="E500" s="1" t="n">
        <v>46262</v>
      </c>
      <c r="F500" t="inlineStr">
        <is>
          <t>VÄSTERNORRLANDS LÄN</t>
        </is>
      </c>
      <c r="G500" t="inlineStr">
        <is>
          <t>HÄRNÖSAND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24452-2022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44726</v>
      </c>
      <c r="E501" s="1" t="n">
        <v>46262</v>
      </c>
      <c r="F501" t="inlineStr">
        <is>
          <t>VÄSTERNORRLANDS LÄN</t>
        </is>
      </c>
      <c r="G501" t="inlineStr">
        <is>
          <t>HÄRNÖSAND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46262</v>
      </c>
      <c r="F502" t="inlineStr">
        <is>
          <t>VÄSTERNORRLANDS LÄN</t>
        </is>
      </c>
      <c r="G502" t="inlineStr">
        <is>
          <t>HÄRNÖSAND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46262</v>
      </c>
      <c r="F503" t="inlineStr">
        <is>
          <t>VÄSTERNORRLANDS LÄN</t>
        </is>
      </c>
      <c r="G503" t="inlineStr">
        <is>
          <t>HÄRNÖSAND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56165-2022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44889</v>
      </c>
      <c r="E504" s="1" t="n">
        <v>46262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59591-2024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45638</v>
      </c>
      <c r="E505" s="1" t="n">
        <v>46262</v>
      </c>
      <c r="F505" t="inlineStr">
        <is>
          <t>VÄSTERNORRLANDS LÄN</t>
        </is>
      </c>
      <c r="G505" t="inlineStr">
        <is>
          <t>HÄRNÖSAND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46262</v>
      </c>
      <c r="F506" t="inlineStr">
        <is>
          <t>VÄSTERNORRLANDS LÄN</t>
        </is>
      </c>
      <c r="G506" t="inlineStr">
        <is>
          <t>HÄRNÖSAND</t>
        </is>
      </c>
      <c r="I506" t="n">
        <v>13.8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29813-2022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44755</v>
      </c>
      <c r="E507" s="1" t="n">
        <v>46262</v>
      </c>
      <c r="F507" t="inlineStr">
        <is>
          <t>VÄSTERNORRLANDS LÄN</t>
        </is>
      </c>
      <c r="G507" t="inlineStr">
        <is>
          <t>HÄRNÖSAND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54252-2022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44881</v>
      </c>
      <c r="E508" s="1" t="n">
        <v>46262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46508-2023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45194</v>
      </c>
      <c r="E509" s="1" t="n">
        <v>46262</v>
      </c>
      <c r="F509" t="inlineStr">
        <is>
          <t>VÄSTERNORRLANDS LÄN</t>
        </is>
      </c>
      <c r="G509" t="inlineStr">
        <is>
          <t>HÄRNÖSAND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24120-2026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46168</v>
      </c>
      <c r="E510" s="1" t="n">
        <v>46262</v>
      </c>
      <c r="F510" t="inlineStr">
        <is>
          <t>VÄSTERNORRLANDS LÄN</t>
        </is>
      </c>
      <c r="G510" t="inlineStr">
        <is>
          <t>HÄRNÖSAND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58467-2025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45985</v>
      </c>
      <c r="E511" s="1" t="n">
        <v>46262</v>
      </c>
      <c r="F511" t="inlineStr">
        <is>
          <t>VÄSTERNORRLANDS LÄN</t>
        </is>
      </c>
      <c r="G511" t="inlineStr">
        <is>
          <t>HÄRNÖSAND</t>
        </is>
      </c>
      <c r="I511" t="n">
        <v>12.3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45505</v>
      </c>
      <c r="E512" s="1" t="n">
        <v>46262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SCA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46262</v>
      </c>
      <c r="F513" t="inlineStr">
        <is>
          <t>VÄSTERNORRLANDS LÄN</t>
        </is>
      </c>
      <c r="G513" t="inlineStr">
        <is>
          <t>HÄRNÖSAND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46320-2022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44847</v>
      </c>
      <c r="E514" s="1" t="n">
        <v>46262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Kyrkan</t>
        </is>
      </c>
      <c r="I514" t="n">
        <v>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46262</v>
      </c>
      <c r="F515" t="inlineStr">
        <is>
          <t>VÄSTERNORRLANDS LÄN</t>
        </is>
      </c>
      <c r="G515" t="inlineStr">
        <is>
          <t>HÄRNÖSAND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46174</v>
      </c>
      <c r="E516" s="1" t="n">
        <v>46262</v>
      </c>
      <c r="F516" t="inlineStr">
        <is>
          <t>VÄSTERNORRLANDS LÄN</t>
        </is>
      </c>
      <c r="G516" t="inlineStr">
        <is>
          <t>HÄRNÖSAND</t>
        </is>
      </c>
      <c r="I516" t="n">
        <v>5.6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46319-2022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44847</v>
      </c>
      <c r="E517" s="1" t="n">
        <v>46262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Kyrkan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11078-2025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46262</v>
      </c>
      <c r="F518" t="inlineStr">
        <is>
          <t>VÄSTERNORRLANDS LÄN</t>
        </is>
      </c>
      <c r="G518" t="inlineStr">
        <is>
          <t>HÄRNÖSAND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29279-2024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45482</v>
      </c>
      <c r="E519" s="1" t="n">
        <v>46262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SCA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43266-2025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45910</v>
      </c>
      <c r="E520" s="1" t="n">
        <v>46262</v>
      </c>
      <c r="F520" t="inlineStr">
        <is>
          <t>VÄSTERNORRLANDS LÄN</t>
        </is>
      </c>
      <c r="G520" t="inlineStr">
        <is>
          <t>HÄRNÖSAND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46262</v>
      </c>
      <c r="F521" t="inlineStr">
        <is>
          <t>VÄSTERNORRLANDS LÄN</t>
        </is>
      </c>
      <c r="G521" t="inlineStr">
        <is>
          <t>HÄRNÖSAND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23818-2026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46165</v>
      </c>
      <c r="E522" s="1" t="n">
        <v>46262</v>
      </c>
      <c r="F522" t="inlineStr">
        <is>
          <t>VÄSTERNORRLANDS LÄN</t>
        </is>
      </c>
      <c r="G522" t="inlineStr">
        <is>
          <t>HÄRNÖSAND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4818-2024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46262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4819-2024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46262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46262</v>
      </c>
      <c r="F525" t="inlineStr">
        <is>
          <t>VÄSTERNORRLANDS LÄN</t>
        </is>
      </c>
      <c r="G525" t="inlineStr">
        <is>
          <t>HÄRNÖSAND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13604-2024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45390</v>
      </c>
      <c r="E526" s="1" t="n">
        <v>46262</v>
      </c>
      <c r="F526" t="inlineStr">
        <is>
          <t>VÄSTERNORRLANDS LÄN</t>
        </is>
      </c>
      <c r="G526" t="inlineStr">
        <is>
          <t>HÄRNÖSAND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25248-2026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46262</v>
      </c>
      <c r="F527" t="inlineStr">
        <is>
          <t>VÄSTERNORRLANDS LÄN</t>
        </is>
      </c>
      <c r="G527" t="inlineStr">
        <is>
          <t>HÄRNÖSAND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46175</v>
      </c>
      <c r="E528" s="1" t="n">
        <v>46262</v>
      </c>
      <c r="F528" t="inlineStr">
        <is>
          <t>VÄSTERNORRLANDS LÄN</t>
        </is>
      </c>
      <c r="G528" t="inlineStr">
        <is>
          <t>HÄRNÖSAND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46262</v>
      </c>
      <c r="F529" t="inlineStr">
        <is>
          <t>VÄSTERNORRLANDS LÄN</t>
        </is>
      </c>
      <c r="G529" t="inlineStr">
        <is>
          <t>HÄRNÖSAND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60970-2021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44496</v>
      </c>
      <c r="E530" s="1" t="n">
        <v>46262</v>
      </c>
      <c r="F530" t="inlineStr">
        <is>
          <t>VÄSTERNORRLANDS LÄN</t>
        </is>
      </c>
      <c r="G530" t="inlineStr">
        <is>
          <t>HÄRNÖSAND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52987-2022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44875</v>
      </c>
      <c r="E531" s="1" t="n">
        <v>46262</v>
      </c>
      <c r="F531" t="inlineStr">
        <is>
          <t>VÄSTERNORRLANDS LÄN</t>
        </is>
      </c>
      <c r="G531" t="inlineStr">
        <is>
          <t>HÄRNÖSAND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25444-2026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46262</v>
      </c>
      <c r="F532" t="inlineStr">
        <is>
          <t>VÄSTERNORRLANDS LÄN</t>
        </is>
      </c>
      <c r="G532" t="inlineStr">
        <is>
          <t>HÄRNÖSAND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25451-2026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46177</v>
      </c>
      <c r="E533" s="1" t="n">
        <v>46262</v>
      </c>
      <c r="F533" t="inlineStr">
        <is>
          <t>VÄSTERNORRLANDS LÄN</t>
        </is>
      </c>
      <c r="G533" t="inlineStr">
        <is>
          <t>HÄRNÖSAND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25465-2026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46177</v>
      </c>
      <c r="E534" s="1" t="n">
        <v>46262</v>
      </c>
      <c r="F534" t="inlineStr">
        <is>
          <t>VÄSTERNORRLANDS LÄN</t>
        </is>
      </c>
      <c r="G534" t="inlineStr">
        <is>
          <t>HÄRNÖSAND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46262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47702-2021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44448</v>
      </c>
      <c r="E536" s="1" t="n">
        <v>46262</v>
      </c>
      <c r="F536" t="inlineStr">
        <is>
          <t>VÄSTERNORRLANDS LÄN</t>
        </is>
      </c>
      <c r="G536" t="inlineStr">
        <is>
          <t>HÄRNÖSAND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46262</v>
      </c>
      <c r="F537" t="inlineStr">
        <is>
          <t>VÄSTERNORRLANDS LÄN</t>
        </is>
      </c>
      <c r="G537" t="inlineStr">
        <is>
          <t>HÄRNÖSAND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69269-2021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44531</v>
      </c>
      <c r="E538" s="1" t="n">
        <v>46262</v>
      </c>
      <c r="F538" t="inlineStr">
        <is>
          <t>VÄSTERNORRLANDS LÄN</t>
        </is>
      </c>
      <c r="G538" t="inlineStr">
        <is>
          <t>HÄRNÖSAND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12267-2025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45729</v>
      </c>
      <c r="E539" s="1" t="n">
        <v>46262</v>
      </c>
      <c r="F539" t="inlineStr">
        <is>
          <t>VÄSTERNORRLANDS LÄN</t>
        </is>
      </c>
      <c r="G539" t="inlineStr">
        <is>
          <t>HÄRNÖSAND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46262</v>
      </c>
      <c r="F540" t="inlineStr">
        <is>
          <t>VÄSTERNORRLANDS LÄN</t>
        </is>
      </c>
      <c r="G540" t="inlineStr">
        <is>
          <t>HÄRNÖSAND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38146-2024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46262</v>
      </c>
      <c r="F541" t="inlineStr">
        <is>
          <t>VÄSTERNORRLANDS LÄN</t>
        </is>
      </c>
      <c r="G541" t="inlineStr">
        <is>
          <t>HÄRNÖSAND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49346-2024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45595</v>
      </c>
      <c r="E542" s="1" t="n">
        <v>46262</v>
      </c>
      <c r="F542" t="inlineStr">
        <is>
          <t>VÄSTERNORRLANDS LÄN</t>
        </is>
      </c>
      <c r="G542" t="inlineStr">
        <is>
          <t>HÄRNÖSAND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49364-2024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45595</v>
      </c>
      <c r="E543" s="1" t="n">
        <v>46262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64377-2023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45280</v>
      </c>
      <c r="E544" s="1" t="n">
        <v>46262</v>
      </c>
      <c r="F544" t="inlineStr">
        <is>
          <t>VÄSTERNORRLANDS LÄN</t>
        </is>
      </c>
      <c r="G544" t="inlineStr">
        <is>
          <t>HÄRNÖSAND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25466-2026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46177</v>
      </c>
      <c r="E545" s="1" t="n">
        <v>46262</v>
      </c>
      <c r="F545" t="inlineStr">
        <is>
          <t>VÄSTERNORRLANDS LÄN</t>
        </is>
      </c>
      <c r="G545" t="inlineStr">
        <is>
          <t>HÄRNÖSAND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19827-2022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44694</v>
      </c>
      <c r="E546" s="1" t="n">
        <v>46262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44743</v>
      </c>
      <c r="E547" s="1" t="n">
        <v>46262</v>
      </c>
      <c r="F547" t="inlineStr">
        <is>
          <t>VÄSTERNORRLANDS LÄN</t>
        </is>
      </c>
      <c r="G547" t="inlineStr">
        <is>
          <t>HÄRNÖSAND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25974-2026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46262</v>
      </c>
      <c r="F548" t="inlineStr">
        <is>
          <t>VÄSTERNORRLANDS LÄN</t>
        </is>
      </c>
      <c r="G548" t="inlineStr">
        <is>
          <t>HÄRNÖSAND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37172-2022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44806</v>
      </c>
      <c r="E549" s="1" t="n">
        <v>46262</v>
      </c>
      <c r="F549" t="inlineStr">
        <is>
          <t>VÄSTERNORRLANDS LÄN</t>
        </is>
      </c>
      <c r="G549" t="inlineStr">
        <is>
          <t>HÄRNÖSAND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26256-2026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46262</v>
      </c>
      <c r="F550" t="inlineStr">
        <is>
          <t>VÄSTERNORRLANDS LÄN</t>
        </is>
      </c>
      <c r="G550" t="inlineStr">
        <is>
          <t>HÄRNÖSAND</t>
        </is>
      </c>
      <c r="I550" t="n">
        <v>7.5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44806</v>
      </c>
      <c r="E551" s="1" t="n">
        <v>46262</v>
      </c>
      <c r="F551" t="inlineStr">
        <is>
          <t>VÄSTERNORRLANDS LÄN</t>
        </is>
      </c>
      <c r="G551" t="inlineStr">
        <is>
          <t>HÄRNÖSAND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45714</v>
      </c>
      <c r="E552" s="1" t="n">
        <v>46262</v>
      </c>
      <c r="F552" t="inlineStr">
        <is>
          <t>VÄSTERNORRLANDS LÄN</t>
        </is>
      </c>
      <c r="G552" t="inlineStr">
        <is>
          <t>HÄRNÖSAND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55058-2023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45229</v>
      </c>
      <c r="E553" s="1" t="n">
        <v>46262</v>
      </c>
      <c r="F553" t="inlineStr">
        <is>
          <t>VÄSTERNORRLANDS LÄN</t>
        </is>
      </c>
      <c r="G553" t="inlineStr">
        <is>
          <t>HÄRNÖSAND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25981-2026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46181</v>
      </c>
      <c r="E554" s="1" t="n">
        <v>46262</v>
      </c>
      <c r="F554" t="inlineStr">
        <is>
          <t>VÄSTERNORRLANDS LÄN</t>
        </is>
      </c>
      <c r="G554" t="inlineStr">
        <is>
          <t>HÄRNÖSAND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26667-2026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46184</v>
      </c>
      <c r="E555" s="1" t="n">
        <v>46262</v>
      </c>
      <c r="F555" t="inlineStr">
        <is>
          <t>VÄSTERNORRLANDS LÄN</t>
        </is>
      </c>
      <c r="G555" t="inlineStr">
        <is>
          <t>HÄRNÖSAND</t>
        </is>
      </c>
      <c r="I555" t="n">
        <v>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11043-2023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44991</v>
      </c>
      <c r="E556" s="1" t="n">
        <v>46262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58869-2023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45250</v>
      </c>
      <c r="E557" s="1" t="n">
        <v>46262</v>
      </c>
      <c r="F557" t="inlineStr">
        <is>
          <t>VÄSTERNORRLANDS LÄN</t>
        </is>
      </c>
      <c r="G557" t="inlineStr">
        <is>
          <t>HÄRNÖSAND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45921-2024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45580</v>
      </c>
      <c r="E558" s="1" t="n">
        <v>46262</v>
      </c>
      <c r="F558" t="inlineStr">
        <is>
          <t>VÄSTERNORRLANDS LÄN</t>
        </is>
      </c>
      <c r="G558" t="inlineStr">
        <is>
          <t>HÄRNÖSAND</t>
        </is>
      </c>
      <c r="I558" t="n">
        <v>14.2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46188</v>
      </c>
      <c r="E559" s="1" t="n">
        <v>46262</v>
      </c>
      <c r="F559" t="inlineStr">
        <is>
          <t>VÄSTERNORRLANDS LÄN</t>
        </is>
      </c>
      <c r="G559" t="inlineStr">
        <is>
          <t>HÄRNÖSAND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25745-2025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45800</v>
      </c>
      <c r="E560" s="1" t="n">
        <v>46262</v>
      </c>
      <c r="F560" t="inlineStr">
        <is>
          <t>VÄSTERNORRLANDS LÄN</t>
        </is>
      </c>
      <c r="G560" t="inlineStr">
        <is>
          <t>HÄRNÖSAND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64749-2023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45281</v>
      </c>
      <c r="E561" s="1" t="n">
        <v>46262</v>
      </c>
      <c r="F561" t="inlineStr">
        <is>
          <t>VÄSTERNORRLANDS LÄN</t>
        </is>
      </c>
      <c r="G561" t="inlineStr">
        <is>
          <t>HÄRNÖSAND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46189</v>
      </c>
      <c r="E562" s="1" t="n">
        <v>46262</v>
      </c>
      <c r="F562" t="inlineStr">
        <is>
          <t>VÄSTERNORRLANDS LÄN</t>
        </is>
      </c>
      <c r="G562" t="inlineStr">
        <is>
          <t>HÄRNÖSAND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46189</v>
      </c>
      <c r="E563" s="1" t="n">
        <v>46262</v>
      </c>
      <c r="F563" t="inlineStr">
        <is>
          <t>VÄSTERNORRLANDS LÄN</t>
        </is>
      </c>
      <c r="G563" t="inlineStr">
        <is>
          <t>HÄRNÖSAND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46189</v>
      </c>
      <c r="E564" s="1" t="n">
        <v>46262</v>
      </c>
      <c r="F564" t="inlineStr">
        <is>
          <t>VÄSTERNORRLANDS LÄN</t>
        </is>
      </c>
      <c r="G564" t="inlineStr">
        <is>
          <t>HÄRNÖSAND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6258-2023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44957</v>
      </c>
      <c r="E565" s="1" t="n">
        <v>46262</v>
      </c>
      <c r="F565" t="inlineStr">
        <is>
          <t>VÄSTERNORRLANDS LÄN</t>
        </is>
      </c>
      <c r="G565" t="inlineStr">
        <is>
          <t>HÄRNÖSAND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46232</v>
      </c>
      <c r="E566" s="1" t="n">
        <v>46262</v>
      </c>
      <c r="F566" t="inlineStr">
        <is>
          <t>VÄSTERNORRLANDS LÄN</t>
        </is>
      </c>
      <c r="G566" t="inlineStr">
        <is>
          <t>HÄRNÖSAND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46189</v>
      </c>
      <c r="E567" s="1" t="n">
        <v>46262</v>
      </c>
      <c r="F567" t="inlineStr">
        <is>
          <t>VÄSTERNORRLANDS LÄN</t>
        </is>
      </c>
      <c r="G567" t="inlineStr">
        <is>
          <t>HÄRNÖSAND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61776-2023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45265</v>
      </c>
      <c r="E568" s="1" t="n">
        <v>46262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27421-2026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46189</v>
      </c>
      <c r="E569" s="1" t="n">
        <v>46262</v>
      </c>
      <c r="F569" t="inlineStr">
        <is>
          <t>VÄSTERNORRLANDS LÄN</t>
        </is>
      </c>
      <c r="G569" t="inlineStr">
        <is>
          <t>HÄRNÖSAND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27544-2026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46262</v>
      </c>
      <c r="F570" t="inlineStr">
        <is>
          <t>VÄSTERNORRLANDS LÄN</t>
        </is>
      </c>
      <c r="G570" t="inlineStr">
        <is>
          <t>HÄRNÖSAND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46189</v>
      </c>
      <c r="E571" s="1" t="n">
        <v>46262</v>
      </c>
      <c r="F571" t="inlineStr">
        <is>
          <t>VÄSTERNORRLANDS LÄN</t>
        </is>
      </c>
      <c r="G571" t="inlineStr">
        <is>
          <t>HÄRNÖSAND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27977-2024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45476</v>
      </c>
      <c r="E572" s="1" t="n">
        <v>46262</v>
      </c>
      <c r="F572" t="inlineStr">
        <is>
          <t>VÄSTERNORRLANDS LÄN</t>
        </is>
      </c>
      <c r="G572" t="inlineStr">
        <is>
          <t>HÄRNÖSAND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46191</v>
      </c>
      <c r="E573" s="1" t="n">
        <v>46262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27976-2024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45476</v>
      </c>
      <c r="E574" s="1" t="n">
        <v>46262</v>
      </c>
      <c r="F574" t="inlineStr">
        <is>
          <t>VÄSTERNORRLANDS LÄN</t>
        </is>
      </c>
      <c r="G574" t="inlineStr">
        <is>
          <t>HÄRNÖSAND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32293-2026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46237</v>
      </c>
      <c r="E575" s="1" t="n">
        <v>46262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39498-2023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45166</v>
      </c>
      <c r="E576" s="1" t="n">
        <v>46262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48047-2022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44855</v>
      </c>
      <c r="E577" s="1" t="n">
        <v>46262</v>
      </c>
      <c r="F577" t="inlineStr">
        <is>
          <t>VÄSTERNORRLANDS LÄN</t>
        </is>
      </c>
      <c r="G577" t="inlineStr">
        <is>
          <t>HÄRNÖSAND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56395-2022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44890</v>
      </c>
      <c r="E578" s="1" t="n">
        <v>46262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Kyrkan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46195</v>
      </c>
      <c r="E579" s="1" t="n">
        <v>46262</v>
      </c>
      <c r="F579" t="inlineStr">
        <is>
          <t>VÄSTERNORRLANDS LÄN</t>
        </is>
      </c>
      <c r="G579" t="inlineStr">
        <is>
          <t>HÄRNÖSAND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46262</v>
      </c>
      <c r="F580" t="inlineStr">
        <is>
          <t>VÄSTERNORRLANDS LÄN</t>
        </is>
      </c>
      <c r="G580" t="inlineStr">
        <is>
          <t>HÄRNÖSAND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32485-2026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46239</v>
      </c>
      <c r="E581" s="1" t="n">
        <v>46262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28032-2026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46195</v>
      </c>
      <c r="E582" s="1" t="n">
        <v>46262</v>
      </c>
      <c r="F582" t="inlineStr">
        <is>
          <t>VÄSTERNORRLANDS LÄN</t>
        </is>
      </c>
      <c r="G582" t="inlineStr">
        <is>
          <t>HÄRNÖSAND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46262</v>
      </c>
      <c r="F583" t="inlineStr">
        <is>
          <t>VÄSTERNORRLANDS LÄN</t>
        </is>
      </c>
      <c r="G583" t="inlineStr">
        <is>
          <t>HÄRNÖSAND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28005-2026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46195</v>
      </c>
      <c r="E584" s="1" t="n">
        <v>46262</v>
      </c>
      <c r="F584" t="inlineStr">
        <is>
          <t>VÄSTERNORRLANDS LÄN</t>
        </is>
      </c>
      <c r="G584" t="inlineStr">
        <is>
          <t>HÄRNÖSAND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28004-2026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46262</v>
      </c>
      <c r="F585" t="inlineStr">
        <is>
          <t>VÄSTERNORRLANDS LÄN</t>
        </is>
      </c>
      <c r="G585" t="inlineStr">
        <is>
          <t>HÄRNÖSAND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44945</v>
      </c>
      <c r="E586" s="1" t="n">
        <v>46262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59034-2022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44903</v>
      </c>
      <c r="E587" s="1" t="n">
        <v>46262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59155-2023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45251</v>
      </c>
      <c r="E588" s="1" t="n">
        <v>46262</v>
      </c>
      <c r="F588" t="inlineStr">
        <is>
          <t>VÄSTERNORRLANDS LÄN</t>
        </is>
      </c>
      <c r="G588" t="inlineStr">
        <is>
          <t>HÄRNÖSAND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32418-2024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45512</v>
      </c>
      <c r="E589" s="1" t="n">
        <v>46262</v>
      </c>
      <c r="F589" t="inlineStr">
        <is>
          <t>VÄSTERNORRLANDS LÄN</t>
        </is>
      </c>
      <c r="G589" t="inlineStr">
        <is>
          <t>HÄRNÖSAND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11042-2025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45723</v>
      </c>
      <c r="E590" s="1" t="n">
        <v>46262</v>
      </c>
      <c r="F590" t="inlineStr">
        <is>
          <t>VÄSTERNORRLANDS LÄN</t>
        </is>
      </c>
      <c r="G590" t="inlineStr">
        <is>
          <t>HÄRNÖSAND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61574-2021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44497</v>
      </c>
      <c r="E591" s="1" t="n">
        <v>46262</v>
      </c>
      <c r="F591" t="inlineStr">
        <is>
          <t>VÄSTERNORRLANDS LÄN</t>
        </is>
      </c>
      <c r="G591" t="inlineStr">
        <is>
          <t>HÄRNÖSAND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62333-2021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44502</v>
      </c>
      <c r="E592" s="1" t="n">
        <v>46262</v>
      </c>
      <c r="F592" t="inlineStr">
        <is>
          <t>VÄSTERNORRLANDS LÄN</t>
        </is>
      </c>
      <c r="G592" t="inlineStr">
        <is>
          <t>HÄRNÖSAND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4092-2024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46262</v>
      </c>
      <c r="F593" t="inlineStr">
        <is>
          <t>VÄSTERNORRLANDS LÄN</t>
        </is>
      </c>
      <c r="G593" t="inlineStr">
        <is>
          <t>HÄRNÖSAND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32847-2026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46262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Kyrkan</t>
        </is>
      </c>
      <c r="I594" t="n">
        <v>24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29450-2026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46262</v>
      </c>
      <c r="F595" t="inlineStr">
        <is>
          <t>VÄSTERNORRLANDS LÄN</t>
        </is>
      </c>
      <c r="G595" t="inlineStr">
        <is>
          <t>HÄRNÖSAND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19317-2026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46133</v>
      </c>
      <c r="E596" s="1" t="n">
        <v>46262</v>
      </c>
      <c r="F596" t="inlineStr">
        <is>
          <t>VÄSTERNORRLANDS LÄN</t>
        </is>
      </c>
      <c r="G596" t="inlineStr">
        <is>
          <t>HÄRNÖSAND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29483-2026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46203</v>
      </c>
      <c r="E597" s="1" t="n">
        <v>46262</v>
      </c>
      <c r="F597" t="inlineStr">
        <is>
          <t>VÄSTERNORRLANDS LÄN</t>
        </is>
      </c>
      <c r="G597" t="inlineStr">
        <is>
          <t>HÄRNÖSAND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59715-2024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45639</v>
      </c>
      <c r="E598" s="1" t="n">
        <v>46262</v>
      </c>
      <c r="F598" t="inlineStr">
        <is>
          <t>VÄSTERNORRLANDS LÄN</t>
        </is>
      </c>
      <c r="G598" t="inlineStr">
        <is>
          <t>HÄRNÖSAND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8220-2022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44609</v>
      </c>
      <c r="E599" s="1" t="n">
        <v>46262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Övriga statliga verk och myndigheter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46262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4648-2023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44952</v>
      </c>
      <c r="E601" s="1" t="n">
        <v>46262</v>
      </c>
      <c r="F601" t="inlineStr">
        <is>
          <t>VÄSTERNORRLANDS LÄN</t>
        </is>
      </c>
      <c r="G601" t="inlineStr">
        <is>
          <t>HÄRNÖSAND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46204</v>
      </c>
      <c r="E602" s="1" t="n">
        <v>46262</v>
      </c>
      <c r="F602" t="inlineStr">
        <is>
          <t>VÄSTERNORRLANDS LÄN</t>
        </is>
      </c>
      <c r="G602" t="inlineStr">
        <is>
          <t>HÄRNÖSAND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29716-2026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46262</v>
      </c>
      <c r="F603" t="inlineStr">
        <is>
          <t>VÄSTERNORRLANDS LÄN</t>
        </is>
      </c>
      <c r="G603" t="inlineStr">
        <is>
          <t>HÄRNÖSAND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46262</v>
      </c>
      <c r="F604" t="inlineStr">
        <is>
          <t>VÄSTERNORRLANDS LÄN</t>
        </is>
      </c>
      <c r="G604" t="inlineStr">
        <is>
          <t>HÄRNÖSAND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29742-2026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46262</v>
      </c>
      <c r="F605" t="inlineStr">
        <is>
          <t>VÄSTERNORRLANDS LÄN</t>
        </is>
      </c>
      <c r="G605" t="inlineStr">
        <is>
          <t>HÄRNÖSAND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29754-2026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46262</v>
      </c>
      <c r="F606" t="inlineStr">
        <is>
          <t>VÄSTERNORRLANDS LÄN</t>
        </is>
      </c>
      <c r="G606" t="inlineStr">
        <is>
          <t>HÄRNÖSAND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46205</v>
      </c>
      <c r="E607" s="1" t="n">
        <v>46262</v>
      </c>
      <c r="F607" t="inlineStr">
        <is>
          <t>VÄSTERNORRLANDS LÄN</t>
        </is>
      </c>
      <c r="G607" t="inlineStr">
        <is>
          <t>HÄRNÖSAND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46205</v>
      </c>
      <c r="E608" s="1" t="n">
        <v>46262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28319-2022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44747</v>
      </c>
      <c r="E609" s="1" t="n">
        <v>46262</v>
      </c>
      <c r="F609" t="inlineStr">
        <is>
          <t>VÄSTERNORRLANDS LÄN</t>
        </is>
      </c>
      <c r="G609" t="inlineStr">
        <is>
          <t>HÄRNÖSAND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29877-2026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46205</v>
      </c>
      <c r="E610" s="1" t="n">
        <v>46262</v>
      </c>
      <c r="F610" t="inlineStr">
        <is>
          <t>VÄSTERNORRLANDS LÄN</t>
        </is>
      </c>
      <c r="G610" t="inlineStr">
        <is>
          <t>HÄRNÖSAND</t>
        </is>
      </c>
      <c r="I610" t="n">
        <v>14.6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36496-2023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45152</v>
      </c>
      <c r="E611" s="1" t="n">
        <v>46262</v>
      </c>
      <c r="F611" t="inlineStr">
        <is>
          <t>VÄSTERNORRLANDS LÄN</t>
        </is>
      </c>
      <c r="G611" t="inlineStr">
        <is>
          <t>HÄRNÖSAND</t>
        </is>
      </c>
      <c r="I611" t="n">
        <v>5.5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33747-2026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46262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28368-2023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45099</v>
      </c>
      <c r="E613" s="1" t="n">
        <v>46262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46262</v>
      </c>
      <c r="F614" t="inlineStr">
        <is>
          <t>VÄSTERNORRLANDS LÄN</t>
        </is>
      </c>
      <c r="G614" t="inlineStr">
        <is>
          <t>HÄRNÖSAND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30171-2026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46262</v>
      </c>
      <c r="F615" t="inlineStr">
        <is>
          <t>VÄSTERNORRLANDS LÄN</t>
        </is>
      </c>
      <c r="G615" t="inlineStr">
        <is>
          <t>HÄRNÖSAND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46262</v>
      </c>
      <c r="F616" t="inlineStr">
        <is>
          <t>VÄSTERNORRLANDS LÄN</t>
        </is>
      </c>
      <c r="G616" t="inlineStr">
        <is>
          <t>HÄRNÖSAND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45800</v>
      </c>
      <c r="E617" s="1" t="n">
        <v>46262</v>
      </c>
      <c r="F617" t="inlineStr">
        <is>
          <t>VÄSTERNORRLANDS LÄN</t>
        </is>
      </c>
      <c r="G617" t="inlineStr">
        <is>
          <t>HÄRNÖSAND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30201-2026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46262</v>
      </c>
      <c r="F618" t="inlineStr">
        <is>
          <t>VÄSTERNORRLANDS LÄN</t>
        </is>
      </c>
      <c r="G618" t="inlineStr">
        <is>
          <t>HÄRNÖSAND</t>
        </is>
      </c>
      <c r="I618" t="n">
        <v>7.9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30182-2026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46206</v>
      </c>
      <c r="E619" s="1" t="n">
        <v>46262</v>
      </c>
      <c r="F619" t="inlineStr">
        <is>
          <t>VÄSTERNORRLANDS LÄN</t>
        </is>
      </c>
      <c r="G619" t="inlineStr">
        <is>
          <t>HÄRNÖSAND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33659-2026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46248</v>
      </c>
      <c r="E620" s="1" t="n">
        <v>46262</v>
      </c>
      <c r="F620" t="inlineStr">
        <is>
          <t>VÄSTERNORRLANDS LÄN</t>
        </is>
      </c>
      <c r="G620" t="inlineStr">
        <is>
          <t>HÄRNÖSAND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46262</v>
      </c>
      <c r="F621" t="inlineStr">
        <is>
          <t>VÄSTERNORRLANDS LÄN</t>
        </is>
      </c>
      <c r="G621" t="inlineStr">
        <is>
          <t>HÄRNÖSAND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12533-2023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45000</v>
      </c>
      <c r="E622" s="1" t="n">
        <v>46262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12543-2023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45000</v>
      </c>
      <c r="E623" s="1" t="n">
        <v>46262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39954-2022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44819</v>
      </c>
      <c r="E624" s="1" t="n">
        <v>46262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34028-2026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46252</v>
      </c>
      <c r="E625" s="1" t="n">
        <v>46262</v>
      </c>
      <c r="F625" t="inlineStr">
        <is>
          <t>VÄSTERNORRLANDS LÄN</t>
        </is>
      </c>
      <c r="G625" t="inlineStr">
        <is>
          <t>HÄRNÖSAND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18348-2025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45762</v>
      </c>
      <c r="E626" s="1" t="n">
        <v>46262</v>
      </c>
      <c r="F626" t="inlineStr">
        <is>
          <t>VÄSTERNORRLANDS LÄN</t>
        </is>
      </c>
      <c r="G626" t="inlineStr">
        <is>
          <t>HÄRNÖSAND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46273-2021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44442</v>
      </c>
      <c r="E627" s="1" t="n">
        <v>46262</v>
      </c>
      <c r="F627" t="inlineStr">
        <is>
          <t>VÄSTERNORRLANDS LÄN</t>
        </is>
      </c>
      <c r="G627" t="inlineStr">
        <is>
          <t>HÄRNÖSAND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46209</v>
      </c>
      <c r="E628" s="1" t="n">
        <v>46262</v>
      </c>
      <c r="F628" t="inlineStr">
        <is>
          <t>VÄSTERNORRLANDS LÄN</t>
        </is>
      </c>
      <c r="G628" t="inlineStr">
        <is>
          <t>HÄRNÖSAND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39044-2023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45163</v>
      </c>
      <c r="E629" s="1" t="n">
        <v>46262</v>
      </c>
      <c r="F629" t="inlineStr">
        <is>
          <t>VÄSTERNORRLANDS LÄN</t>
        </is>
      </c>
      <c r="G629" t="inlineStr">
        <is>
          <t>HÄRNÖSAND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30710-2026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46262</v>
      </c>
      <c r="F630" t="inlineStr">
        <is>
          <t>VÄSTERNORRLANDS LÄN</t>
        </is>
      </c>
      <c r="G630" t="inlineStr">
        <is>
          <t>HÄRNÖSAND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45107</v>
      </c>
      <c r="E631" s="1" t="n">
        <v>46262</v>
      </c>
      <c r="F631" t="inlineStr">
        <is>
          <t>VÄSTERNORRLANDS LÄN</t>
        </is>
      </c>
      <c r="G631" t="inlineStr">
        <is>
          <t>HÄRNÖSAND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45685</v>
      </c>
      <c r="E632" s="1" t="n">
        <v>46262</v>
      </c>
      <c r="F632" t="inlineStr">
        <is>
          <t>VÄSTERNORRLANDS LÄN</t>
        </is>
      </c>
      <c r="G632" t="inlineStr">
        <is>
          <t>HÄRNÖSAND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46262</v>
      </c>
      <c r="F633" t="inlineStr">
        <is>
          <t>VÄSTERNORRLANDS LÄN</t>
        </is>
      </c>
      <c r="G633" t="inlineStr">
        <is>
          <t>HÄRNÖSAND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20822-2025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45776</v>
      </c>
      <c r="E634" s="1" t="n">
        <v>46262</v>
      </c>
      <c r="F634" t="inlineStr">
        <is>
          <t>VÄSTERNORRLANDS LÄN</t>
        </is>
      </c>
      <c r="G634" t="inlineStr">
        <is>
          <t>HÄRNÖSAND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45776</v>
      </c>
      <c r="E635" s="1" t="n">
        <v>46262</v>
      </c>
      <c r="F635" t="inlineStr">
        <is>
          <t>VÄSTERNORRLANDS LÄN</t>
        </is>
      </c>
      <c r="G635" t="inlineStr">
        <is>
          <t>HÄRNÖSAND</t>
        </is>
      </c>
      <c r="I635" t="n">
        <v>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30907-2026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46262</v>
      </c>
      <c r="F636" t="inlineStr">
        <is>
          <t>VÄSTERNORRLANDS LÄN</t>
        </is>
      </c>
      <c r="G636" t="inlineStr">
        <is>
          <t>HÄRNÖSAND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45782</v>
      </c>
      <c r="E637" s="1" t="n">
        <v>46262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32.1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30893-2026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46262</v>
      </c>
      <c r="F638" t="inlineStr">
        <is>
          <t>VÄSTERNORRLANDS LÄN</t>
        </is>
      </c>
      <c r="G638" t="inlineStr">
        <is>
          <t>HÄRNÖSAND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34768-2026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46262</v>
      </c>
      <c r="F639" t="inlineStr">
        <is>
          <t>VÄSTERNORRLANDS LÄN</t>
        </is>
      </c>
      <c r="G639" t="inlineStr">
        <is>
          <t>HÄRNÖSAND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46215</v>
      </c>
      <c r="E640" s="1" t="n">
        <v>46262</v>
      </c>
      <c r="F640" t="inlineStr">
        <is>
          <t>VÄSTERNORRLANDS LÄN</t>
        </is>
      </c>
      <c r="G640" t="inlineStr">
        <is>
          <t>HÄRNÖSAND</t>
        </is>
      </c>
      <c r="I640" t="n">
        <v>12.7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46215</v>
      </c>
      <c r="E641" s="1" t="n">
        <v>46262</v>
      </c>
      <c r="F641" t="inlineStr">
        <is>
          <t>VÄSTERNORRLANDS LÄN</t>
        </is>
      </c>
      <c r="G641" t="inlineStr">
        <is>
          <t>HÄRNÖSAND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7793-2024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45348</v>
      </c>
      <c r="E642" s="1" t="n">
        <v>46262</v>
      </c>
      <c r="F642" t="inlineStr">
        <is>
          <t>VÄSTERNORRLANDS LÄN</t>
        </is>
      </c>
      <c r="G642" t="inlineStr">
        <is>
          <t>HÄRNÖSAND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30971-2026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46213</v>
      </c>
      <c r="E643" s="1" t="n">
        <v>46262</v>
      </c>
      <c r="F643" t="inlineStr">
        <is>
          <t>VÄSTERNORRLANDS LÄN</t>
        </is>
      </c>
      <c r="G643" t="inlineStr">
        <is>
          <t>HÄRNÖSAND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30976-2026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46213</v>
      </c>
      <c r="E644" s="1" t="n">
        <v>46262</v>
      </c>
      <c r="F644" t="inlineStr">
        <is>
          <t>VÄSTERNORRLANDS LÄN</t>
        </is>
      </c>
      <c r="G644" t="inlineStr">
        <is>
          <t>HÄRNÖSAND</t>
        </is>
      </c>
      <c r="I644" t="n">
        <v>13.6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35125-2026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46260</v>
      </c>
      <c r="E645" s="1" t="n">
        <v>46262</v>
      </c>
      <c r="F645" t="inlineStr">
        <is>
          <t>VÄSTERNORRLANDS LÄN</t>
        </is>
      </c>
      <c r="G645" t="inlineStr">
        <is>
          <t>HÄRNÖSAND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31503-2026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46219</v>
      </c>
      <c r="E646" s="1" t="n">
        <v>46262</v>
      </c>
      <c r="F646" t="inlineStr">
        <is>
          <t>VÄSTERNORRLANDS LÄN</t>
        </is>
      </c>
      <c r="G646" t="inlineStr">
        <is>
          <t>HÄRNÖSAND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31504-2026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46219</v>
      </c>
      <c r="E647" s="1" t="n">
        <v>46262</v>
      </c>
      <c r="F647" t="inlineStr">
        <is>
          <t>VÄSTERNORRLANDS LÄN</t>
        </is>
      </c>
      <c r="G647" t="inlineStr">
        <is>
          <t>HÄRNÖSAND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46219</v>
      </c>
      <c r="E648" s="1" t="n">
        <v>46262</v>
      </c>
      <c r="F648" t="inlineStr">
        <is>
          <t>VÄSTERNORRLANDS LÄN</t>
        </is>
      </c>
      <c r="G648" t="inlineStr">
        <is>
          <t>HÄRNÖSAND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46262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46262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46262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46262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46262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46262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46262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46262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46262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2026-08-28T01:54:02Z</dcterms:created>
  <dcterms:modified xmlns:dcterms="http://purl.org/dc/terms/" xmlns:xsi="http://www.w3.org/2001/XMLSchema-instance" xsi:type="dcterms:W3CDTF">2026-08-28T01:54:03Z</dcterms:modified>
</cp:coreProperties>
</file>