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46273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46273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46273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46273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46273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46273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46273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46273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46273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46273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46273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46273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46273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46273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46273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46273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46273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46273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46273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46273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46273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46273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46273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46273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46273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46273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46273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46273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46273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46273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46273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46273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55337-2025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46273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2.9</v>
      </c>
      <c r="J37" t="n">
        <v>0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Garnlav
Lunglav
Korallblylav
Skinnlav</t>
        </is>
      </c>
      <c r="W37">
        <f>HYPERLINK("https://klasma.github.io/Logging_2280/artfynd/A 55337-2025 artfynd.xlsx", "A 55337-2025")</f>
        <v/>
      </c>
      <c r="X37">
        <f>HYPERLINK("https://klasma.github.io/Logging_2280/kartor/A 55337-2025 karta.png", "A 55337-2025")</f>
        <v/>
      </c>
      <c r="Y37">
        <f>HYPERLINK("https://klasma.github.io/Logging_2280/kartor_geotiff/A 55337-2025 georefererad karta.tif", "A 55337-2025")</f>
        <v/>
      </c>
      <c r="AA37">
        <f>HYPERLINK("https://klasma.github.io/Logging_2280/klagomål/A 55337-2025 FSC-klagomål.docx", "A 55337-2025")</f>
        <v/>
      </c>
      <c r="AB37">
        <f>HYPERLINK("https://klasma.github.io/Logging_2280/klagomålsmail/A 55337-2025 FSC-klagomål mail.docx", "A 55337-2025")</f>
        <v/>
      </c>
      <c r="AC37">
        <f>HYPERLINK("https://klasma.github.io/Logging_2280/tillsyn/A 55337-2025 tillsynsbegäran.docx", "A 55337-2025")</f>
        <v/>
      </c>
      <c r="AD37">
        <f>HYPERLINK("https://klasma.github.io/Logging_2280/tillsynsmail/A 55337-2025 tillsynsbegäran mail.docx", "A 55337-2025")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46273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46273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32639-2024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45513</v>
      </c>
      <c r="E40" s="1" t="n">
        <v>46273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Ullticka
Vitgrynig nållav
Skinnlav</t>
        </is>
      </c>
      <c r="W40">
        <f>HYPERLINK("https://klasma.github.io/Logging_2280/artfynd/A 32639-2024 artfynd.xlsx", "A 32639-2024")</f>
        <v/>
      </c>
      <c r="X40">
        <f>HYPERLINK("https://klasma.github.io/Logging_2280/kartor/A 32639-2024 karta.png", "A 32639-2024")</f>
        <v/>
      </c>
      <c r="Y40">
        <f>HYPERLINK("https://klasma.github.io/Logging_2280/kartor_geotiff/A 32639-2024 georefererad karta.tif", "A 32639-2024")</f>
        <v/>
      </c>
      <c r="AA40">
        <f>HYPERLINK("https://klasma.github.io/Logging_2280/klagomål/A 32639-2024 FSC-klagomål.docx", "A 32639-2024")</f>
        <v/>
      </c>
      <c r="AB40">
        <f>HYPERLINK("https://klasma.github.io/Logging_2280/klagomålsmail/A 32639-2024 FSC-klagomål mail.docx", "A 32639-2024")</f>
        <v/>
      </c>
      <c r="AC40">
        <f>HYPERLINK("https://klasma.github.io/Logging_2280/tillsyn/A 32639-2024 tillsynsbegäran.docx", "A 32639-2024")</f>
        <v/>
      </c>
      <c r="AD40">
        <f>HYPERLINK("https://klasma.github.io/Logging_2280/tillsynsmail/A 32639-2024 tillsynsbegäran mail.docx", "A 32639-2024")</f>
        <v/>
      </c>
    </row>
    <row r="41" ht="15" customHeight="1">
      <c r="A41" t="inlineStr">
        <is>
          <t>A 34647-2025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45848</v>
      </c>
      <c r="E41" s="1" t="n">
        <v>46273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3</v>
      </c>
      <c r="V41" s="2" t="inlineStr">
        <is>
          <t>Garnlav
Kolflarnlav
Lunglav
Korallblylav</t>
        </is>
      </c>
      <c r="W41">
        <f>HYPERLINK("https://klasma.github.io/Logging_2280/artfynd/A 34647-2025 artfynd.xlsx", "A 34647-2025")</f>
        <v/>
      </c>
      <c r="X41">
        <f>HYPERLINK("https://klasma.github.io/Logging_2280/kartor/A 34647-2025 karta.png", "A 34647-2025")</f>
        <v/>
      </c>
      <c r="Y41">
        <f>HYPERLINK("https://klasma.github.io/Logging_2280/kartor_geotiff/A 34647-2025 georefererad karta.tif", "A 34647-2025")</f>
        <v/>
      </c>
      <c r="AA41">
        <f>HYPERLINK("https://klasma.github.io/Logging_2280/klagomål/A 34647-2025 FSC-klagomål.docx", "A 34647-2025")</f>
        <v/>
      </c>
      <c r="AB41">
        <f>HYPERLINK("https://klasma.github.io/Logging_2280/klagomålsmail/A 34647-2025 FSC-klagomål mail.docx", "A 34647-2025")</f>
        <v/>
      </c>
      <c r="AC41">
        <f>HYPERLINK("https://klasma.github.io/Logging_2280/tillsyn/A 34647-2025 tillsynsbegäran.docx", "A 34647-2025")</f>
        <v/>
      </c>
      <c r="AD41">
        <f>HYPERLINK("https://klasma.github.io/Logging_2280/tillsynsmail/A 34647-2025 tillsynsbegäran mail.docx", "A 34647-2025")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46273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46273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46273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46273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46273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46273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46273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46273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32846-2026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46273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1.5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Tretåig hackspett
Vitgrynig nållav</t>
        </is>
      </c>
      <c r="W50">
        <f>HYPERLINK("https://klasma.github.io/Logging_2280/artfynd/A 32846-2026 artfynd.xlsx", "A 32846-2026")</f>
        <v/>
      </c>
      <c r="X50">
        <f>HYPERLINK("https://klasma.github.io/Logging_2280/kartor/A 32846-2026 karta.png", "A 32846-2026")</f>
        <v/>
      </c>
      <c r="Y50">
        <f>HYPERLINK("https://klasma.github.io/Logging_2280/kartor_geotiff/A 32846-2026 georefererad karta.tif", "A 32846-2026")</f>
        <v/>
      </c>
      <c r="AA50">
        <f>HYPERLINK("https://klasma.github.io/Logging_2280/klagomål/A 32846-2026 FSC-klagomål.docx", "A 32846-2026")</f>
        <v/>
      </c>
      <c r="AB50">
        <f>HYPERLINK("https://klasma.github.io/Logging_2280/klagomålsmail/A 32846-2026 FSC-klagomål mail.docx", "A 32846-2026")</f>
        <v/>
      </c>
      <c r="AC50">
        <f>HYPERLINK("https://klasma.github.io/Logging_2280/tillsyn/A 32846-2026 tillsynsbegäran.docx", "A 32846-2026")</f>
        <v/>
      </c>
      <c r="AD50">
        <f>HYPERLINK("https://klasma.github.io/Logging_2280/tillsynsmail/A 32846-2026 tillsynsbegäran mail.docx", "A 32846-2026")</f>
        <v/>
      </c>
      <c r="AE50">
        <f>HYPERLINK("https://klasma.github.io/Logging_2280/fåglar/A 32846-2026 prioriterade fågelarter.docx", "A 32846-2026")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46273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34689-2024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45526</v>
      </c>
      <c r="E52" s="1" t="n">
        <v>46273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2.2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Rynkskinn
Ullticka
Blåsippa</t>
        </is>
      </c>
      <c r="W52">
        <f>HYPERLINK("https://klasma.github.io/Logging_2280/artfynd/A 34689-2024 artfynd.xlsx", "A 34689-2024")</f>
        <v/>
      </c>
      <c r="X52">
        <f>HYPERLINK("https://klasma.github.io/Logging_2280/kartor/A 34689-2024 karta.png", "A 34689-2024")</f>
        <v/>
      </c>
      <c r="Y52">
        <f>HYPERLINK("https://klasma.github.io/Logging_2280/kartor_geotiff/A 34689-2024 georefererad karta.tif", "A 34689-2024")</f>
        <v/>
      </c>
      <c r="AA52">
        <f>HYPERLINK("https://klasma.github.io/Logging_2280/klagomål/A 34689-2024 FSC-klagomål.docx", "A 34689-2024")</f>
        <v/>
      </c>
      <c r="AB52">
        <f>HYPERLINK("https://klasma.github.io/Logging_2280/klagomålsmail/A 34689-2024 FSC-klagomål mail.docx", "A 34689-2024")</f>
        <v/>
      </c>
      <c r="AC52">
        <f>HYPERLINK("https://klasma.github.io/Logging_2280/tillsyn/A 34689-2024 tillsynsbegäran.docx", "A 34689-2024")</f>
        <v/>
      </c>
      <c r="AD52">
        <f>HYPERLINK("https://klasma.github.io/Logging_2280/tillsynsmail/A 34689-2024 tillsynsbegäran mail.docx", "A 34689-2024")</f>
        <v/>
      </c>
    </row>
    <row r="53" ht="15" customHeight="1">
      <c r="A53" t="inlineStr">
        <is>
          <t>A 29814-2022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46273</v>
      </c>
      <c r="F53" t="inlineStr">
        <is>
          <t>VÄSTERNORRLANDS LÄN</t>
        </is>
      </c>
      <c r="G53" t="inlineStr">
        <is>
          <t>HÄRNÖSAND</t>
        </is>
      </c>
      <c r="I53" t="n">
        <v>2.7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Sotvaxskivling
Sotriska
Svavelriska</t>
        </is>
      </c>
      <c r="W53">
        <f>HYPERLINK("https://klasma.github.io/Logging_2280/artfynd/A 29814-2022 artfynd.xlsx", "A 29814-2022")</f>
        <v/>
      </c>
      <c r="X53">
        <f>HYPERLINK("https://klasma.github.io/Logging_2280/kartor/A 29814-2022 karta.png", "A 29814-2022")</f>
        <v/>
      </c>
      <c r="Y53">
        <f>HYPERLINK("https://klasma.github.io/Logging_2280/kartor_geotiff/A 29814-2022 georefererad karta.tif", "A 29814-2022")</f>
        <v/>
      </c>
      <c r="AA53">
        <f>HYPERLINK("https://klasma.github.io/Logging_2280/klagomål/A 29814-2022 FSC-klagomål.docx", "A 29814-2022")</f>
        <v/>
      </c>
      <c r="AB53">
        <f>HYPERLINK("https://klasma.github.io/Logging_2280/klagomålsmail/A 29814-2022 FSC-klagomål mail.docx", "A 29814-2022")</f>
        <v/>
      </c>
      <c r="AC53">
        <f>HYPERLINK("https://klasma.github.io/Logging_2280/tillsyn/A 29814-2022 tillsynsbegäran.docx", "A 29814-2022")</f>
        <v/>
      </c>
      <c r="AD53">
        <f>HYPERLINK("https://klasma.github.io/Logging_2280/tillsynsmail/A 29814-2022 tillsynsbegäran mail.docx", "A 29814-2022")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46273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46273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46273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46273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46273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54894-2024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46273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Lunglav</t>
        </is>
      </c>
      <c r="W59">
        <f>HYPERLINK("https://klasma.github.io/Logging_2280/artfynd/A 54894-2024 artfynd.xlsx", "A 54894-2024")</f>
        <v/>
      </c>
      <c r="X59">
        <f>HYPERLINK("https://klasma.github.io/Logging_2280/kartor/A 54894-2024 karta.png", "A 54894-2024")</f>
        <v/>
      </c>
      <c r="Y59">
        <f>HYPERLINK("https://klasma.github.io/Logging_2280/kartor_geotiff/A 54894-2024 georefererad karta.tif", "A 54894-2024")</f>
        <v/>
      </c>
      <c r="AA59">
        <f>HYPERLINK("https://klasma.github.io/Logging_2280/klagomål/A 54894-2024 FSC-klagomål.docx", "A 54894-2024")</f>
        <v/>
      </c>
      <c r="AB59">
        <f>HYPERLINK("https://klasma.github.io/Logging_2280/klagomålsmail/A 54894-2024 FSC-klagomål mail.docx", "A 54894-2024")</f>
        <v/>
      </c>
      <c r="AC59">
        <f>HYPERLINK("https://klasma.github.io/Logging_2280/tillsyn/A 54894-2024 tillsynsbegäran.docx", "A 54894-2024")</f>
        <v/>
      </c>
      <c r="AD59">
        <f>HYPERLINK("https://klasma.github.io/Logging_2280/tillsynsmail/A 54894-2024 tillsynsbegäran mail.docx", "A 54894-2024")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46273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47487-2025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46273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Lunglav
Tjäder</t>
        </is>
      </c>
      <c r="W61">
        <f>HYPERLINK("https://klasma.github.io/Logging_2280/artfynd/A 47487-2025 artfynd.xlsx", "A 47487-2025")</f>
        <v/>
      </c>
      <c r="X61">
        <f>HYPERLINK("https://klasma.github.io/Logging_2280/kartor/A 47487-2025 karta.png", "A 47487-2025")</f>
        <v/>
      </c>
      <c r="Y61">
        <f>HYPERLINK("https://klasma.github.io/Logging_2280/kartor_geotiff/A 47487-2025 georefererad karta.tif", "A 47487-2025")</f>
        <v/>
      </c>
      <c r="AA61">
        <f>HYPERLINK("https://klasma.github.io/Logging_2280/klagomål/A 47487-2025 FSC-klagomål.docx", "A 47487-2025")</f>
        <v/>
      </c>
      <c r="AB61">
        <f>HYPERLINK("https://klasma.github.io/Logging_2280/klagomålsmail/A 47487-2025 FSC-klagomål mail.docx", "A 47487-2025")</f>
        <v/>
      </c>
      <c r="AC61">
        <f>HYPERLINK("https://klasma.github.io/Logging_2280/tillsyn/A 47487-2025 tillsynsbegäran.docx", "A 47487-2025")</f>
        <v/>
      </c>
      <c r="AD61">
        <f>HYPERLINK("https://klasma.github.io/Logging_2280/tillsynsmail/A 47487-2025 tillsynsbegäran mail.docx", "A 47487-2025")</f>
        <v/>
      </c>
      <c r="AE61">
        <f>HYPERLINK("https://klasma.github.io/Logging_2280/fåglar/A 47487-2025 prioriterade fågelarter.docx", "A 47487-2025")</f>
        <v/>
      </c>
    </row>
    <row r="62" ht="15" customHeight="1">
      <c r="A62" t="inlineStr">
        <is>
          <t>A 43251-2025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45910</v>
      </c>
      <c r="E62" s="1" t="n">
        <v>46273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4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43251-2025 artfynd.xlsx", "A 43251-2025")</f>
        <v/>
      </c>
      <c r="X62">
        <f>HYPERLINK("https://klasma.github.io/Logging_2280/kartor/A 43251-2025 karta.png", "A 43251-2025")</f>
        <v/>
      </c>
      <c r="Y62">
        <f>HYPERLINK("https://klasma.github.io/Logging_2280/kartor_geotiff/A 43251-2025 georefererad karta.tif", "A 43251-2025")</f>
        <v/>
      </c>
      <c r="AA62">
        <f>HYPERLINK("https://klasma.github.io/Logging_2280/klagomål/A 43251-2025 FSC-klagomål.docx", "A 43251-2025")</f>
        <v/>
      </c>
      <c r="AB62">
        <f>HYPERLINK("https://klasma.github.io/Logging_2280/klagomålsmail/A 43251-2025 FSC-klagomål mail.docx", "A 43251-2025")</f>
        <v/>
      </c>
      <c r="AC62">
        <f>HYPERLINK("https://klasma.github.io/Logging_2280/tillsyn/A 43251-2025 tillsynsbegäran.docx", "A 43251-2025")</f>
        <v/>
      </c>
      <c r="AD62">
        <f>HYPERLINK("https://klasma.github.io/Logging_2280/tillsynsmail/A 43251-2025 tillsynsbegäran mail.docx", "A 43251-2025")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46273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54964-2025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45967</v>
      </c>
      <c r="E64" s="1" t="n">
        <v>46273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7.2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Gammelgransskål</t>
        </is>
      </c>
      <c r="W64">
        <f>HYPERLINK("https://klasma.github.io/Logging_2280/artfynd/A 54964-2025 artfynd.xlsx", "A 54964-2025")</f>
        <v/>
      </c>
      <c r="X64">
        <f>HYPERLINK("https://klasma.github.io/Logging_2280/kartor/A 54964-2025 karta.png", "A 54964-2025")</f>
        <v/>
      </c>
      <c r="Y64">
        <f>HYPERLINK("https://klasma.github.io/Logging_2280/kartor_geotiff/A 54964-2025 georefererad karta.tif", "A 54964-2025")</f>
        <v/>
      </c>
      <c r="AA64">
        <f>HYPERLINK("https://klasma.github.io/Logging_2280/klagomål/A 54964-2025 FSC-klagomål.docx", "A 54964-2025")</f>
        <v/>
      </c>
      <c r="AB64">
        <f>HYPERLINK("https://klasma.github.io/Logging_2280/klagomålsmail/A 54964-2025 FSC-klagomål mail.docx", "A 54964-2025")</f>
        <v/>
      </c>
      <c r="AC64">
        <f>HYPERLINK("https://klasma.github.io/Logging_2280/tillsyn/A 54964-2025 tillsynsbegäran.docx", "A 54964-2025")</f>
        <v/>
      </c>
      <c r="AD64">
        <f>HYPERLINK("https://klasma.github.io/Logging_2280/tillsynsmail/A 54964-2025 tillsynsbegäran mail.docx", "A 54964-2025")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46273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34545-2025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46273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Kyrkan</t>
        </is>
      </c>
      <c r="I66" t="n">
        <v>9.699999999999999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Tretåig hackspett
Korallblylav</t>
        </is>
      </c>
      <c r="W66">
        <f>HYPERLINK("https://klasma.github.io/Logging_2280/artfynd/A 34545-2025 artfynd.xlsx", "A 34545-2025")</f>
        <v/>
      </c>
      <c r="X66">
        <f>HYPERLINK("https://klasma.github.io/Logging_2280/kartor/A 34545-2025 karta.png", "A 34545-2025")</f>
        <v/>
      </c>
      <c r="Y66">
        <f>HYPERLINK("https://klasma.github.io/Logging_2280/kartor_geotiff/A 34545-2025 georefererad karta.tif", "A 34545-2025")</f>
        <v/>
      </c>
      <c r="AA66">
        <f>HYPERLINK("https://klasma.github.io/Logging_2280/klagomål/A 34545-2025 FSC-klagomål.docx", "A 34545-2025")</f>
        <v/>
      </c>
      <c r="AB66">
        <f>HYPERLINK("https://klasma.github.io/Logging_2280/klagomålsmail/A 34545-2025 FSC-klagomål mail.docx", "A 34545-2025")</f>
        <v/>
      </c>
      <c r="AC66">
        <f>HYPERLINK("https://klasma.github.io/Logging_2280/tillsyn/A 34545-2025 tillsynsbegäran.docx", "A 34545-2025")</f>
        <v/>
      </c>
      <c r="AD66">
        <f>HYPERLINK("https://klasma.github.io/Logging_2280/tillsynsmail/A 34545-2025 tillsynsbegäran mail.docx", "A 34545-2025")</f>
        <v/>
      </c>
      <c r="AE66">
        <f>HYPERLINK("https://klasma.github.io/Logging_2280/fåglar/A 34545-2025 prioriterade fågelarter.docx", "A 34545-2025")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46273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46273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46273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46273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46273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13984-2023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46273</v>
      </c>
      <c r="F72" t="inlineStr">
        <is>
          <t>VÄSTERNORRLANDS LÄN</t>
        </is>
      </c>
      <c r="G72" t="inlineStr">
        <is>
          <t>HÄRNÖSAND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HYPERLINK("https://klasma.github.io/Logging_2280/artfynd/A 13984-2023 artfynd.xlsx", "A 13984-2023")</f>
        <v/>
      </c>
      <c r="X72">
        <f>HYPERLINK("https://klasma.github.io/Logging_2280/kartor/A 13984-2023 karta.png", "A 13984-2023")</f>
        <v/>
      </c>
      <c r="Y72">
        <f>HYPERLINK("https://klasma.github.io/Logging_2280/kartor_geotiff/A 13984-2023 georefererad karta.tif", "A 13984-2023")</f>
        <v/>
      </c>
      <c r="AA72">
        <f>HYPERLINK("https://klasma.github.io/Logging_2280/klagomål/A 13984-2023 FSC-klagomål.docx", "A 13984-2023")</f>
        <v/>
      </c>
      <c r="AB72">
        <f>HYPERLINK("https://klasma.github.io/Logging_2280/klagomålsmail/A 13984-2023 FSC-klagomål mail.docx", "A 13984-2023")</f>
        <v/>
      </c>
      <c r="AC72">
        <f>HYPERLINK("https://klasma.github.io/Logging_2280/tillsyn/A 13984-2023 tillsynsbegäran.docx", "A 13984-2023")</f>
        <v/>
      </c>
      <c r="AD72">
        <f>HYPERLINK("https://klasma.github.io/Logging_2280/tillsynsmail/A 13984-2023 tillsynsbegäran mail.docx", "A 13984-2023")</f>
        <v/>
      </c>
    </row>
    <row r="73" ht="15" customHeight="1">
      <c r="A73" t="inlineStr">
        <is>
          <t>A 45060-2025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46273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7.4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Gammelgransskål</t>
        </is>
      </c>
      <c r="W73">
        <f>HYPERLINK("https://klasma.github.io/Logging_2280/artfynd/A 45060-2025 artfynd.xlsx", "A 45060-2025")</f>
        <v/>
      </c>
      <c r="X73">
        <f>HYPERLINK("https://klasma.github.io/Logging_2280/kartor/A 45060-2025 karta.png", "A 45060-2025")</f>
        <v/>
      </c>
      <c r="Y73">
        <f>HYPERLINK("https://klasma.github.io/Logging_2280/kartor_geotiff/A 45060-2025 georefererad karta.tif", "A 45060-2025")</f>
        <v/>
      </c>
      <c r="AA73">
        <f>HYPERLINK("https://klasma.github.io/Logging_2280/klagomål/A 45060-2025 FSC-klagomål.docx", "A 45060-2025")</f>
        <v/>
      </c>
      <c r="AB73">
        <f>HYPERLINK("https://klasma.github.io/Logging_2280/klagomålsmail/A 45060-2025 FSC-klagomål mail.docx", "A 45060-2025")</f>
        <v/>
      </c>
      <c r="AC73">
        <f>HYPERLINK("https://klasma.github.io/Logging_2280/tillsyn/A 45060-2025 tillsynsbegäran.docx", "A 45060-2025")</f>
        <v/>
      </c>
      <c r="AD73">
        <f>HYPERLINK("https://klasma.github.io/Logging_2280/tillsynsmail/A 45060-2025 tillsynsbegäran mail.docx", "A 45060-2025")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46273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Sötgräs</t>
        </is>
      </c>
      <c r="W74">
        <f>HYPERLINK("https://klasma.github.io/Logging_2280/artfynd/A 43541-2022 artfynd.xlsx", "A 43541-2022")</f>
        <v/>
      </c>
      <c r="X74">
        <f>HYPERLINK("https://klasma.github.io/Logging_2280/kartor/A 43541-2022 karta.png", "A 43541-2022")</f>
        <v/>
      </c>
      <c r="Y74">
        <f>HYPERLINK("https://klasma.github.io/Logging_2280/kartor_geotiff/A 43541-2022 georefererad karta.tif", "A 43541-2022")</f>
        <v/>
      </c>
      <c r="AA74">
        <f>HYPERLINK("https://klasma.github.io/Logging_2280/klagomål/A 43541-2022 FSC-klagomål.docx", "A 43541-2022")</f>
        <v/>
      </c>
      <c r="AB74">
        <f>HYPERLINK("https://klasma.github.io/Logging_2280/klagomålsmail/A 43541-2022 FSC-klagomål mail.docx", "A 43541-2022")</f>
        <v/>
      </c>
      <c r="AC74">
        <f>HYPERLINK("https://klasma.github.io/Logging_2280/tillsyn/A 43541-2022 tillsynsbegäran.docx", "A 43541-2022")</f>
        <v/>
      </c>
      <c r="AD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46273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63724-2023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45276</v>
      </c>
      <c r="E76" s="1" t="n">
        <v>46273</v>
      </c>
      <c r="F76" t="inlineStr">
        <is>
          <t>VÄSTERNORRLANDS LÄN</t>
        </is>
      </c>
      <c r="G76" t="inlineStr">
        <is>
          <t>HÄRNÖSAND</t>
        </is>
      </c>
      <c r="I76" t="n">
        <v>10.1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Älg</t>
        </is>
      </c>
      <c r="W76">
        <f>HYPERLINK("https://klasma.github.io/Logging_2280/artfynd/A 63724-2023 artfynd.xlsx", "A 63724-2023")</f>
        <v/>
      </c>
      <c r="X76">
        <f>HYPERLINK("https://klasma.github.io/Logging_2280/kartor/A 63724-2023 karta.png", "A 63724-2023")</f>
        <v/>
      </c>
      <c r="Y76">
        <f>HYPERLINK("https://klasma.github.io/Logging_2280/kartor_geotiff/A 63724-2023 georefererad karta.tif", "A 63724-2023")</f>
        <v/>
      </c>
      <c r="AA76">
        <f>HYPERLINK("https://klasma.github.io/Logging_2280/klagomål/A 63724-2023 FSC-klagomål.docx", "A 63724-2023")</f>
        <v/>
      </c>
      <c r="AB76">
        <f>HYPERLINK("https://klasma.github.io/Logging_2280/klagomålsmail/A 63724-2023 FSC-klagomål mail.docx", "A 63724-2023")</f>
        <v/>
      </c>
      <c r="AC76">
        <f>HYPERLINK("https://klasma.github.io/Logging_2280/tillsyn/A 63724-2023 tillsynsbegäran.docx", "A 63724-2023")</f>
        <v/>
      </c>
      <c r="AD76">
        <f>HYPERLINK("https://klasma.github.io/Logging_2280/tillsynsmail/A 63724-2023 tillsynsbegäran mail.docx", "A 63724-2023")</f>
        <v/>
      </c>
    </row>
    <row r="77" ht="15" customHeight="1">
      <c r="A77" t="inlineStr">
        <is>
          <t>A 25340-2026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46176</v>
      </c>
      <c r="E77" s="1" t="n">
        <v>46273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0</v>
      </c>
      <c r="V77" s="2" t="inlineStr">
        <is>
          <t>Garnlav</t>
        </is>
      </c>
      <c r="W77">
        <f>HYPERLINK("https://klasma.github.io/Logging_2280/artfynd/A 25340-2026 artfynd.xlsx", "A 25340-2026")</f>
        <v/>
      </c>
      <c r="X77">
        <f>HYPERLINK("https://klasma.github.io/Logging_2280/kartor/A 25340-2026 karta.png", "A 25340-2026")</f>
        <v/>
      </c>
      <c r="Y77">
        <f>HYPERLINK("https://klasma.github.io/Logging_2280/kartor_geotiff/A 25340-2026 georefererad karta.tif", "A 25340-2026")</f>
        <v/>
      </c>
      <c r="AA77">
        <f>HYPERLINK("https://klasma.github.io/Logging_2280/klagomål/A 25340-2026 FSC-klagomål.docx", "A 25340-2026")</f>
        <v/>
      </c>
      <c r="AB77">
        <f>HYPERLINK("https://klasma.github.io/Logging_2280/klagomålsmail/A 25340-2026 FSC-klagomål mail.docx", "A 25340-2026")</f>
        <v/>
      </c>
      <c r="AC77">
        <f>HYPERLINK("https://klasma.github.io/Logging_2280/tillsyn/A 25340-2026 tillsynsbegäran.docx", "A 25340-2026")</f>
        <v/>
      </c>
      <c r="AD77">
        <f>HYPERLINK("https://klasma.github.io/Logging_2280/tillsynsmail/A 25340-2026 tillsynsbegäran mail.docx", "A 25340-2026")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46273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Skogshare</t>
        </is>
      </c>
      <c r="W78">
        <f>HYPERLINK("https://klasma.github.io/Logging_2280/artfynd/A 74325-2021 artfynd.xlsx", "A 74325-2021")</f>
        <v/>
      </c>
      <c r="X78">
        <f>HYPERLINK("https://klasma.github.io/Logging_2280/kartor/A 74325-2021 karta.png", "A 74325-2021")</f>
        <v/>
      </c>
      <c r="Y78">
        <f>HYPERLINK("https://klasma.github.io/Logging_2280/kartor_geotiff/A 74325-2021 georefererad karta.tif", "A 74325-2021")</f>
        <v/>
      </c>
      <c r="AA78">
        <f>HYPERLINK("https://klasma.github.io/Logging_2280/klagomål/A 74325-2021 FSC-klagomål.docx", "A 74325-2021")</f>
        <v/>
      </c>
      <c r="AB78">
        <f>HYPERLINK("https://klasma.github.io/Logging_2280/klagomålsmail/A 74325-2021 FSC-klagomål mail.docx", "A 74325-2021")</f>
        <v/>
      </c>
      <c r="AC78">
        <f>HYPERLINK("https://klasma.github.io/Logging_2280/tillsyn/A 74325-2021 tillsynsbegäran.docx", "A 74325-2021")</f>
        <v/>
      </c>
      <c r="AD78">
        <f>HYPERLINK("https://klasma.github.io/Logging_2280/tillsynsmail/A 74325-2021 tillsynsbegäran mail.docx", "A 74325-2021")</f>
        <v/>
      </c>
    </row>
    <row r="79" ht="15" customHeight="1">
      <c r="A79" t="inlineStr">
        <is>
          <t>A 27457-2026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46273</v>
      </c>
      <c r="F79" t="inlineStr">
        <is>
          <t>VÄSTERNORRLANDS LÄN</t>
        </is>
      </c>
      <c r="G79" t="inlineStr">
        <is>
          <t>HÄRNÖSAND</t>
        </is>
      </c>
      <c r="I79" t="n">
        <v>3.8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HYPERLINK("https://klasma.github.io/Logging_2280/artfynd/A 27457-2026 artfynd.xlsx", "A 27457-2026")</f>
        <v/>
      </c>
      <c r="X79">
        <f>HYPERLINK("https://klasma.github.io/Logging_2280/kartor/A 27457-2026 karta.png", "A 27457-2026")</f>
        <v/>
      </c>
      <c r="Y79">
        <f>HYPERLINK("https://klasma.github.io/Logging_2280/kartor_geotiff/A 27457-2026 georefererad karta.tif", "A 27457-2026")</f>
        <v/>
      </c>
      <c r="AA79">
        <f>HYPERLINK("https://klasma.github.io/Logging_2280/klagomål/A 27457-2026 FSC-klagomål.docx", "A 27457-2026")</f>
        <v/>
      </c>
      <c r="AB79">
        <f>HYPERLINK("https://klasma.github.io/Logging_2280/klagomålsmail/A 27457-2026 FSC-klagomål mail.docx", "A 27457-2026")</f>
        <v/>
      </c>
      <c r="AC79">
        <f>HYPERLINK("https://klasma.github.io/Logging_2280/tillsyn/A 27457-2026 tillsynsbegäran.docx", "A 27457-2026")</f>
        <v/>
      </c>
      <c r="AD79">
        <f>HYPERLINK("https://klasma.github.io/Logging_2280/tillsynsmail/A 27457-2026 tillsynsbegäran mail.docx", "A 27457-2026")</f>
        <v/>
      </c>
    </row>
    <row r="80" ht="15" customHeight="1">
      <c r="A80" t="inlineStr">
        <is>
          <t>A 27923-2026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46191</v>
      </c>
      <c r="E80" s="1" t="n">
        <v>46273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9.300000000000001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Veckticka</t>
        </is>
      </c>
      <c r="W80">
        <f>HYPERLINK("https://klasma.github.io/Logging_2280/artfynd/A 27923-2026 artfynd.xlsx", "A 27923-2026")</f>
        <v/>
      </c>
      <c r="X80">
        <f>HYPERLINK("https://klasma.github.io/Logging_2280/kartor/A 27923-2026 karta.png", "A 27923-2026")</f>
        <v/>
      </c>
      <c r="Y80">
        <f>HYPERLINK("https://klasma.github.io/Logging_2280/kartor_geotiff/A 27923-2026 georefererad karta.tif", "A 27923-2026")</f>
        <v/>
      </c>
      <c r="AA80">
        <f>HYPERLINK("https://klasma.github.io/Logging_2280/klagomål/A 27923-2026 FSC-klagomål.docx", "A 27923-2026")</f>
        <v/>
      </c>
      <c r="AB80">
        <f>HYPERLINK("https://klasma.github.io/Logging_2280/klagomålsmail/A 27923-2026 FSC-klagomål mail.docx", "A 27923-2026")</f>
        <v/>
      </c>
      <c r="AC80">
        <f>HYPERLINK("https://klasma.github.io/Logging_2280/tillsyn/A 27923-2026 tillsynsbegäran.docx", "A 27923-2026")</f>
        <v/>
      </c>
      <c r="AD80">
        <f>HYPERLINK("https://klasma.github.io/Logging_2280/tillsynsmail/A 27923-2026 tillsynsbegäran mail.docx", "A 27923-2026")</f>
        <v/>
      </c>
    </row>
    <row r="81" ht="15" customHeight="1">
      <c r="A81" t="inlineStr">
        <is>
          <t>A 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46273</v>
      </c>
      <c r="F81" t="inlineStr">
        <is>
          <t>VÄSTERNORRLANDS LÄN</t>
        </is>
      </c>
      <c r="G81" t="inlineStr">
        <is>
          <t>HÄRNÖSAND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Apelsinticka</t>
        </is>
      </c>
      <c r="W81">
        <f>HYPERLINK("https://klasma.github.io/Logging_2280/artfynd/A 8921-2024 artfynd.xlsx", "A 8921-2024")</f>
        <v/>
      </c>
      <c r="X81">
        <f>HYPERLINK("https://klasma.github.io/Logging_2280/kartor/A 8921-2024 karta.png", "A 8921-2024")</f>
        <v/>
      </c>
      <c r="Y81">
        <f>HYPERLINK("https://klasma.github.io/Logging_2280/kartor_geotiff/A 8921-2024 georefererad karta.tif", "A 8921-2024")</f>
        <v/>
      </c>
      <c r="AA81">
        <f>HYPERLINK("https://klasma.github.io/Logging_2280/klagomål/A 8921-2024 FSC-klagomål.docx", "A 8921-2024")</f>
        <v/>
      </c>
      <c r="AB81">
        <f>HYPERLINK("https://klasma.github.io/Logging_2280/klagomålsmail/A 8921-2024 FSC-klagomål mail.docx", "A 8921-2024")</f>
        <v/>
      </c>
      <c r="AC81">
        <f>HYPERLINK("https://klasma.github.io/Logging_2280/tillsyn/A 8921-2024 tillsynsbegäran.docx", "A 8921-2024")</f>
        <v/>
      </c>
      <c r="AD81">
        <f>HYPERLINK("https://klasma.github.io/Logging_2280/tillsynsmail/A 8921-2024 tillsynsbegäran mail.docx", "A 8921-2024")</f>
        <v/>
      </c>
    </row>
    <row r="82" ht="15" customHeight="1">
      <c r="A82" t="inlineStr">
        <is>
          <t>A 1190-2026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46273</v>
      </c>
      <c r="F82" t="inlineStr">
        <is>
          <t>VÄSTERNORRLANDS LÄN</t>
        </is>
      </c>
      <c r="G82" t="inlineStr">
        <is>
          <t>HÄRNÖSAND</t>
        </is>
      </c>
      <c r="I82" t="n">
        <v>3.5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Tretåig hackspett</t>
        </is>
      </c>
      <c r="W82">
        <f>HYPERLINK("https://klasma.github.io/Logging_2280/artfynd/A 1190-2026 artfynd.xlsx", "A 1190-2026")</f>
        <v/>
      </c>
      <c r="X82">
        <f>HYPERLINK("https://klasma.github.io/Logging_2280/kartor/A 1190-2026 karta.png", "A 1190-2026")</f>
        <v/>
      </c>
      <c r="Y82">
        <f>HYPERLINK("https://klasma.github.io/Logging_2280/kartor_geotiff/A 1190-2026 georefererad karta.tif", "A 1190-2026")</f>
        <v/>
      </c>
      <c r="AA82">
        <f>HYPERLINK("https://klasma.github.io/Logging_2280/klagomål/A 1190-2026 FSC-klagomål.docx", "A 1190-2026")</f>
        <v/>
      </c>
      <c r="AB82">
        <f>HYPERLINK("https://klasma.github.io/Logging_2280/klagomålsmail/A 1190-2026 FSC-klagomål mail.docx", "A 1190-2026")</f>
        <v/>
      </c>
      <c r="AC82">
        <f>HYPERLINK("https://klasma.github.io/Logging_2280/tillsyn/A 1190-2026 tillsynsbegäran.docx", "A 1190-2026")</f>
        <v/>
      </c>
      <c r="AD82">
        <f>HYPERLINK("https://klasma.github.io/Logging_2280/tillsynsmail/A 1190-2026 tillsynsbegäran mail.docx", "A 1190-2026")</f>
        <v/>
      </c>
      <c r="AE82">
        <f>HYPERLINK("https://klasma.github.io/Logging_2280/fåglar/A 1190-2026 prioriterade fågelarter.docx", "A 1190-2026")</f>
        <v/>
      </c>
    </row>
    <row r="83" ht="15" customHeight="1">
      <c r="A83" t="inlineStr">
        <is>
          <t>A 26664-2026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46273</v>
      </c>
      <c r="F83" t="inlineStr">
        <is>
          <t>VÄSTERNORRLANDS LÄN</t>
        </is>
      </c>
      <c r="G83" t="inlineStr">
        <is>
          <t>HÄRNÖSAND</t>
        </is>
      </c>
      <c r="I83" t="n">
        <v>4.8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Duvhök</t>
        </is>
      </c>
      <c r="W83">
        <f>HYPERLINK("https://klasma.github.io/Logging_2280/artfynd/A 26664-2026 artfynd.xlsx", "A 26664-2026")</f>
        <v/>
      </c>
      <c r="X83">
        <f>HYPERLINK("https://klasma.github.io/Logging_2280/kartor/A 26664-2026 karta.png", "A 26664-2026")</f>
        <v/>
      </c>
      <c r="Y83">
        <f>HYPERLINK("https://klasma.github.io/Logging_2280/kartor_geotiff/A 26664-2026 georefererad karta.tif", "A 26664-2026")</f>
        <v/>
      </c>
      <c r="AA83">
        <f>HYPERLINK("https://klasma.github.io/Logging_2280/klagomål/A 26664-2026 FSC-klagomål.docx", "A 26664-2026")</f>
        <v/>
      </c>
      <c r="AB83">
        <f>HYPERLINK("https://klasma.github.io/Logging_2280/klagomålsmail/A 26664-2026 FSC-klagomål mail.docx", "A 26664-2026")</f>
        <v/>
      </c>
      <c r="AC83">
        <f>HYPERLINK("https://klasma.github.io/Logging_2280/tillsyn/A 26664-2026 tillsynsbegäran.docx", "A 26664-2026")</f>
        <v/>
      </c>
      <c r="AD83">
        <f>HYPERLINK("https://klasma.github.io/Logging_2280/tillsynsmail/A 26664-2026 tillsynsbegäran mail.docx", "A 26664-2026")</f>
        <v/>
      </c>
      <c r="AE83">
        <f>HYPERLINK("https://klasma.github.io/Logging_2280/fåglar/A 26664-2026 prioriterade fågelarter.docx", "A 26664-2026")</f>
        <v/>
      </c>
    </row>
    <row r="84" ht="15" customHeight="1">
      <c r="A84" t="inlineStr">
        <is>
          <t>A 7853-2024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45350</v>
      </c>
      <c r="E84" s="1" t="n">
        <v>46273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4.1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Igelkott</t>
        </is>
      </c>
      <c r="W84">
        <f>HYPERLINK("https://klasma.github.io/Logging_2280/artfynd/A 7853-2024 artfynd.xlsx", "A 7853-2024")</f>
        <v/>
      </c>
      <c r="X84">
        <f>HYPERLINK("https://klasma.github.io/Logging_2280/kartor/A 7853-2024 karta.png", "A 7853-2024")</f>
        <v/>
      </c>
      <c r="Y84">
        <f>HYPERLINK("https://klasma.github.io/Logging_2280/kartor_geotiff/A 7853-2024 georefererad karta.tif", "A 7853-2024")</f>
        <v/>
      </c>
      <c r="AA84">
        <f>HYPERLINK("https://klasma.github.io/Logging_2280/klagomål/A 7853-2024 FSC-klagomål.docx", "A 7853-2024")</f>
        <v/>
      </c>
      <c r="AB84">
        <f>HYPERLINK("https://klasma.github.io/Logging_2280/klagomålsmail/A 7853-2024 FSC-klagomål mail.docx", "A 7853-2024")</f>
        <v/>
      </c>
      <c r="AC84">
        <f>HYPERLINK("https://klasma.github.io/Logging_2280/tillsyn/A 7853-2024 tillsynsbegäran.docx", "A 7853-2024")</f>
        <v/>
      </c>
      <c r="AD84">
        <f>HYPERLINK("https://klasma.github.io/Logging_2280/tillsynsmail/A 7853-2024 tillsynsbegäran mail.docx", "A 7853-2024")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46273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46273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24202-2024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45456</v>
      </c>
      <c r="E87" s="1" t="n">
        <v>46273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2.2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Garnlav</t>
        </is>
      </c>
      <c r="W87">
        <f>HYPERLINK("https://klasma.github.io/Logging_2280/artfynd/A 24202-2024 artfynd.xlsx", "A 24202-2024")</f>
        <v/>
      </c>
      <c r="X87">
        <f>HYPERLINK("https://klasma.github.io/Logging_2280/kartor/A 24202-2024 karta.png", "A 24202-2024")</f>
        <v/>
      </c>
      <c r="Y87">
        <f>HYPERLINK("https://klasma.github.io/Logging_2280/kartor_geotiff/A 24202-2024 georefererad karta.tif", "A 24202-2024")</f>
        <v/>
      </c>
      <c r="AA87">
        <f>HYPERLINK("https://klasma.github.io/Logging_2280/klagomål/A 24202-2024 FSC-klagomål.docx", "A 24202-2024")</f>
        <v/>
      </c>
      <c r="AB87">
        <f>HYPERLINK("https://klasma.github.io/Logging_2280/klagomålsmail/A 24202-2024 FSC-klagomål mail.docx", "A 24202-2024")</f>
        <v/>
      </c>
      <c r="AC87">
        <f>HYPERLINK("https://klasma.github.io/Logging_2280/tillsyn/A 24202-2024 tillsynsbegäran.docx", "A 24202-2024")</f>
        <v/>
      </c>
      <c r="AD87">
        <f>HYPERLINK("https://klasma.github.io/Logging_2280/tillsynsmail/A 24202-2024 tillsynsbegäran mail.docx", "A 24202-2024")</f>
        <v/>
      </c>
    </row>
    <row r="88" ht="15" customHeight="1">
      <c r="A88" t="inlineStr">
        <is>
          <t>A 40265-2024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46273</v>
      </c>
      <c r="F88" t="inlineStr">
        <is>
          <t>VÄSTERNORRLANDS LÄN</t>
        </is>
      </c>
      <c r="G88" t="inlineStr">
        <is>
          <t>HÄRNÖSAND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aspticka</t>
        </is>
      </c>
      <c r="W88">
        <f>HYPERLINK("https://klasma.github.io/Logging_2280/artfynd/A 40265-2024 artfynd.xlsx", "A 40265-2024")</f>
        <v/>
      </c>
      <c r="X88">
        <f>HYPERLINK("https://klasma.github.io/Logging_2280/kartor/A 40265-2024 karta.png", "A 40265-2024")</f>
        <v/>
      </c>
      <c r="Y88">
        <f>HYPERLINK("https://klasma.github.io/Logging_2280/kartor_geotiff/A 40265-2024 georefererad karta.tif", "A 40265-2024")</f>
        <v/>
      </c>
      <c r="AA88">
        <f>HYPERLINK("https://klasma.github.io/Logging_2280/klagomål/A 40265-2024 FSC-klagomål.docx", "A 40265-2024")</f>
        <v/>
      </c>
      <c r="AB88">
        <f>HYPERLINK("https://klasma.github.io/Logging_2280/klagomålsmail/A 40265-2024 FSC-klagomål mail.docx", "A 40265-2024")</f>
        <v/>
      </c>
      <c r="AC88">
        <f>HYPERLINK("https://klasma.github.io/Logging_2280/tillsyn/A 40265-2024 tillsynsbegäran.docx", "A 40265-2024")</f>
        <v/>
      </c>
      <c r="AD88">
        <f>HYPERLINK("https://klasma.github.io/Logging_2280/tillsynsmail/A 40265-2024 tillsynsbegäran mail.docx", "A 40265-2024")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46273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46273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HYPERLINK("https://klasma.github.io/Logging_2280/artfynd/A 8407-2024 artfynd.xlsx", "A 8407-2024")</f>
        <v/>
      </c>
      <c r="X90">
        <f>HYPERLINK("https://klasma.github.io/Logging_2280/kartor/A 8407-2024 karta.png", "A 8407-2024")</f>
        <v/>
      </c>
      <c r="Y90">
        <f>HYPERLINK("https://klasma.github.io/Logging_2280/kartor_geotiff/A 8407-2024 georefererad karta.tif", "A 8407-2024")</f>
        <v/>
      </c>
      <c r="AA90">
        <f>HYPERLINK("https://klasma.github.io/Logging_2280/klagomål/A 8407-2024 FSC-klagomål.docx", "A 8407-2024")</f>
        <v/>
      </c>
      <c r="AB90">
        <f>HYPERLINK("https://klasma.github.io/Logging_2280/klagomålsmail/A 8407-2024 FSC-klagomål mail.docx", "A 8407-2024")</f>
        <v/>
      </c>
      <c r="AC90">
        <f>HYPERLINK("https://klasma.github.io/Logging_2280/tillsyn/A 8407-2024 tillsynsbegäran.docx", "A 8407-2024")</f>
        <v/>
      </c>
      <c r="AD90">
        <f>HYPERLINK("https://klasma.github.io/Logging_2280/tillsynsmail/A 8407-2024 tillsynsbegäran mail.docx", "A 8407-2024")</f>
        <v/>
      </c>
    </row>
    <row r="91" ht="15" customHeight="1">
      <c r="A91" t="inlineStr">
        <is>
          <t>A 26174-2025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46273</v>
      </c>
      <c r="F91" t="inlineStr">
        <is>
          <t>VÄSTERNORRLANDS LÄN</t>
        </is>
      </c>
      <c r="G91" t="inlineStr">
        <is>
          <t>HÄRNÖSAND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Lunglav</t>
        </is>
      </c>
      <c r="W91">
        <f>HYPERLINK("https://klasma.github.io/Logging_2280/artfynd/A 26174-2025 artfynd.xlsx", "A 26174-2025")</f>
        <v/>
      </c>
      <c r="X91">
        <f>HYPERLINK("https://klasma.github.io/Logging_2280/kartor/A 26174-2025 karta.png", "A 26174-2025")</f>
        <v/>
      </c>
      <c r="Y91">
        <f>HYPERLINK("https://klasma.github.io/Logging_2280/kartor_geotiff/A 26174-2025 georefererad karta.tif", "A 26174-2025")</f>
        <v/>
      </c>
      <c r="AA91">
        <f>HYPERLINK("https://klasma.github.io/Logging_2280/klagomål/A 26174-2025 FSC-klagomål.docx", "A 26174-2025")</f>
        <v/>
      </c>
      <c r="AB91">
        <f>HYPERLINK("https://klasma.github.io/Logging_2280/klagomålsmail/A 26174-2025 FSC-klagomål mail.docx", "A 26174-2025")</f>
        <v/>
      </c>
      <c r="AC91">
        <f>HYPERLINK("https://klasma.github.io/Logging_2280/tillsyn/A 26174-2025 tillsynsbegäran.docx", "A 26174-2025")</f>
        <v/>
      </c>
      <c r="AD91">
        <f>HYPERLINK("https://klasma.github.io/Logging_2280/tillsynsmail/A 26174-2025 tillsynsbegäran mail.docx", "A 26174-2025")</f>
        <v/>
      </c>
    </row>
    <row r="92" ht="15" customHeight="1">
      <c r="A92" t="inlineStr">
        <is>
          <t>A 26086-2025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46273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Orre</t>
        </is>
      </c>
      <c r="W92">
        <f>HYPERLINK("https://klasma.github.io/Logging_2280/artfynd/A 26086-2025 artfynd.xlsx", "A 26086-2025")</f>
        <v/>
      </c>
      <c r="X92">
        <f>HYPERLINK("https://klasma.github.io/Logging_2280/kartor/A 26086-2025 karta.png", "A 26086-2025")</f>
        <v/>
      </c>
      <c r="Y92">
        <f>HYPERLINK("https://klasma.github.io/Logging_2280/kartor_geotiff/A 26086-2025 georefererad karta.tif", "A 26086-2025")</f>
        <v/>
      </c>
      <c r="AA92">
        <f>HYPERLINK("https://klasma.github.io/Logging_2280/klagomål/A 26086-2025 FSC-klagomål.docx", "A 26086-2025")</f>
        <v/>
      </c>
      <c r="AB92">
        <f>HYPERLINK("https://klasma.github.io/Logging_2280/klagomålsmail/A 26086-2025 FSC-klagomål mail.docx", "A 26086-2025")</f>
        <v/>
      </c>
      <c r="AC92">
        <f>HYPERLINK("https://klasma.github.io/Logging_2280/tillsyn/A 26086-2025 tillsynsbegäran.docx", "A 26086-2025")</f>
        <v/>
      </c>
      <c r="AD92">
        <f>HYPERLINK("https://klasma.github.io/Logging_2280/tillsynsmail/A 26086-2025 tillsynsbegäran mail.docx", "A 26086-2025")</f>
        <v/>
      </c>
      <c r="AE92">
        <f>HYPERLINK("https://klasma.github.io/Logging_2280/fåglar/A 26086-2025 prioriterade fågelarter.docx", "A 26086-2025")</f>
        <v/>
      </c>
    </row>
    <row r="93" ht="15" customHeight="1">
      <c r="A93" t="inlineStr">
        <is>
          <t>A 26922-2025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46273</v>
      </c>
      <c r="F93" t="inlineStr">
        <is>
          <t>VÄSTERNORRLANDS LÄN</t>
        </is>
      </c>
      <c r="G93" t="inlineStr">
        <is>
          <t>HÄRNÖSAND</t>
        </is>
      </c>
      <c r="I93" t="n">
        <v>2.4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Barkticka</t>
        </is>
      </c>
      <c r="W93">
        <f>HYPERLINK("https://klasma.github.io/Logging_2280/artfynd/A 26922-2025 artfynd.xlsx", "A 26922-2025")</f>
        <v/>
      </c>
      <c r="X93">
        <f>HYPERLINK("https://klasma.github.io/Logging_2280/kartor/A 26922-2025 karta.png", "A 26922-2025")</f>
        <v/>
      </c>
      <c r="Y93">
        <f>HYPERLINK("https://klasma.github.io/Logging_2280/kartor_geotiff/A 26922-2025 georefererad karta.tif", "A 26922-2025")</f>
        <v/>
      </c>
      <c r="AA93">
        <f>HYPERLINK("https://klasma.github.io/Logging_2280/klagomål/A 26922-2025 FSC-klagomål.docx", "A 26922-2025")</f>
        <v/>
      </c>
      <c r="AB93">
        <f>HYPERLINK("https://klasma.github.io/Logging_2280/klagomålsmail/A 26922-2025 FSC-klagomål mail.docx", "A 26922-2025")</f>
        <v/>
      </c>
      <c r="AC93">
        <f>HYPERLINK("https://klasma.github.io/Logging_2280/tillsyn/A 26922-2025 tillsynsbegäran.docx", "A 26922-2025")</f>
        <v/>
      </c>
      <c r="AD93">
        <f>HYPERLINK("https://klasma.github.io/Logging_2280/tillsynsmail/A 26922-2025 tillsynsbegäran mail.docx", "A 26922-2025")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46273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46273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46273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46273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46273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46273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46273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46273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46273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46273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46273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46273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46273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46273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46273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46273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46273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46273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46273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46273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46273</v>
      </c>
      <c r="F114" t="inlineStr">
        <is>
          <t>VÄSTERNORRLANDS LÄN</t>
        </is>
      </c>
      <c r="G114" t="inlineStr">
        <is>
          <t>HÄRNÖSAND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46273</v>
      </c>
      <c r="F115" t="inlineStr">
        <is>
          <t>VÄSTERNORRLANDS LÄN</t>
        </is>
      </c>
      <c r="G115" t="inlineStr">
        <is>
          <t>HÄRNÖSAND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44804</v>
      </c>
      <c r="E116" s="1" t="n">
        <v>46273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46273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46273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46273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46273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46273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46273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46273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46273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46273</v>
      </c>
      <c r="F125" t="inlineStr">
        <is>
          <t>VÄSTERNORRLANDS LÄN</t>
        </is>
      </c>
      <c r="G125" t="inlineStr">
        <is>
          <t>HÄRNÖSAND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46273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46273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46273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46273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46273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46273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46273</v>
      </c>
      <c r="F132" t="inlineStr">
        <is>
          <t>VÄSTERNORRLANDS LÄN</t>
        </is>
      </c>
      <c r="G132" t="inlineStr">
        <is>
          <t>HÄRNÖSAND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46273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67078-2021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46273</v>
      </c>
      <c r="F134" t="inlineStr">
        <is>
          <t>VÄSTERNORRLANDS LÄN</t>
        </is>
      </c>
      <c r="G134" t="inlineStr">
        <is>
          <t>HÄRNÖSAND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46273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29429-2024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45483</v>
      </c>
      <c r="E136" s="1" t="n">
        <v>46273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18885-2023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45044</v>
      </c>
      <c r="E137" s="1" t="n">
        <v>46273</v>
      </c>
      <c r="F137" t="inlineStr">
        <is>
          <t>VÄSTERNORRLANDS LÄN</t>
        </is>
      </c>
      <c r="G137" t="inlineStr">
        <is>
          <t>HÄRNÖSAND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46273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46273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45409</v>
      </c>
      <c r="E140" s="1" t="n">
        <v>46273</v>
      </c>
      <c r="F140" t="inlineStr">
        <is>
          <t>VÄSTERNORRLANDS LÄN</t>
        </is>
      </c>
      <c r="G140" t="inlineStr">
        <is>
          <t>HÄRNÖSAND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35595-2024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46273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46273</v>
      </c>
      <c r="F142" t="inlineStr">
        <is>
          <t>VÄSTERNORRLANDS LÄN</t>
        </is>
      </c>
      <c r="G142" t="inlineStr">
        <is>
          <t>HÄRNÖSAND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46273</v>
      </c>
      <c r="F143" t="inlineStr">
        <is>
          <t>VÄSTERNORRLANDS LÄN</t>
        </is>
      </c>
      <c r="G143" t="inlineStr">
        <is>
          <t>HÄRNÖSAND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46273</v>
      </c>
      <c r="F144" t="inlineStr">
        <is>
          <t>VÄSTERNORRLANDS LÄN</t>
        </is>
      </c>
      <c r="G144" t="inlineStr">
        <is>
          <t>HÄRNÖSAND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46273</v>
      </c>
      <c r="F145" t="inlineStr">
        <is>
          <t>VÄSTERNORRLANDS LÄN</t>
        </is>
      </c>
      <c r="G145" t="inlineStr">
        <is>
          <t>HÄRNÖSAND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46273</v>
      </c>
      <c r="F146" t="inlineStr">
        <is>
          <t>VÄSTERNORRLANDS LÄN</t>
        </is>
      </c>
      <c r="G146" t="inlineStr">
        <is>
          <t>HÄRNÖSAND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46273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46273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63375-2023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45273</v>
      </c>
      <c r="E149" s="1" t="n">
        <v>46273</v>
      </c>
      <c r="F149" t="inlineStr">
        <is>
          <t>VÄSTERNORRLANDS LÄN</t>
        </is>
      </c>
      <c r="G149" t="inlineStr">
        <is>
          <t>HÄRNÖSAND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44952</v>
      </c>
      <c r="E150" s="1" t="n">
        <v>46273</v>
      </c>
      <c r="F150" t="inlineStr">
        <is>
          <t>VÄSTERNORRLANDS LÄN</t>
        </is>
      </c>
      <c r="G150" t="inlineStr">
        <is>
          <t>HÄRNÖSAND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46273</v>
      </c>
      <c r="F151" t="inlineStr">
        <is>
          <t>VÄSTERNORRLANDS LÄN</t>
        </is>
      </c>
      <c r="G151" t="inlineStr">
        <is>
          <t>HÄRNÖSAND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46273</v>
      </c>
      <c r="F152" t="inlineStr">
        <is>
          <t>VÄSTERNORRLANDS LÄN</t>
        </is>
      </c>
      <c r="G152" t="inlineStr">
        <is>
          <t>HÄRNÖSAND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46273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32180-2024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45511</v>
      </c>
      <c r="E154" s="1" t="n">
        <v>46273</v>
      </c>
      <c r="F154" t="inlineStr">
        <is>
          <t>VÄSTERNORRLANDS LÄN</t>
        </is>
      </c>
      <c r="G154" t="inlineStr">
        <is>
          <t>HÄRNÖSAND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50338-2022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44865</v>
      </c>
      <c r="E155" s="1" t="n">
        <v>46273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44937</v>
      </c>
      <c r="E156" s="1" t="n">
        <v>46273</v>
      </c>
      <c r="F156" t="inlineStr">
        <is>
          <t>VÄSTERNORRLANDS LÄN</t>
        </is>
      </c>
      <c r="G156" t="inlineStr">
        <is>
          <t>HÄRNÖSAND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46273</v>
      </c>
      <c r="F157" t="inlineStr">
        <is>
          <t>VÄSTERNORRLANDS LÄN</t>
        </is>
      </c>
      <c r="G157" t="inlineStr">
        <is>
          <t>HÄRNÖSAND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45476</v>
      </c>
      <c r="E158" s="1" t="n">
        <v>46273</v>
      </c>
      <c r="F158" t="inlineStr">
        <is>
          <t>VÄSTERNORRLANDS LÄN</t>
        </is>
      </c>
      <c r="G158" t="inlineStr">
        <is>
          <t>HÄRNÖSAND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46273</v>
      </c>
      <c r="F159" t="inlineStr">
        <is>
          <t>VÄSTERNORRLANDS LÄN</t>
        </is>
      </c>
      <c r="G159" t="inlineStr">
        <is>
          <t>HÄRNÖSAND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46273</v>
      </c>
      <c r="F160" t="inlineStr">
        <is>
          <t>VÄSTERNORRLANDS LÄN</t>
        </is>
      </c>
      <c r="G160" t="inlineStr">
        <is>
          <t>HÄRNÖSAND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46273</v>
      </c>
      <c r="F161" t="inlineStr">
        <is>
          <t>VÄSTERNORRLANDS LÄN</t>
        </is>
      </c>
      <c r="G161" t="inlineStr">
        <is>
          <t>HÄRNÖSAND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69269-2021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46273</v>
      </c>
      <c r="F162" t="inlineStr">
        <is>
          <t>VÄSTERNORRLANDS LÄN</t>
        </is>
      </c>
      <c r="G162" t="inlineStr">
        <is>
          <t>HÄRNÖSAND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61102-2021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46273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46273</v>
      </c>
      <c r="F164" t="inlineStr">
        <is>
          <t>VÄSTERNORRLANDS LÄN</t>
        </is>
      </c>
      <c r="G164" t="inlineStr">
        <is>
          <t>HÄRNÖSAND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49039-2023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45209</v>
      </c>
      <c r="E165" s="1" t="n">
        <v>46273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46273</v>
      </c>
      <c r="F166" t="inlineStr">
        <is>
          <t>VÄSTERNORRLANDS LÄN</t>
        </is>
      </c>
      <c r="G166" t="inlineStr">
        <is>
          <t>HÄRNÖSAND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54251-2022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44881</v>
      </c>
      <c r="E167" s="1" t="n">
        <v>46273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44894</v>
      </c>
      <c r="E168" s="1" t="n">
        <v>46273</v>
      </c>
      <c r="F168" t="inlineStr">
        <is>
          <t>VÄSTERNORRLANDS LÄN</t>
        </is>
      </c>
      <c r="G168" t="inlineStr">
        <is>
          <t>HÄRNÖSAND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44609</v>
      </c>
      <c r="E169" s="1" t="n">
        <v>46273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Övriga statliga verk och myndigheter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45558</v>
      </c>
      <c r="E170" s="1" t="n">
        <v>46273</v>
      </c>
      <c r="F170" t="inlineStr">
        <is>
          <t>VÄSTERNORRLANDS LÄN</t>
        </is>
      </c>
      <c r="G170" t="inlineStr">
        <is>
          <t>HÄRNÖSAND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46273</v>
      </c>
      <c r="F171" t="inlineStr">
        <is>
          <t>VÄSTERNORRLANDS LÄN</t>
        </is>
      </c>
      <c r="G171" t="inlineStr">
        <is>
          <t>HÄRNÖSAND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46273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45701</v>
      </c>
      <c r="E173" s="1" t="n">
        <v>46273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45757</v>
      </c>
      <c r="E174" s="1" t="n">
        <v>46273</v>
      </c>
      <c r="F174" t="inlineStr">
        <is>
          <t>VÄSTERNORRLANDS LÄN</t>
        </is>
      </c>
      <c r="G174" t="inlineStr">
        <is>
          <t>HÄRNÖSAND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46273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44755</v>
      </c>
      <c r="E176" s="1" t="n">
        <v>46273</v>
      </c>
      <c r="F176" t="inlineStr">
        <is>
          <t>VÄSTERNORRLANDS LÄN</t>
        </is>
      </c>
      <c r="G176" t="inlineStr">
        <is>
          <t>HÄRNÖSAND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31546-2024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45505</v>
      </c>
      <c r="E177" s="1" t="n">
        <v>46273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46273</v>
      </c>
      <c r="F178" t="inlineStr">
        <is>
          <t>VÄSTERNORRLANDS LÄN</t>
        </is>
      </c>
      <c r="G178" t="inlineStr">
        <is>
          <t>HÄRNÖSAND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46273</v>
      </c>
      <c r="F179" t="inlineStr">
        <is>
          <t>VÄSTERNORRLANDS LÄN</t>
        </is>
      </c>
      <c r="G179" t="inlineStr">
        <is>
          <t>HÄRNÖSAND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46273</v>
      </c>
      <c r="F180" t="inlineStr">
        <is>
          <t>VÄSTERNORRLANDS LÄN</t>
        </is>
      </c>
      <c r="G180" t="inlineStr">
        <is>
          <t>HÄRNÖSAND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44890</v>
      </c>
      <c r="E181" s="1" t="n">
        <v>46273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Kyrkan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44732</v>
      </c>
      <c r="E182" s="1" t="n">
        <v>46273</v>
      </c>
      <c r="F182" t="inlineStr">
        <is>
          <t>VÄSTERNORRLANDS LÄN</t>
        </is>
      </c>
      <c r="G182" t="inlineStr">
        <is>
          <t>HÄRNÖSAND</t>
        </is>
      </c>
      <c r="I182" t="n">
        <v>18.7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46273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45293</v>
      </c>
      <c r="E184" s="1" t="n">
        <v>46273</v>
      </c>
      <c r="F184" t="inlineStr">
        <is>
          <t>VÄSTERNORRLANDS LÄN</t>
        </is>
      </c>
      <c r="G184" t="inlineStr">
        <is>
          <t>HÄRNÖSAND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45314</v>
      </c>
      <c r="E185" s="1" t="n">
        <v>46273</v>
      </c>
      <c r="F185" t="inlineStr">
        <is>
          <t>VÄSTERNORRLANDS LÄN</t>
        </is>
      </c>
      <c r="G185" t="inlineStr">
        <is>
          <t>HÄRNÖSAND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46273</v>
      </c>
      <c r="F186" t="inlineStr">
        <is>
          <t>VÄSTERNORRLANDS LÄN</t>
        </is>
      </c>
      <c r="G186" t="inlineStr">
        <is>
          <t>HÄRNÖSAND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45904</v>
      </c>
      <c r="E187" s="1" t="n">
        <v>46273</v>
      </c>
      <c r="F187" t="inlineStr">
        <is>
          <t>VÄSTERNORRLANDS LÄN</t>
        </is>
      </c>
      <c r="G187" t="inlineStr">
        <is>
          <t>HÄRNÖSAND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46273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46273</v>
      </c>
      <c r="F189" t="inlineStr">
        <is>
          <t>VÄSTERNORRLANDS LÄN</t>
        </is>
      </c>
      <c r="G189" t="inlineStr">
        <is>
          <t>HÄRNÖSAND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59408-2024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45638</v>
      </c>
      <c r="E190" s="1" t="n">
        <v>46273</v>
      </c>
      <c r="F190" t="inlineStr">
        <is>
          <t>VÄSTERNORRLANDS LÄN</t>
        </is>
      </c>
      <c r="G190" t="inlineStr">
        <is>
          <t>HÄRNÖSAND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46273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46273</v>
      </c>
      <c r="F192" t="inlineStr">
        <is>
          <t>VÄSTERNORRLANDS LÄN</t>
        </is>
      </c>
      <c r="G192" t="inlineStr">
        <is>
          <t>HÄRNÖSAND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46273</v>
      </c>
      <c r="F193" t="inlineStr">
        <is>
          <t>VÄSTERNORRLANDS LÄN</t>
        </is>
      </c>
      <c r="G193" t="inlineStr">
        <is>
          <t>HÄRNÖSAND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46273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46273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46273</v>
      </c>
      <c r="F196" t="inlineStr">
        <is>
          <t>VÄSTERNORRLANDS LÄN</t>
        </is>
      </c>
      <c r="G196" t="inlineStr">
        <is>
          <t>HÄRNÖSAND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46273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Kyrkan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44743</v>
      </c>
      <c r="E198" s="1" t="n">
        <v>46273</v>
      </c>
      <c r="F198" t="inlineStr">
        <is>
          <t>VÄSTERNORRLANDS LÄN</t>
        </is>
      </c>
      <c r="G198" t="inlineStr">
        <is>
          <t>HÄRNÖSAND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46273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46273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Kyrkan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46273</v>
      </c>
      <c r="F201" t="inlineStr">
        <is>
          <t>VÄSTERNORRLANDS LÄN</t>
        </is>
      </c>
      <c r="G201" t="inlineStr">
        <is>
          <t>HÄRNÖSAND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46273</v>
      </c>
      <c r="F202" t="inlineStr">
        <is>
          <t>VÄSTERNORRLANDS LÄN</t>
        </is>
      </c>
      <c r="G202" t="inlineStr">
        <is>
          <t>HÄRNÖSAND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41562-2025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45901</v>
      </c>
      <c r="E203" s="1" t="n">
        <v>46273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46273</v>
      </c>
      <c r="F204" t="inlineStr">
        <is>
          <t>VÄSTERNORRLANDS LÄN</t>
        </is>
      </c>
      <c r="G204" t="inlineStr">
        <is>
          <t>HÄRNÖSAND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46273</v>
      </c>
      <c r="F205" t="inlineStr">
        <is>
          <t>VÄSTERNORRLANDS LÄN</t>
        </is>
      </c>
      <c r="G205" t="inlineStr">
        <is>
          <t>HÄRNÖSAND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40452-2023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45168</v>
      </c>
      <c r="E206" s="1" t="n">
        <v>46273</v>
      </c>
      <c r="F206" t="inlineStr">
        <is>
          <t>VÄSTERNORRLANDS LÄN</t>
        </is>
      </c>
      <c r="G206" t="inlineStr">
        <is>
          <t>HÄRNÖSAND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47939-2022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44853</v>
      </c>
      <c r="E207" s="1" t="n">
        <v>46273</v>
      </c>
      <c r="F207" t="inlineStr">
        <is>
          <t>VÄSTERNORRLANDS LÄN</t>
        </is>
      </c>
      <c r="G207" t="inlineStr">
        <is>
          <t>HÄRNÖSAND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46273</v>
      </c>
      <c r="F208" t="inlineStr">
        <is>
          <t>VÄSTERNORRLANDS LÄN</t>
        </is>
      </c>
      <c r="G208" t="inlineStr">
        <is>
          <t>HÄRNÖSAND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46273</v>
      </c>
      <c r="F209" t="inlineStr">
        <is>
          <t>VÄSTERNORRLANDS LÄN</t>
        </is>
      </c>
      <c r="G209" t="inlineStr">
        <is>
          <t>HÄRNÖSAND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46273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46273</v>
      </c>
      <c r="F211" t="inlineStr">
        <is>
          <t>VÄSTERNORRLANDS LÄN</t>
        </is>
      </c>
      <c r="G211" t="inlineStr">
        <is>
          <t>HÄRNÖSAND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45523</v>
      </c>
      <c r="E212" s="1" t="n">
        <v>46273</v>
      </c>
      <c r="F212" t="inlineStr">
        <is>
          <t>VÄSTERNORRLANDS LÄN</t>
        </is>
      </c>
      <c r="G212" t="inlineStr">
        <is>
          <t>HÄRNÖSAND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44032-2025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46273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45545</v>
      </c>
      <c r="E214" s="1" t="n">
        <v>46273</v>
      </c>
      <c r="F214" t="inlineStr">
        <is>
          <t>VÄSTERNORRLANDS LÄN</t>
        </is>
      </c>
      <c r="G214" t="inlineStr">
        <is>
          <t>HÄRNÖSAND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46273</v>
      </c>
      <c r="F215" t="inlineStr">
        <is>
          <t>VÄSTERNORRLANDS LÄN</t>
        </is>
      </c>
      <c r="G215" t="inlineStr">
        <is>
          <t>HÄRNÖSAND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46273</v>
      </c>
      <c r="F216" t="inlineStr">
        <is>
          <t>VÄSTERNORRLANDS LÄN</t>
        </is>
      </c>
      <c r="G216" t="inlineStr">
        <is>
          <t>HÄRNÖSAND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46273</v>
      </c>
      <c r="F217" t="inlineStr">
        <is>
          <t>VÄSTERNORRLANDS LÄN</t>
        </is>
      </c>
      <c r="G217" t="inlineStr">
        <is>
          <t>HÄRNÖSAND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46273</v>
      </c>
      <c r="F218" t="inlineStr">
        <is>
          <t>VÄSTERNORRLANDS LÄN</t>
        </is>
      </c>
      <c r="G218" t="inlineStr">
        <is>
          <t>HÄRNÖSAND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45919</v>
      </c>
      <c r="E219" s="1" t="n">
        <v>46273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46273</v>
      </c>
      <c r="F220" t="inlineStr">
        <is>
          <t>VÄSTERNORRLANDS LÄN</t>
        </is>
      </c>
      <c r="G220" t="inlineStr">
        <is>
          <t>HÄRNÖSAND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45678</v>
      </c>
      <c r="E221" s="1" t="n">
        <v>46273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46273</v>
      </c>
      <c r="F222" t="inlineStr">
        <is>
          <t>VÄSTERNORRLANDS LÄN</t>
        </is>
      </c>
      <c r="G222" t="inlineStr">
        <is>
          <t>HÄRNÖSAND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46273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46273</v>
      </c>
      <c r="F224" t="inlineStr">
        <is>
          <t>VÄSTERNORRLANDS LÄN</t>
        </is>
      </c>
      <c r="G224" t="inlineStr">
        <is>
          <t>HÄRNÖSAND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46273</v>
      </c>
      <c r="F225" t="inlineStr">
        <is>
          <t>VÄSTERNORRLANDS LÄN</t>
        </is>
      </c>
      <c r="G225" t="inlineStr">
        <is>
          <t>HÄRNÖSAND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46273</v>
      </c>
      <c r="F226" t="inlineStr">
        <is>
          <t>VÄSTERNORRLANDS LÄN</t>
        </is>
      </c>
      <c r="G226" t="inlineStr">
        <is>
          <t>HÄRNÖSAND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46273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46024</v>
      </c>
      <c r="E228" s="1" t="n">
        <v>46273</v>
      </c>
      <c r="F228" t="inlineStr">
        <is>
          <t>VÄSTERNORRLANDS LÄN</t>
        </is>
      </c>
      <c r="G228" t="inlineStr">
        <is>
          <t>HÄRNÖSAND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46273</v>
      </c>
      <c r="F229" t="inlineStr">
        <is>
          <t>VÄSTERNORRLANDS LÄN</t>
        </is>
      </c>
      <c r="G229" t="inlineStr">
        <is>
          <t>HÄRNÖSAND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46273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46273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46142</v>
      </c>
      <c r="E232" s="1" t="n">
        <v>46273</v>
      </c>
      <c r="F232" t="inlineStr">
        <is>
          <t>VÄSTERNORRLANDS LÄN</t>
        </is>
      </c>
      <c r="G232" t="inlineStr">
        <is>
          <t>HÄRNÖSAND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44971</v>
      </c>
      <c r="E233" s="1" t="n">
        <v>46273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46273</v>
      </c>
      <c r="F234" t="inlineStr">
        <is>
          <t>VÄSTERNORRLANDS LÄN</t>
        </is>
      </c>
      <c r="G234" t="inlineStr">
        <is>
          <t>HÄRNÖSAND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46273</v>
      </c>
      <c r="F235" t="inlineStr">
        <is>
          <t>VÄSTERNORRLANDS LÄN</t>
        </is>
      </c>
      <c r="G235" t="inlineStr">
        <is>
          <t>HÄRNÖSAND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45769</v>
      </c>
      <c r="E236" s="1" t="n">
        <v>46273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45685</v>
      </c>
      <c r="E237" s="1" t="n">
        <v>46273</v>
      </c>
      <c r="F237" t="inlineStr">
        <is>
          <t>VÄSTERNORRLANDS LÄN</t>
        </is>
      </c>
      <c r="G237" t="inlineStr">
        <is>
          <t>HÄRNÖSAND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46273</v>
      </c>
      <c r="F238" t="inlineStr">
        <is>
          <t>VÄSTERNORRLANDS LÄN</t>
        </is>
      </c>
      <c r="G238" t="inlineStr">
        <is>
          <t>HÄRNÖSAND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46273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46273</v>
      </c>
      <c r="F240" t="inlineStr">
        <is>
          <t>VÄSTERNORRLANDS LÄN</t>
        </is>
      </c>
      <c r="G240" t="inlineStr">
        <is>
          <t>HÄRNÖSAND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16009-2025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46273</v>
      </c>
      <c r="F241" t="inlineStr">
        <is>
          <t>VÄSTERNORRLANDS LÄN</t>
        </is>
      </c>
      <c r="G241" t="inlineStr">
        <is>
          <t>HÄRNÖSAND</t>
        </is>
      </c>
      <c r="I241" t="n">
        <v>9.300000000000001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44603</v>
      </c>
      <c r="E242" s="1" t="n">
        <v>46273</v>
      </c>
      <c r="F242" t="inlineStr">
        <is>
          <t>VÄSTERNORRLANDS LÄN</t>
        </is>
      </c>
      <c r="G242" t="inlineStr">
        <is>
          <t>HÄRNÖSAND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46273</v>
      </c>
      <c r="F243" t="inlineStr">
        <is>
          <t>VÄSTERNORRLANDS LÄN</t>
        </is>
      </c>
      <c r="G243" t="inlineStr">
        <is>
          <t>HÄRNÖSAND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47702-2021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44448</v>
      </c>
      <c r="E244" s="1" t="n">
        <v>46273</v>
      </c>
      <c r="F244" t="inlineStr">
        <is>
          <t>VÄSTERNORRLANDS LÄN</t>
        </is>
      </c>
      <c r="G244" t="inlineStr">
        <is>
          <t>HÄRNÖSAND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46273</v>
      </c>
      <c r="F245" t="inlineStr">
        <is>
          <t>VÄSTERNORRLANDS LÄN</t>
        </is>
      </c>
      <c r="G245" t="inlineStr">
        <is>
          <t>HÄRNÖSAND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46273</v>
      </c>
      <c r="F246" t="inlineStr">
        <is>
          <t>VÄSTERNORRLANDS LÄN</t>
        </is>
      </c>
      <c r="G246" t="inlineStr">
        <is>
          <t>HÄRNÖSAND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45044</v>
      </c>
      <c r="E247" s="1" t="n">
        <v>46273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46107</v>
      </c>
      <c r="E248" s="1" t="n">
        <v>46273</v>
      </c>
      <c r="F248" t="inlineStr">
        <is>
          <t>VÄSTERNORRLANDS LÄN</t>
        </is>
      </c>
      <c r="G248" t="inlineStr">
        <is>
          <t>HÄRNÖSAND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46273</v>
      </c>
      <c r="F249" t="inlineStr">
        <is>
          <t>VÄSTERNORRLANDS LÄN</t>
        </is>
      </c>
      <c r="G249" t="inlineStr">
        <is>
          <t>HÄRNÖSAND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45203</v>
      </c>
      <c r="E250" s="1" t="n">
        <v>46273</v>
      </c>
      <c r="F250" t="inlineStr">
        <is>
          <t>VÄSTERNORRLANDS LÄN</t>
        </is>
      </c>
      <c r="G250" t="inlineStr">
        <is>
          <t>HÄRNÖSAND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45106</v>
      </c>
      <c r="E251" s="1" t="n">
        <v>46273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22142-2026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46273</v>
      </c>
      <c r="F252" t="inlineStr">
        <is>
          <t>VÄSTERNORRLANDS LÄN</t>
        </is>
      </c>
      <c r="G252" t="inlineStr">
        <is>
          <t>HÄRNÖSAND</t>
        </is>
      </c>
      <c r="I252" t="n">
        <v>16.7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46273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46273</v>
      </c>
      <c r="F254" t="inlineStr">
        <is>
          <t>VÄSTERNORRLANDS LÄN</t>
        </is>
      </c>
      <c r="G254" t="inlineStr">
        <is>
          <t>HÄRNÖSAND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46273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46273</v>
      </c>
      <c r="F256" t="inlineStr">
        <is>
          <t>VÄSTERNORRLANDS LÄN</t>
        </is>
      </c>
      <c r="G256" t="inlineStr">
        <is>
          <t>HÄRNÖSAND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46273</v>
      </c>
      <c r="F257" t="inlineStr">
        <is>
          <t>VÄSTERNORRLANDS LÄN</t>
        </is>
      </c>
      <c r="G257" t="inlineStr">
        <is>
          <t>HÄRNÖSAND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46160</v>
      </c>
      <c r="E258" s="1" t="n">
        <v>46273</v>
      </c>
      <c r="F258" t="inlineStr">
        <is>
          <t>VÄSTERNORRLANDS LÄN</t>
        </is>
      </c>
      <c r="G258" t="inlineStr">
        <is>
          <t>HÄRNÖSAND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44596</v>
      </c>
      <c r="E259" s="1" t="n">
        <v>46273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Övriga statliga verk och myndigheter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23182-2026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46273</v>
      </c>
      <c r="F260" t="inlineStr">
        <is>
          <t>VÄSTERNORRLANDS LÄN</t>
        </is>
      </c>
      <c r="G260" t="inlineStr">
        <is>
          <t>HÄRNÖSAND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46273</v>
      </c>
      <c r="F261" t="inlineStr">
        <is>
          <t>VÄSTERNORRLANDS LÄN</t>
        </is>
      </c>
      <c r="G261" t="inlineStr">
        <is>
          <t>HÄRNÖSAND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46273</v>
      </c>
      <c r="F262" t="inlineStr">
        <is>
          <t>VÄSTERNORRLANDS LÄN</t>
        </is>
      </c>
      <c r="G262" t="inlineStr">
        <is>
          <t>HÄRNÖSAND</t>
        </is>
      </c>
      <c r="I262" t="n">
        <v>9.199999999999999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46161</v>
      </c>
      <c r="E263" s="1" t="n">
        <v>46273</v>
      </c>
      <c r="F263" t="inlineStr">
        <is>
          <t>VÄSTERNORRLANDS LÄN</t>
        </is>
      </c>
      <c r="G263" t="inlineStr">
        <is>
          <t>HÄRNÖSAND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46273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46273</v>
      </c>
      <c r="F265" t="inlineStr">
        <is>
          <t>VÄSTERNORRLANDS LÄN</t>
        </is>
      </c>
      <c r="G265" t="inlineStr">
        <is>
          <t>HÄRNÖSAND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23185-2026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46161</v>
      </c>
      <c r="E266" s="1" t="n">
        <v>46273</v>
      </c>
      <c r="F266" t="inlineStr">
        <is>
          <t>VÄSTERNORRLANDS LÄN</t>
        </is>
      </c>
      <c r="G266" t="inlineStr">
        <is>
          <t>HÄRNÖSAND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23231-2026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46273</v>
      </c>
      <c r="F267" t="inlineStr">
        <is>
          <t>VÄSTERNORRLANDS LÄN</t>
        </is>
      </c>
      <c r="G267" t="inlineStr">
        <is>
          <t>HÄRNÖSAND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23179-2026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46273</v>
      </c>
      <c r="F268" t="inlineStr">
        <is>
          <t>VÄSTERNORRLANDS LÄN</t>
        </is>
      </c>
      <c r="G268" t="inlineStr">
        <is>
          <t>HÄRNÖSAND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45786</v>
      </c>
      <c r="E269" s="1" t="n">
        <v>46273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31.8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45813</v>
      </c>
      <c r="E270" s="1" t="n">
        <v>46273</v>
      </c>
      <c r="F270" t="inlineStr">
        <is>
          <t>VÄSTERNORRLANDS LÄN</t>
        </is>
      </c>
      <c r="G270" t="inlineStr">
        <is>
          <t>HÄRNÖSAND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23233-2026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46162</v>
      </c>
      <c r="E271" s="1" t="n">
        <v>46273</v>
      </c>
      <c r="F271" t="inlineStr">
        <is>
          <t>VÄSTERNORRLANDS LÄN</t>
        </is>
      </c>
      <c r="G271" t="inlineStr">
        <is>
          <t>HÄRNÖSAND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45790</v>
      </c>
      <c r="E272" s="1" t="n">
        <v>46273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31.8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46273</v>
      </c>
      <c r="F273" t="inlineStr">
        <is>
          <t>VÄSTERNORRLANDS LÄN</t>
        </is>
      </c>
      <c r="G273" t="inlineStr">
        <is>
          <t>HÄRNÖSAND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46161</v>
      </c>
      <c r="E274" s="1" t="n">
        <v>46273</v>
      </c>
      <c r="F274" t="inlineStr">
        <is>
          <t>VÄSTERNORRLANDS LÄN</t>
        </is>
      </c>
      <c r="G274" t="inlineStr">
        <is>
          <t>HÄRNÖSAND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45723</v>
      </c>
      <c r="E275" s="1" t="n">
        <v>46273</v>
      </c>
      <c r="F275" t="inlineStr">
        <is>
          <t>VÄSTERNORRLANDS LÄN</t>
        </is>
      </c>
      <c r="G275" t="inlineStr">
        <is>
          <t>HÄRNÖSAND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46273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46273</v>
      </c>
      <c r="F277" t="inlineStr">
        <is>
          <t>VÄSTERNORRLANDS LÄN</t>
        </is>
      </c>
      <c r="G277" t="inlineStr">
        <is>
          <t>HÄRNÖSAND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46273</v>
      </c>
      <c r="F278" t="inlineStr">
        <is>
          <t>VÄSTERNORRLANDS LÄN</t>
        </is>
      </c>
      <c r="G278" t="inlineStr">
        <is>
          <t>HÄRNÖSAND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46273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46273</v>
      </c>
      <c r="F280" t="inlineStr">
        <is>
          <t>VÄSTERNORRLANDS LÄN</t>
        </is>
      </c>
      <c r="G280" t="inlineStr">
        <is>
          <t>HÄRNÖSAND</t>
        </is>
      </c>
      <c r="I280" t="n">
        <v>12.3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46273</v>
      </c>
      <c r="F281" t="inlineStr">
        <is>
          <t>VÄSTERNORRLANDS LÄN</t>
        </is>
      </c>
      <c r="G281" t="inlineStr">
        <is>
          <t>HÄRNÖSAND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44991</v>
      </c>
      <c r="E282" s="1" t="n">
        <v>46273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45638</v>
      </c>
      <c r="E283" s="1" t="n">
        <v>46273</v>
      </c>
      <c r="F283" t="inlineStr">
        <is>
          <t>VÄSTERNORRLANDS LÄN</t>
        </is>
      </c>
      <c r="G283" t="inlineStr">
        <is>
          <t>HÄRNÖSAND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46273</v>
      </c>
      <c r="F284" t="inlineStr">
        <is>
          <t>VÄSTERNORRLANDS LÄN</t>
        </is>
      </c>
      <c r="G284" t="inlineStr">
        <is>
          <t>HÄRNÖSAND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21585-2026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46149</v>
      </c>
      <c r="E285" s="1" t="n">
        <v>46273</v>
      </c>
      <c r="F285" t="inlineStr">
        <is>
          <t>VÄSTERNORRLANDS LÄN</t>
        </is>
      </c>
      <c r="G285" t="inlineStr">
        <is>
          <t>HÄRNÖSAND</t>
        </is>
      </c>
      <c r="I285" t="n">
        <v>13.8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45293</v>
      </c>
      <c r="E286" s="1" t="n">
        <v>46273</v>
      </c>
      <c r="F286" t="inlineStr">
        <is>
          <t>VÄSTERNORRLANDS LÄN</t>
        </is>
      </c>
      <c r="G286" t="inlineStr">
        <is>
          <t>HÄRNÖSAND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61574-2021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44497</v>
      </c>
      <c r="E287" s="1" t="n">
        <v>46273</v>
      </c>
      <c r="F287" t="inlineStr">
        <is>
          <t>VÄSTERNORRLANDS LÄN</t>
        </is>
      </c>
      <c r="G287" t="inlineStr">
        <is>
          <t>HÄRNÖSAND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45329</v>
      </c>
      <c r="E288" s="1" t="n">
        <v>46273</v>
      </c>
      <c r="F288" t="inlineStr">
        <is>
          <t>VÄSTERNORRLANDS LÄN</t>
        </is>
      </c>
      <c r="G288" t="inlineStr">
        <is>
          <t>HÄRNÖSAND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46165</v>
      </c>
      <c r="E289" s="1" t="n">
        <v>46273</v>
      </c>
      <c r="F289" t="inlineStr">
        <is>
          <t>VÄSTERNORRLANDS LÄN</t>
        </is>
      </c>
      <c r="G289" t="inlineStr">
        <is>
          <t>HÄRNÖSAND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46273</v>
      </c>
      <c r="F290" t="inlineStr">
        <is>
          <t>VÄSTERNORRLANDS LÄN</t>
        </is>
      </c>
      <c r="G290" t="inlineStr">
        <is>
          <t>HÄRNÖSAND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45793</v>
      </c>
      <c r="E291" s="1" t="n">
        <v>46273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45910</v>
      </c>
      <c r="E292" s="1" t="n">
        <v>46273</v>
      </c>
      <c r="F292" t="inlineStr">
        <is>
          <t>VÄSTERNORRLANDS LÄN</t>
        </is>
      </c>
      <c r="G292" t="inlineStr">
        <is>
          <t>HÄRNÖSAND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46273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46319-2022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46273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Kyrkan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46170</v>
      </c>
      <c r="E295" s="1" t="n">
        <v>46273</v>
      </c>
      <c r="F295" t="inlineStr">
        <is>
          <t>VÄSTERNORRLANDS LÄN</t>
        </is>
      </c>
      <c r="G295" t="inlineStr">
        <is>
          <t>HÄRNÖSAND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45352</v>
      </c>
      <c r="E296" s="1" t="n">
        <v>46273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46273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46273</v>
      </c>
      <c r="F298" t="inlineStr">
        <is>
          <t>VÄSTERNORRLANDS LÄN</t>
        </is>
      </c>
      <c r="G298" t="inlineStr">
        <is>
          <t>HÄRNÖSAND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46175</v>
      </c>
      <c r="E299" s="1" t="n">
        <v>46273</v>
      </c>
      <c r="F299" t="inlineStr">
        <is>
          <t>VÄSTERNORRLANDS LÄN</t>
        </is>
      </c>
      <c r="G299" t="inlineStr">
        <is>
          <t>HÄRNÖSAND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46273</v>
      </c>
      <c r="F300" t="inlineStr">
        <is>
          <t>VÄSTERNORRLANDS LÄN</t>
        </is>
      </c>
      <c r="G300" t="inlineStr">
        <is>
          <t>HÄRNÖSAND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46273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46273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45265</v>
      </c>
      <c r="E303" s="1" t="n">
        <v>46273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45281</v>
      </c>
      <c r="E304" s="1" t="n">
        <v>46273</v>
      </c>
      <c r="F304" t="inlineStr">
        <is>
          <t>VÄSTERNORRLANDS LÄN</t>
        </is>
      </c>
      <c r="G304" t="inlineStr">
        <is>
          <t>HÄRNÖSAND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46175</v>
      </c>
      <c r="E305" s="1" t="n">
        <v>46273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46273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46273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46273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46273</v>
      </c>
      <c r="F309" t="inlineStr">
        <is>
          <t>VÄSTERNORRLANDS LÄN</t>
        </is>
      </c>
      <c r="G309" t="inlineStr">
        <is>
          <t>HÄRNÖSAND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46273</v>
      </c>
      <c r="F310" t="inlineStr">
        <is>
          <t>VÄSTERNORRLANDS LÄN</t>
        </is>
      </c>
      <c r="G310" t="inlineStr">
        <is>
          <t>HÄRNÖSAND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46273</v>
      </c>
      <c r="F311" t="inlineStr">
        <is>
          <t>VÄSTERNORRLANDS LÄN</t>
        </is>
      </c>
      <c r="G311" t="inlineStr">
        <is>
          <t>HÄRNÖSAND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46273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46273</v>
      </c>
      <c r="F313" t="inlineStr">
        <is>
          <t>VÄSTERNORRLANDS LÄN</t>
        </is>
      </c>
      <c r="G313" t="inlineStr">
        <is>
          <t>HÄRNÖSAND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46273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46273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46273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25451-2026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46177</v>
      </c>
      <c r="E317" s="1" t="n">
        <v>46273</v>
      </c>
      <c r="F317" t="inlineStr">
        <is>
          <t>VÄSTERNORRLANDS LÄN</t>
        </is>
      </c>
      <c r="G317" t="inlineStr">
        <is>
          <t>HÄRNÖSAND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46273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46273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46273</v>
      </c>
      <c r="F320" t="inlineStr">
        <is>
          <t>VÄSTERNORRLANDS LÄN</t>
        </is>
      </c>
      <c r="G320" t="inlineStr">
        <is>
          <t>HÄRNÖSAND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46177</v>
      </c>
      <c r="E321" s="1" t="n">
        <v>46273</v>
      </c>
      <c r="F321" t="inlineStr">
        <is>
          <t>VÄSTERNORRLANDS LÄN</t>
        </is>
      </c>
      <c r="G321" t="inlineStr">
        <is>
          <t>HÄRNÖSAND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46273</v>
      </c>
      <c r="F322" t="inlineStr">
        <is>
          <t>VÄSTERNORRLANDS LÄN</t>
        </is>
      </c>
      <c r="G322" t="inlineStr">
        <is>
          <t>HÄRNÖSAND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45409</v>
      </c>
      <c r="E323" s="1" t="n">
        <v>46273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46273</v>
      </c>
      <c r="F324" t="inlineStr">
        <is>
          <t>VÄSTERNORRLANDS LÄN</t>
        </is>
      </c>
      <c r="G324" t="inlineStr">
        <is>
          <t>HÄRNÖSAND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39954-2022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44819</v>
      </c>
      <c r="E325" s="1" t="n">
        <v>46273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64023-2023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45278</v>
      </c>
      <c r="E326" s="1" t="n">
        <v>46273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46273</v>
      </c>
      <c r="F327" t="inlineStr">
        <is>
          <t>VÄSTERNORRLANDS LÄN</t>
        </is>
      </c>
      <c r="G327" t="inlineStr">
        <is>
          <t>HÄRNÖSAND</t>
        </is>
      </c>
      <c r="I327" t="n">
        <v>8.6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45987</v>
      </c>
      <c r="E328" s="1" t="n">
        <v>46273</v>
      </c>
      <c r="F328" t="inlineStr">
        <is>
          <t>VÄSTERNORRLANDS LÄN</t>
        </is>
      </c>
      <c r="G328" t="inlineStr">
        <is>
          <t>HÄRNÖSAND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46273</v>
      </c>
      <c r="F329" t="inlineStr">
        <is>
          <t>VÄSTERNORRLANDS LÄN</t>
        </is>
      </c>
      <c r="G329" t="inlineStr">
        <is>
          <t>HÄRNÖSAND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25974-2026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46273</v>
      </c>
      <c r="F330" t="inlineStr">
        <is>
          <t>VÄSTERNORRLANDS LÄN</t>
        </is>
      </c>
      <c r="G330" t="inlineStr">
        <is>
          <t>HÄRNÖSAND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46273</v>
      </c>
      <c r="F331" t="inlineStr">
        <is>
          <t>VÄSTERNORRLANDS LÄN</t>
        </is>
      </c>
      <c r="G331" t="inlineStr">
        <is>
          <t>HÄRNÖSAND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26256-2026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46273</v>
      </c>
      <c r="F332" t="inlineStr">
        <is>
          <t>VÄSTERNORRLANDS LÄN</t>
        </is>
      </c>
      <c r="G332" t="inlineStr">
        <is>
          <t>HÄRNÖSAND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46273</v>
      </c>
      <c r="F333" t="inlineStr">
        <is>
          <t>VÄSTERNORRLANDS LÄN</t>
        </is>
      </c>
      <c r="G333" t="inlineStr">
        <is>
          <t>HÄRNÖSAND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46273</v>
      </c>
      <c r="F334" t="inlineStr">
        <is>
          <t>VÄSTERNORRLANDS LÄN</t>
        </is>
      </c>
      <c r="G334" t="inlineStr">
        <is>
          <t>HÄRNÖSAND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34161-2022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44791</v>
      </c>
      <c r="E335" s="1" t="n">
        <v>46273</v>
      </c>
      <c r="F335" t="inlineStr">
        <is>
          <t>VÄSTERNORRLANDS LÄN</t>
        </is>
      </c>
      <c r="G335" t="inlineStr">
        <is>
          <t>HÄRNÖSAND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46273</v>
      </c>
      <c r="F336" t="inlineStr">
        <is>
          <t>VÄSTERNORRLANDS LÄN</t>
        </is>
      </c>
      <c r="G336" t="inlineStr">
        <is>
          <t>HÄRNÖSAND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62333-2021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44502</v>
      </c>
      <c r="E337" s="1" t="n">
        <v>46273</v>
      </c>
      <c r="F337" t="inlineStr">
        <is>
          <t>VÄSTERNORRLANDS LÄN</t>
        </is>
      </c>
      <c r="G337" t="inlineStr">
        <is>
          <t>HÄRNÖSAND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45126</v>
      </c>
      <c r="E338" s="1" t="n">
        <v>46273</v>
      </c>
      <c r="F338" t="inlineStr">
        <is>
          <t>VÄSTERNORRLANDS LÄN</t>
        </is>
      </c>
      <c r="G338" t="inlineStr">
        <is>
          <t>HÄRNÖSAND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45126</v>
      </c>
      <c r="E339" s="1" t="n">
        <v>46273</v>
      </c>
      <c r="F339" t="inlineStr">
        <is>
          <t>VÄSTERNORRLANDS LÄN</t>
        </is>
      </c>
      <c r="G339" t="inlineStr">
        <is>
          <t>HÄRNÖSAND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45228</v>
      </c>
      <c r="E340" s="1" t="n">
        <v>46273</v>
      </c>
      <c r="F340" t="inlineStr">
        <is>
          <t>VÄSTERNORRLANDS LÄN</t>
        </is>
      </c>
      <c r="G340" t="inlineStr">
        <is>
          <t>HÄRNÖSAND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45161</v>
      </c>
      <c r="E341" s="1" t="n">
        <v>46273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46273</v>
      </c>
      <c r="F342" t="inlineStr">
        <is>
          <t>VÄSTERNORRLANDS LÄN</t>
        </is>
      </c>
      <c r="G342" t="inlineStr">
        <is>
          <t>HÄRNÖSAND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46273</v>
      </c>
      <c r="F343" t="inlineStr">
        <is>
          <t>VÄSTERNORRLANDS LÄN</t>
        </is>
      </c>
      <c r="G343" t="inlineStr">
        <is>
          <t>HÄRNÖSAND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46273</v>
      </c>
      <c r="F344" t="inlineStr">
        <is>
          <t>VÄSTERNORRLANDS LÄN</t>
        </is>
      </c>
      <c r="G344" t="inlineStr">
        <is>
          <t>HÄRNÖSAND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46189</v>
      </c>
      <c r="E345" s="1" t="n">
        <v>46273</v>
      </c>
      <c r="F345" t="inlineStr">
        <is>
          <t>VÄSTERNORRLANDS LÄN</t>
        </is>
      </c>
      <c r="G345" t="inlineStr">
        <is>
          <t>HÄRNÖSAND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45390</v>
      </c>
      <c r="E346" s="1" t="n">
        <v>46273</v>
      </c>
      <c r="F346" t="inlineStr">
        <is>
          <t>VÄSTERNORRLANDS LÄN</t>
        </is>
      </c>
      <c r="G346" t="inlineStr">
        <is>
          <t>HÄRNÖSAND</t>
        </is>
      </c>
      <c r="I346" t="n">
        <v>14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46273</v>
      </c>
      <c r="F347" t="inlineStr">
        <is>
          <t>VÄSTERNORRLANDS LÄN</t>
        </is>
      </c>
      <c r="G347" t="inlineStr">
        <is>
          <t>HÄRNÖSAND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45800</v>
      </c>
      <c r="E348" s="1" t="n">
        <v>46273</v>
      </c>
      <c r="F348" t="inlineStr">
        <is>
          <t>VÄSTERNORRLANDS LÄN</t>
        </is>
      </c>
      <c r="G348" t="inlineStr">
        <is>
          <t>HÄRNÖSAND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46273</v>
      </c>
      <c r="F349" t="inlineStr">
        <is>
          <t>VÄSTERNORRLANDS LÄN</t>
        </is>
      </c>
      <c r="G349" t="inlineStr">
        <is>
          <t>HÄRNÖSAND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45148</v>
      </c>
      <c r="E350" s="1" t="n">
        <v>46273</v>
      </c>
      <c r="F350" t="inlineStr">
        <is>
          <t>VÄSTERNORRLANDS LÄN</t>
        </is>
      </c>
      <c r="G350" t="inlineStr">
        <is>
          <t>HÄRNÖSAND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46273</v>
      </c>
      <c r="F351" t="inlineStr">
        <is>
          <t>VÄSTERNORRLANDS LÄN</t>
        </is>
      </c>
      <c r="G351" t="inlineStr">
        <is>
          <t>HÄRNÖSAND</t>
        </is>
      </c>
      <c r="I351" t="n">
        <v>12.5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41147-2023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45173</v>
      </c>
      <c r="E352" s="1" t="n">
        <v>46273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46232</v>
      </c>
      <c r="E353" s="1" t="n">
        <v>46273</v>
      </c>
      <c r="F353" t="inlineStr">
        <is>
          <t>VÄSTERNORRLANDS LÄN</t>
        </is>
      </c>
      <c r="G353" t="inlineStr">
        <is>
          <t>HÄRNÖSAND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46189</v>
      </c>
      <c r="E354" s="1" t="n">
        <v>46273</v>
      </c>
      <c r="F354" t="inlineStr">
        <is>
          <t>VÄSTERNORRLANDS LÄN</t>
        </is>
      </c>
      <c r="G354" t="inlineStr">
        <is>
          <t>HÄRNÖSAND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46273</v>
      </c>
      <c r="F355" t="inlineStr">
        <is>
          <t>VÄSTERNORRLANDS LÄN</t>
        </is>
      </c>
      <c r="G355" t="inlineStr">
        <is>
          <t>HÄRNÖSAND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46189</v>
      </c>
      <c r="E356" s="1" t="n">
        <v>46273</v>
      </c>
      <c r="F356" t="inlineStr">
        <is>
          <t>VÄSTERNORRLANDS LÄN</t>
        </is>
      </c>
      <c r="G356" t="inlineStr">
        <is>
          <t>HÄRNÖSAND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46189</v>
      </c>
      <c r="E357" s="1" t="n">
        <v>46273</v>
      </c>
      <c r="F357" t="inlineStr">
        <is>
          <t>VÄSTERNORRLANDS LÄN</t>
        </is>
      </c>
      <c r="G357" t="inlineStr">
        <is>
          <t>HÄRNÖSAND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60970-2021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44496</v>
      </c>
      <c r="E358" s="1" t="n">
        <v>46273</v>
      </c>
      <c r="F358" t="inlineStr">
        <is>
          <t>VÄSTERNORRLANDS LÄN</t>
        </is>
      </c>
      <c r="G358" t="inlineStr">
        <is>
          <t>HÄRNÖSAND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46189</v>
      </c>
      <c r="E359" s="1" t="n">
        <v>46273</v>
      </c>
      <c r="F359" t="inlineStr">
        <is>
          <t>VÄSTERNORRLANDS LÄN</t>
        </is>
      </c>
      <c r="G359" t="inlineStr">
        <is>
          <t>HÄRNÖSAND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46189</v>
      </c>
      <c r="E360" s="1" t="n">
        <v>46273</v>
      </c>
      <c r="F360" t="inlineStr">
        <is>
          <t>VÄSTERNORRLANDS LÄN</t>
        </is>
      </c>
      <c r="G360" t="inlineStr">
        <is>
          <t>HÄRNÖSAND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16047-2024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45405</v>
      </c>
      <c r="E361" s="1" t="n">
        <v>46273</v>
      </c>
      <c r="F361" t="inlineStr">
        <is>
          <t>VÄSTERNORRLANDS LÄN</t>
        </is>
      </c>
      <c r="G361" t="inlineStr">
        <is>
          <t>HÄRNÖSAND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27922-2026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46191</v>
      </c>
      <c r="E362" s="1" t="n">
        <v>46273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16866-2024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45409</v>
      </c>
      <c r="E363" s="1" t="n">
        <v>46273</v>
      </c>
      <c r="F363" t="inlineStr">
        <is>
          <t>VÄSTERNORRLANDS LÄN</t>
        </is>
      </c>
      <c r="G363" t="inlineStr">
        <is>
          <t>HÄRNÖSAND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45334</v>
      </c>
      <c r="E364" s="1" t="n">
        <v>46273</v>
      </c>
      <c r="F364" t="inlineStr">
        <is>
          <t>VÄSTERNORRLANDS LÄN</t>
        </is>
      </c>
      <c r="G364" t="inlineStr">
        <is>
          <t>HÄRNÖSAND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46273</v>
      </c>
      <c r="F365" t="inlineStr">
        <is>
          <t>VÄSTERNORRLANDS LÄN</t>
        </is>
      </c>
      <c r="G365" t="inlineStr">
        <is>
          <t>HÄRNÖSAND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45628</v>
      </c>
      <c r="E366" s="1" t="n">
        <v>46273</v>
      </c>
      <c r="F366" t="inlineStr">
        <is>
          <t>VÄSTERNORRLANDS LÄN</t>
        </is>
      </c>
      <c r="G366" t="inlineStr">
        <is>
          <t>HÄRNÖSAND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46013</v>
      </c>
      <c r="E367" s="1" t="n">
        <v>46273</v>
      </c>
      <c r="F367" t="inlineStr">
        <is>
          <t>VÄSTERNORRLANDS LÄN</t>
        </is>
      </c>
      <c r="G367" t="inlineStr">
        <is>
          <t>HÄRNÖSAND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46195</v>
      </c>
      <c r="E368" s="1" t="n">
        <v>46273</v>
      </c>
      <c r="F368" t="inlineStr">
        <is>
          <t>VÄSTERNORRLANDS LÄN</t>
        </is>
      </c>
      <c r="G368" t="inlineStr">
        <is>
          <t>HÄRNÖSAND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46195</v>
      </c>
      <c r="E369" s="1" t="n">
        <v>46273</v>
      </c>
      <c r="F369" t="inlineStr">
        <is>
          <t>VÄSTERNORRLANDS LÄN</t>
        </is>
      </c>
      <c r="G369" t="inlineStr">
        <is>
          <t>HÄRNÖSAND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46273</v>
      </c>
      <c r="F370" t="inlineStr">
        <is>
          <t>VÄSTERNORRLANDS LÄN</t>
        </is>
      </c>
      <c r="G370" t="inlineStr">
        <is>
          <t>HÄRNÖSAND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32293-2026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46237</v>
      </c>
      <c r="E371" s="1" t="n">
        <v>46273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46273</v>
      </c>
      <c r="F372" t="inlineStr">
        <is>
          <t>VÄSTERNORRLANDS LÄN</t>
        </is>
      </c>
      <c r="G372" t="inlineStr">
        <is>
          <t>HÄRNÖSAND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46273</v>
      </c>
      <c r="F373" t="inlineStr">
        <is>
          <t>VÄSTERNORRLANDS LÄN</t>
        </is>
      </c>
      <c r="G373" t="inlineStr">
        <is>
          <t>HÄRNÖSAND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46195</v>
      </c>
      <c r="E374" s="1" t="n">
        <v>46273</v>
      </c>
      <c r="F374" t="inlineStr">
        <is>
          <t>VÄSTERNORRLANDS LÄN</t>
        </is>
      </c>
      <c r="G374" t="inlineStr">
        <is>
          <t>HÄRNÖSAND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46239</v>
      </c>
      <c r="E375" s="1" t="n">
        <v>46273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46024</v>
      </c>
      <c r="E376" s="1" t="n">
        <v>46273</v>
      </c>
      <c r="F376" t="inlineStr">
        <is>
          <t>VÄSTERNORRLANDS LÄN</t>
        </is>
      </c>
      <c r="G376" t="inlineStr">
        <is>
          <t>HÄRNÖSAND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46024</v>
      </c>
      <c r="E377" s="1" t="n">
        <v>46273</v>
      </c>
      <c r="F377" t="inlineStr">
        <is>
          <t>VÄSTERNORRLANDS LÄN</t>
        </is>
      </c>
      <c r="G377" t="inlineStr">
        <is>
          <t>HÄRNÖSAND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46023</v>
      </c>
      <c r="E378" s="1" t="n">
        <v>46273</v>
      </c>
      <c r="F378" t="inlineStr">
        <is>
          <t>VÄSTERNORRLANDS LÄN</t>
        </is>
      </c>
      <c r="G378" t="inlineStr">
        <is>
          <t>HÄRNÖSAND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46024</v>
      </c>
      <c r="E379" s="1" t="n">
        <v>46273</v>
      </c>
      <c r="F379" t="inlineStr">
        <is>
          <t>VÄSTERNORRLANDS LÄN</t>
        </is>
      </c>
      <c r="G379" t="inlineStr">
        <is>
          <t>HÄRNÖSAND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44641</v>
      </c>
      <c r="E380" s="1" t="n">
        <v>46273</v>
      </c>
      <c r="F380" t="inlineStr">
        <is>
          <t>VÄSTERNORRLANDS LÄN</t>
        </is>
      </c>
      <c r="G380" t="inlineStr">
        <is>
          <t>HÄRNÖSAND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46023</v>
      </c>
      <c r="E381" s="1" t="n">
        <v>46273</v>
      </c>
      <c r="F381" t="inlineStr">
        <is>
          <t>VÄSTERNORRLANDS LÄN</t>
        </is>
      </c>
      <c r="G381" t="inlineStr">
        <is>
          <t>HÄRNÖSAND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46023</v>
      </c>
      <c r="E382" s="1" t="n">
        <v>46273</v>
      </c>
      <c r="F382" t="inlineStr">
        <is>
          <t>VÄSTERNORRLANDS LÄN</t>
        </is>
      </c>
      <c r="G382" t="inlineStr">
        <is>
          <t>HÄRNÖSAND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46024</v>
      </c>
      <c r="E383" s="1" t="n">
        <v>46273</v>
      </c>
      <c r="F383" t="inlineStr">
        <is>
          <t>VÄSTERNORRLANDS LÄN</t>
        </is>
      </c>
      <c r="G383" t="inlineStr">
        <is>
          <t>HÄRNÖSAND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40237-2023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45168</v>
      </c>
      <c r="E384" s="1" t="n">
        <v>46273</v>
      </c>
      <c r="F384" t="inlineStr">
        <is>
          <t>VÄSTERNORRLANDS LÄN</t>
        </is>
      </c>
      <c r="G384" t="inlineStr">
        <is>
          <t>HÄRNÖSAND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32421-2024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45512</v>
      </c>
      <c r="E385" s="1" t="n">
        <v>46273</v>
      </c>
      <c r="F385" t="inlineStr">
        <is>
          <t>VÄSTERNORRLANDS LÄN</t>
        </is>
      </c>
      <c r="G385" t="inlineStr">
        <is>
          <t>HÄRNÖSAND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45639</v>
      </c>
      <c r="E386" s="1" t="n">
        <v>46273</v>
      </c>
      <c r="F386" t="inlineStr">
        <is>
          <t>VÄSTERNORRLANDS LÄN</t>
        </is>
      </c>
      <c r="G386" t="inlineStr">
        <is>
          <t>HÄRNÖSAND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46026</v>
      </c>
      <c r="E387" s="1" t="n">
        <v>46273</v>
      </c>
      <c r="F387" t="inlineStr">
        <is>
          <t>VÄSTERNORRLANDS LÄN</t>
        </is>
      </c>
      <c r="G387" t="inlineStr">
        <is>
          <t>HÄRNÖSAND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780-2026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46029</v>
      </c>
      <c r="E388" s="1" t="n">
        <v>46273</v>
      </c>
      <c r="F388" t="inlineStr">
        <is>
          <t>VÄSTERNORRLANDS LÄN</t>
        </is>
      </c>
      <c r="G388" t="inlineStr">
        <is>
          <t>HÄRNÖSAND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46273</v>
      </c>
      <c r="F389" t="inlineStr">
        <is>
          <t>VÄSTERNORRLANDS LÄN</t>
        </is>
      </c>
      <c r="G389" t="inlineStr">
        <is>
          <t>HÄRNÖSAND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46273</v>
      </c>
      <c r="F390" t="inlineStr">
        <is>
          <t>VÄSTERNORRLANDS LÄN</t>
        </is>
      </c>
      <c r="G390" t="inlineStr">
        <is>
          <t>HÄRNÖSAND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46273</v>
      </c>
      <c r="F391" t="inlineStr">
        <is>
          <t>VÄSTERNORRLANDS LÄN</t>
        </is>
      </c>
      <c r="G391" t="inlineStr">
        <is>
          <t>HÄRNÖSAND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46273</v>
      </c>
      <c r="F392" t="inlineStr">
        <is>
          <t>VÄSTERNORRLANDS LÄN</t>
        </is>
      </c>
      <c r="G392" t="inlineStr">
        <is>
          <t>HÄRNÖSAND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46273</v>
      </c>
      <c r="F393" t="inlineStr">
        <is>
          <t>VÄSTERNORRLANDS LÄN</t>
        </is>
      </c>
      <c r="G393" t="inlineStr">
        <is>
          <t>HÄRNÖSAND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46273</v>
      </c>
      <c r="F394" t="inlineStr">
        <is>
          <t>VÄSTERNORRLANDS LÄN</t>
        </is>
      </c>
      <c r="G394" t="inlineStr">
        <is>
          <t>HÄRNÖSAND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46273</v>
      </c>
      <c r="F395" t="inlineStr">
        <is>
          <t>VÄSTERNORRLANDS LÄN</t>
        </is>
      </c>
      <c r="G395" t="inlineStr">
        <is>
          <t>HÄRNÖSAND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45595</v>
      </c>
      <c r="E396" s="1" t="n">
        <v>46273</v>
      </c>
      <c r="F396" t="inlineStr">
        <is>
          <t>VÄSTERNORRLANDS LÄN</t>
        </is>
      </c>
      <c r="G396" t="inlineStr">
        <is>
          <t>HÄRNÖSAND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49364-2024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45595</v>
      </c>
      <c r="E397" s="1" t="n">
        <v>46273</v>
      </c>
      <c r="F397" t="inlineStr">
        <is>
          <t>VÄSTERNORRLANDS LÄN</t>
        </is>
      </c>
      <c r="G397" t="inlineStr">
        <is>
          <t>HÄRNÖSAND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54091-2024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45616</v>
      </c>
      <c r="E398" s="1" t="n">
        <v>46273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46035</v>
      </c>
      <c r="E399" s="1" t="n">
        <v>46273</v>
      </c>
      <c r="F399" t="inlineStr">
        <is>
          <t>VÄSTERNORRLANDS LÄN</t>
        </is>
      </c>
      <c r="G399" t="inlineStr">
        <is>
          <t>HÄRNÖSAND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46273</v>
      </c>
      <c r="F400" t="inlineStr">
        <is>
          <t>VÄSTERNORRLANDS LÄN</t>
        </is>
      </c>
      <c r="G400" t="inlineStr">
        <is>
          <t>HÄRNÖSAND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46038</v>
      </c>
      <c r="E401" s="1" t="n">
        <v>46273</v>
      </c>
      <c r="F401" t="inlineStr">
        <is>
          <t>VÄSTERNORRLANDS LÄN</t>
        </is>
      </c>
      <c r="G401" t="inlineStr">
        <is>
          <t>HÄRNÖSAND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16979-2022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44676</v>
      </c>
      <c r="E402" s="1" t="n">
        <v>46273</v>
      </c>
      <c r="F402" t="inlineStr">
        <is>
          <t>VÄSTERNORRLANDS LÄN</t>
        </is>
      </c>
      <c r="G402" t="inlineStr">
        <is>
          <t>HÄRNÖSAND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46273</v>
      </c>
      <c r="F403" t="inlineStr">
        <is>
          <t>VÄSTERNORRLANDS LÄN</t>
        </is>
      </c>
      <c r="G403" t="inlineStr">
        <is>
          <t>HÄRNÖSAND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19827-2022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44694</v>
      </c>
      <c r="E404" s="1" t="n">
        <v>46273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32847-2026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46244</v>
      </c>
      <c r="E405" s="1" t="n">
        <v>46273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Kyrkan</t>
        </is>
      </c>
      <c r="I405" t="n">
        <v>24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46045</v>
      </c>
      <c r="E406" s="1" t="n">
        <v>46273</v>
      </c>
      <c r="F406" t="inlineStr">
        <is>
          <t>VÄSTERNORRLANDS LÄN</t>
        </is>
      </c>
      <c r="G406" t="inlineStr">
        <is>
          <t>HÄRNÖSAND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54560-2024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46273</v>
      </c>
      <c r="F407" t="inlineStr">
        <is>
          <t>VÄSTERNORRLANDS LÄN</t>
        </is>
      </c>
      <c r="G407" t="inlineStr">
        <is>
          <t>HÄRNÖSAND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45762</v>
      </c>
      <c r="E408" s="1" t="n">
        <v>46273</v>
      </c>
      <c r="F408" t="inlineStr">
        <is>
          <t>VÄSTERNORRLANDS LÄN</t>
        </is>
      </c>
      <c r="G408" t="inlineStr">
        <is>
          <t>HÄRNÖSAND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46273</v>
      </c>
      <c r="F409" t="inlineStr">
        <is>
          <t>VÄSTERNORRLANDS LÄN</t>
        </is>
      </c>
      <c r="G409" t="inlineStr">
        <is>
          <t>HÄRNÖSAND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9727-2022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44617</v>
      </c>
      <c r="E410" s="1" t="n">
        <v>46273</v>
      </c>
      <c r="F410" t="inlineStr">
        <is>
          <t>VÄSTERNORRLANDS LÄN</t>
        </is>
      </c>
      <c r="G410" t="inlineStr">
        <is>
          <t>HÄRNÖSAND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45428</v>
      </c>
      <c r="E411" s="1" t="n">
        <v>46273</v>
      </c>
      <c r="F411" t="inlineStr">
        <is>
          <t>VÄSTERNORRLANDS LÄN</t>
        </is>
      </c>
      <c r="G411" t="inlineStr">
        <is>
          <t>HÄRNÖSAND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39044-2023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45163</v>
      </c>
      <c r="E412" s="1" t="n">
        <v>46273</v>
      </c>
      <c r="F412" t="inlineStr">
        <is>
          <t>VÄSTERNORRLANDS LÄN</t>
        </is>
      </c>
      <c r="G412" t="inlineStr">
        <is>
          <t>HÄRNÖSAND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46273</v>
      </c>
      <c r="F413" t="inlineStr">
        <is>
          <t>VÄSTERNORRLANDS LÄN</t>
        </is>
      </c>
      <c r="G413" t="inlineStr">
        <is>
          <t>HÄRNÖSAND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46273</v>
      </c>
      <c r="F414" t="inlineStr">
        <is>
          <t>VÄSTERNORRLANDS LÄN</t>
        </is>
      </c>
      <c r="G414" t="inlineStr">
        <is>
          <t>HÄRNÖSAND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36496-2023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45152</v>
      </c>
      <c r="E415" s="1" t="n">
        <v>46273</v>
      </c>
      <c r="F415" t="inlineStr">
        <is>
          <t>VÄSTERNORRLANDS LÄN</t>
        </is>
      </c>
      <c r="G415" t="inlineStr">
        <is>
          <t>HÄRNÖSAND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49261-2022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46273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46273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46054</v>
      </c>
      <c r="E418" s="1" t="n">
        <v>46273</v>
      </c>
      <c r="F418" t="inlineStr">
        <is>
          <t>VÄSTERNORRLANDS LÄN</t>
        </is>
      </c>
      <c r="G418" t="inlineStr">
        <is>
          <t>HÄRNÖSAND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46273</v>
      </c>
      <c r="F419" t="inlineStr">
        <is>
          <t>VÄSTERNORRLANDS LÄN</t>
        </is>
      </c>
      <c r="G419" t="inlineStr">
        <is>
          <t>HÄRNÖSAND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46273</v>
      </c>
      <c r="F420" t="inlineStr">
        <is>
          <t>VÄSTERNORRLANDS LÄN</t>
        </is>
      </c>
      <c r="G420" t="inlineStr">
        <is>
          <t>HÄRNÖSAND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46273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46273</v>
      </c>
      <c r="F422" t="inlineStr">
        <is>
          <t>VÄSTERNORRLANDS LÄN</t>
        </is>
      </c>
      <c r="G422" t="inlineStr">
        <is>
          <t>HÄRNÖSAND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46273</v>
      </c>
      <c r="F423" t="inlineStr">
        <is>
          <t>VÄSTERNORRLANDS LÄN</t>
        </is>
      </c>
      <c r="G423" t="inlineStr">
        <is>
          <t>HÄRNÖSAND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46273</v>
      </c>
      <c r="F424" t="inlineStr">
        <is>
          <t>VÄSTERNORRLANDS LÄN</t>
        </is>
      </c>
      <c r="G424" t="inlineStr">
        <is>
          <t>HÄRNÖSAND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21471-2022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44706</v>
      </c>
      <c r="E425" s="1" t="n">
        <v>46273</v>
      </c>
      <c r="F425" t="inlineStr">
        <is>
          <t>VÄSTERNORRLANDS LÄN</t>
        </is>
      </c>
      <c r="G425" t="inlineStr">
        <is>
          <t>HÄRNÖSAND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24813-2022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44728</v>
      </c>
      <c r="E426" s="1" t="n">
        <v>46273</v>
      </c>
      <c r="F426" t="inlineStr">
        <is>
          <t>VÄSTERNORRLANDS LÄN</t>
        </is>
      </c>
      <c r="G426" t="inlineStr">
        <is>
          <t>HÄRNÖSAND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46273</v>
      </c>
      <c r="F427" t="inlineStr">
        <is>
          <t>VÄSTERNORRLANDS LÄN</t>
        </is>
      </c>
      <c r="G427" t="inlineStr">
        <is>
          <t>HÄRNÖSAND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46273</v>
      </c>
      <c r="F428" t="inlineStr">
        <is>
          <t>VÄSTERNORRLANDS LÄN</t>
        </is>
      </c>
      <c r="G428" t="inlineStr">
        <is>
          <t>HÄRNÖSAND</t>
        </is>
      </c>
      <c r="I428" t="n">
        <v>14.6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46273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Kyrkan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8414-2026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46273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Kyrkan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46273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Kyrkan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46273</v>
      </c>
      <c r="F432" t="inlineStr">
        <is>
          <t>VÄSTERNORRLANDS LÄN</t>
        </is>
      </c>
      <c r="G432" t="inlineStr">
        <is>
          <t>HÄRNÖSAND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46273</v>
      </c>
      <c r="F433" t="inlineStr">
        <is>
          <t>VÄSTERNORRLANDS LÄN</t>
        </is>
      </c>
      <c r="G433" t="inlineStr">
        <is>
          <t>HÄRNÖSAND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46204</v>
      </c>
      <c r="E434" s="1" t="n">
        <v>46273</v>
      </c>
      <c r="F434" t="inlineStr">
        <is>
          <t>VÄSTERNORRLANDS LÄN</t>
        </is>
      </c>
      <c r="G434" t="inlineStr">
        <is>
          <t>HÄRNÖSAND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46273</v>
      </c>
      <c r="F435" t="inlineStr">
        <is>
          <t>VÄSTERNORRLANDS LÄN</t>
        </is>
      </c>
      <c r="G435" t="inlineStr">
        <is>
          <t>HÄRNÖSAND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9161-2026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46070</v>
      </c>
      <c r="E436" s="1" t="n">
        <v>46273</v>
      </c>
      <c r="F436" t="inlineStr">
        <is>
          <t>VÄSTERNORRLANDS LÄN</t>
        </is>
      </c>
      <c r="G436" t="inlineStr">
        <is>
          <t>HÄRNÖSAND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9162-2026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46070</v>
      </c>
      <c r="E437" s="1" t="n">
        <v>46273</v>
      </c>
      <c r="F437" t="inlineStr">
        <is>
          <t>VÄSTERNORRLANDS LÄN</t>
        </is>
      </c>
      <c r="G437" t="inlineStr">
        <is>
          <t>HÄRNÖSAND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46273</v>
      </c>
      <c r="F438" t="inlineStr">
        <is>
          <t>VÄSTERNORRLANDS LÄN</t>
        </is>
      </c>
      <c r="G438" t="inlineStr">
        <is>
          <t>HÄRNÖSAND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46273</v>
      </c>
      <c r="F439" t="inlineStr">
        <is>
          <t>VÄSTERNORRLANDS LÄN</t>
        </is>
      </c>
      <c r="G439" t="inlineStr">
        <is>
          <t>HÄRNÖSAND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46273</v>
      </c>
      <c r="F440" t="inlineStr">
        <is>
          <t>VÄSTERNORRLANDS LÄN</t>
        </is>
      </c>
      <c r="G440" t="inlineStr">
        <is>
          <t>HÄRNÖSAND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46273</v>
      </c>
      <c r="F441" t="inlineStr">
        <is>
          <t>VÄSTERNORRLANDS LÄN</t>
        </is>
      </c>
      <c r="G441" t="inlineStr">
        <is>
          <t>HÄRNÖSAND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46273</v>
      </c>
      <c r="F442" t="inlineStr">
        <is>
          <t>VÄSTERNORRLANDS LÄN</t>
        </is>
      </c>
      <c r="G442" t="inlineStr">
        <is>
          <t>HÄRNÖSAND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9642-2026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46273</v>
      </c>
      <c r="F443" t="inlineStr">
        <is>
          <t>VÄSTERNORRLANDS LÄN</t>
        </is>
      </c>
      <c r="G443" t="inlineStr">
        <is>
          <t>HÄRNÖSAND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25746-2025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45800</v>
      </c>
      <c r="E444" s="1" t="n">
        <v>46273</v>
      </c>
      <c r="F444" t="inlineStr">
        <is>
          <t>VÄSTERNORRLANDS LÄN</t>
        </is>
      </c>
      <c r="G444" t="inlineStr">
        <is>
          <t>HÄRNÖSAND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46133</v>
      </c>
      <c r="E445" s="1" t="n">
        <v>46273</v>
      </c>
      <c r="F445" t="inlineStr">
        <is>
          <t>VÄSTERNORRLANDS LÄN</t>
        </is>
      </c>
      <c r="G445" t="inlineStr">
        <is>
          <t>HÄRNÖSAND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42646-2023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45181</v>
      </c>
      <c r="E446" s="1" t="n">
        <v>46273</v>
      </c>
      <c r="F446" t="inlineStr">
        <is>
          <t>VÄSTERNORRLANDS LÄN</t>
        </is>
      </c>
      <c r="G446" t="inlineStr">
        <is>
          <t>HÄRNÖSAND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46071</v>
      </c>
      <c r="E447" s="1" t="n">
        <v>46273</v>
      </c>
      <c r="F447" t="inlineStr">
        <is>
          <t>VÄSTERNORRLANDS LÄN</t>
        </is>
      </c>
      <c r="G447" t="inlineStr">
        <is>
          <t>HÄRNÖSAND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46071</v>
      </c>
      <c r="E448" s="1" t="n">
        <v>46273</v>
      </c>
      <c r="F448" t="inlineStr">
        <is>
          <t>VÄSTERNORRLANDS LÄN</t>
        </is>
      </c>
      <c r="G448" t="inlineStr">
        <is>
          <t>HÄRNÖSAND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46273</v>
      </c>
      <c r="F449" t="inlineStr">
        <is>
          <t>VÄSTERNORRLANDS LÄN</t>
        </is>
      </c>
      <c r="G449" t="inlineStr">
        <is>
          <t>HÄRNÖSAND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25007-2022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44728</v>
      </c>
      <c r="E450" s="1" t="n">
        <v>46273</v>
      </c>
      <c r="F450" t="inlineStr">
        <is>
          <t>VÄSTERNORRLANDS LÄN</t>
        </is>
      </c>
      <c r="G450" t="inlineStr">
        <is>
          <t>HÄRNÖSAND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30201-2026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46273</v>
      </c>
      <c r="F451" t="inlineStr">
        <is>
          <t>VÄSTERNORRLANDS LÄN</t>
        </is>
      </c>
      <c r="G451" t="inlineStr">
        <is>
          <t>HÄRNÖSAND</t>
        </is>
      </c>
      <c r="I451" t="n">
        <v>7.9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46273</v>
      </c>
      <c r="F452" t="inlineStr">
        <is>
          <t>VÄSTERNORRLANDS LÄN</t>
        </is>
      </c>
      <c r="G452" t="inlineStr">
        <is>
          <t>HÄRNÖSAND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45735-2023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46273</v>
      </c>
      <c r="F453" t="inlineStr">
        <is>
          <t>VÄSTERNORRLANDS LÄN</t>
        </is>
      </c>
      <c r="G453" t="inlineStr">
        <is>
          <t>HÄRNÖSAND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46273</v>
      </c>
      <c r="F454" t="inlineStr">
        <is>
          <t>VÄSTERNORRLANDS LÄN</t>
        </is>
      </c>
      <c r="G454" t="inlineStr">
        <is>
          <t>HÄRNÖSAND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30216-2026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46273</v>
      </c>
      <c r="F455" t="inlineStr">
        <is>
          <t>VÄSTERNORRLANDS LÄN</t>
        </is>
      </c>
      <c r="G455" t="inlineStr">
        <is>
          <t>HÄRNÖSAND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46206</v>
      </c>
      <c r="E456" s="1" t="n">
        <v>46273</v>
      </c>
      <c r="F456" t="inlineStr">
        <is>
          <t>VÄSTERNORRLANDS LÄN</t>
        </is>
      </c>
      <c r="G456" t="inlineStr">
        <is>
          <t>HÄRNÖSAND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46273</v>
      </c>
      <c r="F457" t="inlineStr">
        <is>
          <t>VÄSTERNORRLANDS LÄN</t>
        </is>
      </c>
      <c r="G457" t="inlineStr">
        <is>
          <t>HÄRNÖSAND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45699</v>
      </c>
      <c r="E458" s="1" t="n">
        <v>46273</v>
      </c>
      <c r="F458" t="inlineStr">
        <is>
          <t>VÄSTERNORRLANDS LÄN</t>
        </is>
      </c>
      <c r="G458" t="inlineStr">
        <is>
          <t>HÄRNÖSAND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34028-2026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46252</v>
      </c>
      <c r="E459" s="1" t="n">
        <v>46273</v>
      </c>
      <c r="F459" t="inlineStr">
        <is>
          <t>VÄSTERNORRLANDS LÄN</t>
        </is>
      </c>
      <c r="G459" t="inlineStr">
        <is>
          <t>HÄRNÖSAND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46273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40232-2023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46273</v>
      </c>
      <c r="F461" t="inlineStr">
        <is>
          <t>VÄSTERNORRLANDS LÄN</t>
        </is>
      </c>
      <c r="G461" t="inlineStr">
        <is>
          <t>HÄRNÖSAND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11202-2026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46080</v>
      </c>
      <c r="E462" s="1" t="n">
        <v>46273</v>
      </c>
      <c r="F462" t="inlineStr">
        <is>
          <t>VÄSTERNORRLANDS LÄN</t>
        </is>
      </c>
      <c r="G462" t="inlineStr">
        <is>
          <t>HÄRNÖSAND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46273</v>
      </c>
      <c r="F463" t="inlineStr">
        <is>
          <t>VÄSTERNORRLANDS LÄN</t>
        </is>
      </c>
      <c r="G463" t="inlineStr">
        <is>
          <t>HÄRNÖSAND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30711-2026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46211</v>
      </c>
      <c r="E464" s="1" t="n">
        <v>46273</v>
      </c>
      <c r="F464" t="inlineStr">
        <is>
          <t>VÄSTERNORRLANDS LÄN</t>
        </is>
      </c>
      <c r="G464" t="inlineStr">
        <is>
          <t>HÄRNÖSAND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11917-2026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46085</v>
      </c>
      <c r="E465" s="1" t="n">
        <v>46273</v>
      </c>
      <c r="F465" t="inlineStr">
        <is>
          <t>VÄSTERNORRLANDS LÄN</t>
        </is>
      </c>
      <c r="G465" t="inlineStr">
        <is>
          <t>HÄRNÖSAND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46273</v>
      </c>
      <c r="F466" t="inlineStr">
        <is>
          <t>VÄSTERNORRLANDS LÄN</t>
        </is>
      </c>
      <c r="G466" t="inlineStr">
        <is>
          <t>HÄRNÖSAND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24452-2022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44726</v>
      </c>
      <c r="E467" s="1" t="n">
        <v>46273</v>
      </c>
      <c r="F467" t="inlineStr">
        <is>
          <t>VÄSTERNORRLANDS LÄN</t>
        </is>
      </c>
      <c r="G467" t="inlineStr">
        <is>
          <t>HÄRNÖSAND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30710-2026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46211</v>
      </c>
      <c r="E468" s="1" t="n">
        <v>46273</v>
      </c>
      <c r="F468" t="inlineStr">
        <is>
          <t>VÄSTERNORRLANDS LÄN</t>
        </is>
      </c>
      <c r="G468" t="inlineStr">
        <is>
          <t>HÄRNÖSAND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46273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Övriga statliga verk och myndigheter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11078-2025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45723</v>
      </c>
      <c r="E470" s="1" t="n">
        <v>46273</v>
      </c>
      <c r="F470" t="inlineStr">
        <is>
          <t>VÄSTERNORRLANDS LÄN</t>
        </is>
      </c>
      <c r="G470" t="inlineStr">
        <is>
          <t>HÄRNÖSAND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12650-2026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46091</v>
      </c>
      <c r="E471" s="1" t="n">
        <v>46273</v>
      </c>
      <c r="F471" t="inlineStr">
        <is>
          <t>VÄSTERNORRLANDS LÄN</t>
        </is>
      </c>
      <c r="G471" t="inlineStr">
        <is>
          <t>HÄRNÖSAND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46091</v>
      </c>
      <c r="E472" s="1" t="n">
        <v>46273</v>
      </c>
      <c r="F472" t="inlineStr">
        <is>
          <t>VÄSTERNORRLANDS LÄN</t>
        </is>
      </c>
      <c r="G472" t="inlineStr">
        <is>
          <t>HÄRNÖSAND</t>
        </is>
      </c>
      <c r="I472" t="n">
        <v>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46091</v>
      </c>
      <c r="E473" s="1" t="n">
        <v>46273</v>
      </c>
      <c r="F473" t="inlineStr">
        <is>
          <t>VÄSTERNORRLANDS LÄN</t>
        </is>
      </c>
      <c r="G473" t="inlineStr">
        <is>
          <t>HÄRNÖSAND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46273</v>
      </c>
      <c r="F474" t="inlineStr">
        <is>
          <t>VÄSTERNORRLANDS LÄN</t>
        </is>
      </c>
      <c r="G474" t="inlineStr">
        <is>
          <t>HÄRNÖSAND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46091</v>
      </c>
      <c r="E475" s="1" t="n">
        <v>46273</v>
      </c>
      <c r="F475" t="inlineStr">
        <is>
          <t>VÄSTERNORRLANDS LÄN</t>
        </is>
      </c>
      <c r="G475" t="inlineStr">
        <is>
          <t>HÄRNÖSAND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46273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30971-2026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46213</v>
      </c>
      <c r="E477" s="1" t="n">
        <v>46273</v>
      </c>
      <c r="F477" t="inlineStr">
        <is>
          <t>VÄSTERNORRLANDS LÄN</t>
        </is>
      </c>
      <c r="G477" t="inlineStr">
        <is>
          <t>HÄRNÖSAND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46258</v>
      </c>
      <c r="E478" s="1" t="n">
        <v>46273</v>
      </c>
      <c r="F478" t="inlineStr">
        <is>
          <t>VÄSTERNORRLANDS LÄN</t>
        </is>
      </c>
      <c r="G478" t="inlineStr">
        <is>
          <t>HÄRNÖSAND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45348</v>
      </c>
      <c r="E479" s="1" t="n">
        <v>46273</v>
      </c>
      <c r="F479" t="inlineStr">
        <is>
          <t>VÄSTERNORRLANDS LÄN</t>
        </is>
      </c>
      <c r="G479" t="inlineStr">
        <is>
          <t>HÄRNÖSAND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30976-2026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46213</v>
      </c>
      <c r="E480" s="1" t="n">
        <v>46273</v>
      </c>
      <c r="F480" t="inlineStr">
        <is>
          <t>VÄSTERNORRLANDS LÄN</t>
        </is>
      </c>
      <c r="G480" t="inlineStr">
        <is>
          <t>HÄRNÖSAND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59155-2023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45251</v>
      </c>
      <c r="E481" s="1" t="n">
        <v>46273</v>
      </c>
      <c r="F481" t="inlineStr">
        <is>
          <t>VÄSTERNORRLANDS LÄN</t>
        </is>
      </c>
      <c r="G481" t="inlineStr">
        <is>
          <t>HÄRNÖSAND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30907-2026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46213</v>
      </c>
      <c r="E482" s="1" t="n">
        <v>46273</v>
      </c>
      <c r="F482" t="inlineStr">
        <is>
          <t>VÄSTERNORRLANDS LÄN</t>
        </is>
      </c>
      <c r="G482" t="inlineStr">
        <is>
          <t>HÄRNÖSAND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7852-2024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45350</v>
      </c>
      <c r="E483" s="1" t="n">
        <v>46273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SCA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45293</v>
      </c>
      <c r="E484" s="1" t="n">
        <v>46273</v>
      </c>
      <c r="F484" t="inlineStr">
        <is>
          <t>VÄSTERNORRLANDS LÄN</t>
        </is>
      </c>
      <c r="G484" t="inlineStr">
        <is>
          <t>HÄRNÖSAND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45320</v>
      </c>
      <c r="E485" s="1" t="n">
        <v>46273</v>
      </c>
      <c r="F485" t="inlineStr">
        <is>
          <t>VÄSTERNORRLANDS LÄN</t>
        </is>
      </c>
      <c r="G485" t="inlineStr">
        <is>
          <t>HÄRNÖSAND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13459-2026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46273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13488-2026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46273</v>
      </c>
      <c r="F487" t="inlineStr">
        <is>
          <t>VÄSTERNORRLANDS LÄN</t>
        </is>
      </c>
      <c r="G487" t="inlineStr">
        <is>
          <t>HÄRNÖSAND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46215</v>
      </c>
      <c r="E488" s="1" t="n">
        <v>46273</v>
      </c>
      <c r="F488" t="inlineStr">
        <is>
          <t>VÄSTERNORRLANDS LÄN</t>
        </is>
      </c>
      <c r="G488" t="inlineStr">
        <is>
          <t>HÄRNÖSAND</t>
        </is>
      </c>
      <c r="I488" t="n">
        <v>12.7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46215</v>
      </c>
      <c r="E489" s="1" t="n">
        <v>46273</v>
      </c>
      <c r="F489" t="inlineStr">
        <is>
          <t>VÄSTERNORRLANDS LÄN</t>
        </is>
      </c>
      <c r="G489" t="inlineStr">
        <is>
          <t>HÄRNÖSAND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55276-2023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45231</v>
      </c>
      <c r="E490" s="1" t="n">
        <v>46273</v>
      </c>
      <c r="F490" t="inlineStr">
        <is>
          <t>VÄSTERNORRLANDS LÄN</t>
        </is>
      </c>
      <c r="G490" t="inlineStr">
        <is>
          <t>HÄRNÖSAND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44747</v>
      </c>
      <c r="E491" s="1" t="n">
        <v>46273</v>
      </c>
      <c r="F491" t="inlineStr">
        <is>
          <t>VÄSTERNORRLANDS LÄN</t>
        </is>
      </c>
      <c r="G491" t="inlineStr">
        <is>
          <t>HÄRNÖSAND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45072</v>
      </c>
      <c r="E492" s="1" t="n">
        <v>46273</v>
      </c>
      <c r="F492" t="inlineStr">
        <is>
          <t>VÄSTERNORRLANDS LÄN</t>
        </is>
      </c>
      <c r="G492" t="inlineStr">
        <is>
          <t>HÄRNÖSAND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14665-2026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46101</v>
      </c>
      <c r="E493" s="1" t="n">
        <v>46273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45313</v>
      </c>
      <c r="E494" s="1" t="n">
        <v>46273</v>
      </c>
      <c r="F494" t="inlineStr">
        <is>
          <t>VÄSTERNORRLANDS LÄN</t>
        </is>
      </c>
      <c r="G494" t="inlineStr">
        <is>
          <t>HÄRNÖSAND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45366</v>
      </c>
      <c r="E495" s="1" t="n">
        <v>46273</v>
      </c>
      <c r="F495" t="inlineStr">
        <is>
          <t>VÄSTERNORRLANDS LÄN</t>
        </is>
      </c>
      <c r="G495" t="inlineStr">
        <is>
          <t>HÄRNÖSAND</t>
        </is>
      </c>
      <c r="I495" t="n">
        <v>8.4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35125-2026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46260</v>
      </c>
      <c r="E496" s="1" t="n">
        <v>46273</v>
      </c>
      <c r="F496" t="inlineStr">
        <is>
          <t>VÄSTERNORRLANDS LÄN</t>
        </is>
      </c>
      <c r="G496" t="inlineStr">
        <is>
          <t>HÄRNÖSAND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46273</v>
      </c>
      <c r="F497" t="inlineStr">
        <is>
          <t>VÄSTERNORRLANDS LÄN</t>
        </is>
      </c>
      <c r="G497" t="inlineStr">
        <is>
          <t>HÄRNÖSAND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46273</v>
      </c>
      <c r="F498" t="inlineStr">
        <is>
          <t>VÄSTERNORRLANDS LÄN</t>
        </is>
      </c>
      <c r="G498" t="inlineStr">
        <is>
          <t>HÄRNÖSAND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46273</v>
      </c>
      <c r="F499" t="inlineStr">
        <is>
          <t>VÄSTERNORRLANDS LÄN</t>
        </is>
      </c>
      <c r="G499" t="inlineStr">
        <is>
          <t>HÄRNÖSAND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46273</v>
      </c>
      <c r="F500" t="inlineStr">
        <is>
          <t>VÄSTERNORRLANDS LÄN</t>
        </is>
      </c>
      <c r="G500" t="inlineStr">
        <is>
          <t>HÄRNÖSAND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15137-2026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46105</v>
      </c>
      <c r="E501" s="1" t="n">
        <v>46273</v>
      </c>
      <c r="F501" t="inlineStr">
        <is>
          <t>VÄSTERNORRLANDS LÄN</t>
        </is>
      </c>
      <c r="G501" t="inlineStr">
        <is>
          <t>HÄRNÖSAND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44853</v>
      </c>
      <c r="E502" s="1" t="n">
        <v>46273</v>
      </c>
      <c r="F502" t="inlineStr">
        <is>
          <t>VÄSTERNORRLANDS LÄN</t>
        </is>
      </c>
      <c r="G502" t="inlineStr">
        <is>
          <t>HÄRNÖSAND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46273</v>
      </c>
      <c r="F503" t="inlineStr">
        <is>
          <t>VÄSTERNORRLANDS LÄN</t>
        </is>
      </c>
      <c r="G503" t="inlineStr">
        <is>
          <t>HÄRNÖSAND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46262</v>
      </c>
      <c r="E504" s="1" t="n">
        <v>46273</v>
      </c>
      <c r="F504" t="inlineStr">
        <is>
          <t>VÄSTERNORRLANDS LÄN</t>
        </is>
      </c>
      <c r="G504" t="inlineStr">
        <is>
          <t>HÄRNÖSAND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15921-2026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46273</v>
      </c>
      <c r="F505" t="inlineStr">
        <is>
          <t>VÄSTERNORRLANDS LÄN</t>
        </is>
      </c>
      <c r="G505" t="inlineStr">
        <is>
          <t>HÄRNÖSAND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46273</v>
      </c>
      <c r="F506" t="inlineStr">
        <is>
          <t>VÄSTERNORRLANDS LÄN</t>
        </is>
      </c>
      <c r="G506" t="inlineStr">
        <is>
          <t>HÄRNÖSAND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15613-2026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46273</v>
      </c>
      <c r="F507" t="inlineStr">
        <is>
          <t>VÄSTERNORRLANDS LÄN</t>
        </is>
      </c>
      <c r="G507" t="inlineStr">
        <is>
          <t>HÄRNÖSAND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46219</v>
      </c>
      <c r="E508" s="1" t="n">
        <v>46273</v>
      </c>
      <c r="F508" t="inlineStr">
        <is>
          <t>VÄSTERNORRLANDS LÄN</t>
        </is>
      </c>
      <c r="G508" t="inlineStr">
        <is>
          <t>HÄRNÖSAND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46219</v>
      </c>
      <c r="E509" s="1" t="n">
        <v>46273</v>
      </c>
      <c r="F509" t="inlineStr">
        <is>
          <t>VÄSTERNORRLANDS LÄN</t>
        </is>
      </c>
      <c r="G509" t="inlineStr">
        <is>
          <t>HÄRNÖSAND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46219</v>
      </c>
      <c r="E510" s="1" t="n">
        <v>46273</v>
      </c>
      <c r="F510" t="inlineStr">
        <is>
          <t>VÄSTERNORRLANDS LÄN</t>
        </is>
      </c>
      <c r="G510" t="inlineStr">
        <is>
          <t>HÄRNÖSAND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16246-2025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45749</v>
      </c>
      <c r="E511" s="1" t="n">
        <v>46273</v>
      </c>
      <c r="F511" t="inlineStr">
        <is>
          <t>VÄSTERNORRLANDS LÄN</t>
        </is>
      </c>
      <c r="G511" t="inlineStr">
        <is>
          <t>HÄRNÖSAND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17516-2025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45757</v>
      </c>
      <c r="E512" s="1" t="n">
        <v>46273</v>
      </c>
      <c r="F512" t="inlineStr">
        <is>
          <t>VÄSTERNORRLANDS LÄN</t>
        </is>
      </c>
      <c r="G512" t="inlineStr">
        <is>
          <t>HÄRNÖSAND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46113</v>
      </c>
      <c r="E513" s="1" t="n">
        <v>46273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34513-2022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44792</v>
      </c>
      <c r="E514" s="1" t="n">
        <v>46273</v>
      </c>
      <c r="F514" t="inlineStr">
        <is>
          <t>VÄSTERNORRLANDS LÄN</t>
        </is>
      </c>
      <c r="G514" t="inlineStr">
        <is>
          <t>HÄRNÖSAND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12675-2025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45733</v>
      </c>
      <c r="E515" s="1" t="n">
        <v>46273</v>
      </c>
      <c r="F515" t="inlineStr">
        <is>
          <t>VÄSTERNORRLANDS LÄN</t>
        </is>
      </c>
      <c r="G515" t="inlineStr">
        <is>
          <t>HÄRNÖSAND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30710-2024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45496</v>
      </c>
      <c r="E516" s="1" t="n">
        <v>46273</v>
      </c>
      <c r="F516" t="inlineStr">
        <is>
          <t>VÄSTERNORRLANDS LÄN</t>
        </is>
      </c>
      <c r="G516" t="inlineStr">
        <is>
          <t>HÄRNÖSAND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45352</v>
      </c>
      <c r="E517" s="1" t="n">
        <v>46273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46273</v>
      </c>
      <c r="F518" t="inlineStr">
        <is>
          <t>VÄSTERNORRLANDS LÄN</t>
        </is>
      </c>
      <c r="G518" t="inlineStr">
        <is>
          <t>HÄRNÖSAND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64377-2023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45280</v>
      </c>
      <c r="E519" s="1" t="n">
        <v>46273</v>
      </c>
      <c r="F519" t="inlineStr">
        <is>
          <t>VÄSTERNORRLANDS LÄN</t>
        </is>
      </c>
      <c r="G519" t="inlineStr">
        <is>
          <t>HÄRNÖSAND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46273</v>
      </c>
      <c r="F520" t="inlineStr">
        <is>
          <t>VÄSTERNORRLANDS LÄN</t>
        </is>
      </c>
      <c r="G520" t="inlineStr">
        <is>
          <t>HÄRNÖSAND</t>
        </is>
      </c>
      <c r="I520" t="n">
        <v>10.8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35670-2026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46265</v>
      </c>
      <c r="E521" s="1" t="n">
        <v>46273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SCA</t>
        </is>
      </c>
      <c r="I521" t="n">
        <v>22.1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23186-2026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46273</v>
      </c>
      <c r="F522" t="inlineStr">
        <is>
          <t>VÄSTERNORRLANDS LÄN</t>
        </is>
      </c>
      <c r="G522" t="inlineStr">
        <is>
          <t>HÄRNÖSAND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46273</v>
      </c>
      <c r="F523" t="inlineStr">
        <is>
          <t>VÄSTERNORRLANDS LÄN</t>
        </is>
      </c>
      <c r="G523" t="inlineStr">
        <is>
          <t>HÄRNÖSAND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46273</v>
      </c>
      <c r="F524" t="inlineStr">
        <is>
          <t>VÄSTERNORRLANDS LÄN</t>
        </is>
      </c>
      <c r="G524" t="inlineStr">
        <is>
          <t>HÄRNÖSAND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25116-2024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45462</v>
      </c>
      <c r="E525" s="1" t="n">
        <v>46273</v>
      </c>
      <c r="F525" t="inlineStr">
        <is>
          <t>VÄSTERNORRLANDS LÄN</t>
        </is>
      </c>
      <c r="G525" t="inlineStr">
        <is>
          <t>HÄRNÖSAND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30893-2026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46213</v>
      </c>
      <c r="E526" s="1" t="n">
        <v>46273</v>
      </c>
      <c r="F526" t="inlineStr">
        <is>
          <t>VÄSTERNORRLANDS LÄN</t>
        </is>
      </c>
      <c r="G526" t="inlineStr">
        <is>
          <t>HÄRNÖSAND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18575-2026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46127</v>
      </c>
      <c r="E527" s="1" t="n">
        <v>46273</v>
      </c>
      <c r="F527" t="inlineStr">
        <is>
          <t>VÄSTERNORRLANDS LÄN</t>
        </is>
      </c>
      <c r="G527" t="inlineStr">
        <is>
          <t>HÄRNÖSAND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46273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31.9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52987-2022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44875</v>
      </c>
      <c r="E529" s="1" t="n">
        <v>46273</v>
      </c>
      <c r="F529" t="inlineStr">
        <is>
          <t>VÄSTERNORRLANDS LÄN</t>
        </is>
      </c>
      <c r="G529" t="inlineStr">
        <is>
          <t>HÄRNÖSAND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29279-2024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45482</v>
      </c>
      <c r="E530" s="1" t="n">
        <v>46273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46132</v>
      </c>
      <c r="E531" s="1" t="n">
        <v>46273</v>
      </c>
      <c r="F531" t="inlineStr">
        <is>
          <t>VÄSTERNORRLANDS LÄN</t>
        </is>
      </c>
      <c r="G531" t="inlineStr">
        <is>
          <t>HÄRNÖSAND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30762-2024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45496</v>
      </c>
      <c r="E532" s="1" t="n">
        <v>46273</v>
      </c>
      <c r="F532" t="inlineStr">
        <is>
          <t>VÄSTERNORRLANDS LÄN</t>
        </is>
      </c>
      <c r="G532" t="inlineStr">
        <is>
          <t>HÄRNÖSAND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6258-2023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44957</v>
      </c>
      <c r="E533" s="1" t="n">
        <v>46273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46273</v>
      </c>
      <c r="F534" t="inlineStr">
        <is>
          <t>VÄSTERNORRLANDS LÄN</t>
        </is>
      </c>
      <c r="G534" t="inlineStr">
        <is>
          <t>HÄRNÖSAND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59034-2022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44903</v>
      </c>
      <c r="E535" s="1" t="n">
        <v>46273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46133</v>
      </c>
      <c r="E536" s="1" t="n">
        <v>46273</v>
      </c>
      <c r="F536" t="inlineStr">
        <is>
          <t>VÄSTERNORRLANDS LÄN</t>
        </is>
      </c>
      <c r="G536" t="inlineStr">
        <is>
          <t>HÄRNÖSAND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44945</v>
      </c>
      <c r="E537" s="1" t="n">
        <v>46273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45376</v>
      </c>
      <c r="E538" s="1" t="n">
        <v>46273</v>
      </c>
      <c r="F538" t="inlineStr">
        <is>
          <t>VÄSTERNORRLANDS LÄN</t>
        </is>
      </c>
      <c r="G538" t="inlineStr">
        <is>
          <t>HÄRNÖSAND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56165-2022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44889</v>
      </c>
      <c r="E539" s="1" t="n">
        <v>46273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65224-2023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45289</v>
      </c>
      <c r="E540" s="1" t="n">
        <v>46273</v>
      </c>
      <c r="F540" t="inlineStr">
        <is>
          <t>VÄSTERNORRLANDS LÄN</t>
        </is>
      </c>
      <c r="G540" t="inlineStr">
        <is>
          <t>HÄRNÖSAND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45687-2022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44845</v>
      </c>
      <c r="E541" s="1" t="n">
        <v>46273</v>
      </c>
      <c r="F541" t="inlineStr">
        <is>
          <t>VÄSTERNORRLANDS LÄN</t>
        </is>
      </c>
      <c r="G541" t="inlineStr">
        <is>
          <t>HÄRNÖSAND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22875-2023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45072</v>
      </c>
      <c r="E542" s="1" t="n">
        <v>46273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Kyrkan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46508-2023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45194</v>
      </c>
      <c r="E543" s="1" t="n">
        <v>46273</v>
      </c>
      <c r="F543" t="inlineStr">
        <is>
          <t>VÄSTERNORRLANDS LÄN</t>
        </is>
      </c>
      <c r="G543" t="inlineStr">
        <is>
          <t>HÄRNÖSAND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65222-2023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45289</v>
      </c>
      <c r="E544" s="1" t="n">
        <v>46273</v>
      </c>
      <c r="F544" t="inlineStr">
        <is>
          <t>VÄSTERNORRLANDS LÄN</t>
        </is>
      </c>
      <c r="G544" t="inlineStr">
        <is>
          <t>HÄRNÖSAND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44580</v>
      </c>
      <c r="E545" s="1" t="n">
        <v>46273</v>
      </c>
      <c r="F545" t="inlineStr">
        <is>
          <t>VÄSTERNORRLANDS LÄN</t>
        </is>
      </c>
      <c r="G545" t="inlineStr">
        <is>
          <t>HÄRNÖSAND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45476</v>
      </c>
      <c r="E546" s="1" t="n">
        <v>46273</v>
      </c>
      <c r="F546" t="inlineStr">
        <is>
          <t>VÄSTERNORRLANDS LÄN</t>
        </is>
      </c>
      <c r="G546" t="inlineStr">
        <is>
          <t>HÄRNÖSAND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13611-2023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45006</v>
      </c>
      <c r="E547" s="1" t="n">
        <v>46273</v>
      </c>
      <c r="F547" t="inlineStr">
        <is>
          <t>VÄSTERNORRLANDS LÄN</t>
        </is>
      </c>
      <c r="G547" t="inlineStr">
        <is>
          <t>HÄRNÖSAND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46273</v>
      </c>
      <c r="F548" t="inlineStr">
        <is>
          <t>VÄSTERNORRLANDS LÄN</t>
        </is>
      </c>
      <c r="G548" t="inlineStr">
        <is>
          <t>HÄRNÖSAND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45035</v>
      </c>
      <c r="E549" s="1" t="n">
        <v>46273</v>
      </c>
      <c r="F549" t="inlineStr">
        <is>
          <t>VÄSTERNORRLANDS LÄN</t>
        </is>
      </c>
      <c r="G549" t="inlineStr">
        <is>
          <t>HÄRNÖSAND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44987</v>
      </c>
      <c r="E550" s="1" t="n">
        <v>46273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52237-2022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44869</v>
      </c>
      <c r="E551" s="1" t="n">
        <v>46273</v>
      </c>
      <c r="F551" t="inlineStr">
        <is>
          <t>VÄSTERNORRLANDS LÄN</t>
        </is>
      </c>
      <c r="G551" t="inlineStr">
        <is>
          <t>HÄRNÖSAND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46273</v>
      </c>
      <c r="F552" t="inlineStr">
        <is>
          <t>VÄSTERNORRLANDS LÄN</t>
        </is>
      </c>
      <c r="G552" t="inlineStr">
        <is>
          <t>HÄRNÖSAND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45000</v>
      </c>
      <c r="E553" s="1" t="n">
        <v>46273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12543-2023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45000</v>
      </c>
      <c r="E554" s="1" t="n">
        <v>46273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58869-2023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45250</v>
      </c>
      <c r="E555" s="1" t="n">
        <v>46273</v>
      </c>
      <c r="F555" t="inlineStr">
        <is>
          <t>VÄSTERNORRLANDS LÄN</t>
        </is>
      </c>
      <c r="G555" t="inlineStr">
        <is>
          <t>HÄRNÖSAND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45044</v>
      </c>
      <c r="E556" s="1" t="n">
        <v>46273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45126</v>
      </c>
      <c r="E557" s="1" t="n">
        <v>46273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18345-2025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45762</v>
      </c>
      <c r="E558" s="1" t="n">
        <v>46273</v>
      </c>
      <c r="F558" t="inlineStr">
        <is>
          <t>VÄSTERNORRLANDS LÄN</t>
        </is>
      </c>
      <c r="G558" t="inlineStr">
        <is>
          <t>HÄRNÖSAND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45180</v>
      </c>
      <c r="E559" s="1" t="n">
        <v>46273</v>
      </c>
      <c r="F559" t="inlineStr">
        <is>
          <t>VÄSTERNORRLANDS LÄN</t>
        </is>
      </c>
      <c r="G559" t="inlineStr">
        <is>
          <t>HÄRNÖSAND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45921-2024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45580</v>
      </c>
      <c r="E560" s="1" t="n">
        <v>46273</v>
      </c>
      <c r="F560" t="inlineStr">
        <is>
          <t>VÄSTERNORRLANDS LÄN</t>
        </is>
      </c>
      <c r="G560" t="inlineStr">
        <is>
          <t>HÄRNÖSAND</t>
        </is>
      </c>
      <c r="I560" t="n">
        <v>14.2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35785-2023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46273</v>
      </c>
      <c r="F561" t="inlineStr">
        <is>
          <t>VÄSTERNORRLANDS LÄN</t>
        </is>
      </c>
      <c r="G561" t="inlineStr">
        <is>
          <t>HÄRNÖSAND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59121-2023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45251</v>
      </c>
      <c r="E562" s="1" t="n">
        <v>46273</v>
      </c>
      <c r="F562" t="inlineStr">
        <is>
          <t>VÄSTERNORRLANDS LÄN</t>
        </is>
      </c>
      <c r="G562" t="inlineStr">
        <is>
          <t>HÄRNÖSAND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29255-2024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45482</v>
      </c>
      <c r="E563" s="1" t="n">
        <v>46273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19167-2025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45769</v>
      </c>
      <c r="E564" s="1" t="n">
        <v>46273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45646</v>
      </c>
      <c r="E565" s="1" t="n">
        <v>46273</v>
      </c>
      <c r="F565" t="inlineStr">
        <is>
          <t>VÄSTERNORRLANDS LÄN</t>
        </is>
      </c>
      <c r="G565" t="inlineStr">
        <is>
          <t>HÄRNÖSAND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32140-2023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45107</v>
      </c>
      <c r="E566" s="1" t="n">
        <v>46273</v>
      </c>
      <c r="F566" t="inlineStr">
        <is>
          <t>VÄSTERNORRLANDS LÄN</t>
        </is>
      </c>
      <c r="G566" t="inlineStr">
        <is>
          <t>HÄRNÖSAND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45723</v>
      </c>
      <c r="E567" s="1" t="n">
        <v>46273</v>
      </c>
      <c r="F567" t="inlineStr">
        <is>
          <t>VÄSTERNORRLANDS LÄN</t>
        </is>
      </c>
      <c r="G567" t="inlineStr">
        <is>
          <t>HÄRNÖSAND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45097</v>
      </c>
      <c r="E568" s="1" t="n">
        <v>46273</v>
      </c>
      <c r="F568" t="inlineStr">
        <is>
          <t>VÄSTERNORRLANDS LÄN</t>
        </is>
      </c>
      <c r="G568" t="inlineStr">
        <is>
          <t>HÄRNÖSAND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48047-2022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44855</v>
      </c>
      <c r="E569" s="1" t="n">
        <v>46273</v>
      </c>
      <c r="F569" t="inlineStr">
        <is>
          <t>VÄSTERNORRLANDS LÄN</t>
        </is>
      </c>
      <c r="G569" t="inlineStr">
        <is>
          <t>HÄRNÖSAND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57154-2024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46273</v>
      </c>
      <c r="F570" t="inlineStr">
        <is>
          <t>VÄSTERNORRLANDS LÄN</t>
        </is>
      </c>
      <c r="G570" t="inlineStr">
        <is>
          <t>HÄRNÖSAND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45323</v>
      </c>
      <c r="E571" s="1" t="n">
        <v>46273</v>
      </c>
      <c r="F571" t="inlineStr">
        <is>
          <t>VÄSTERNORRLANDS LÄN</t>
        </is>
      </c>
      <c r="G571" t="inlineStr">
        <is>
          <t>HÄRNÖSAND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45500-2024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45578</v>
      </c>
      <c r="E572" s="1" t="n">
        <v>46273</v>
      </c>
      <c r="F572" t="inlineStr">
        <is>
          <t>VÄSTERNORRLANDS LÄN</t>
        </is>
      </c>
      <c r="G572" t="inlineStr">
        <is>
          <t>HÄRNÖSAND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45504-2024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45578</v>
      </c>
      <c r="E573" s="1" t="n">
        <v>46273</v>
      </c>
      <c r="F573" t="inlineStr">
        <is>
          <t>VÄSTERNORRLANDS LÄN</t>
        </is>
      </c>
      <c r="G573" t="inlineStr">
        <is>
          <t>HÄRNÖSAND</t>
        </is>
      </c>
      <c r="I573" t="n">
        <v>10.3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44951</v>
      </c>
      <c r="E574" s="1" t="n">
        <v>46273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46273</v>
      </c>
      <c r="F575" t="inlineStr">
        <is>
          <t>VÄSTERNORRLANDS LÄN</t>
        </is>
      </c>
      <c r="G575" t="inlineStr">
        <is>
          <t>HÄRNÖSAND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32418-2024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45512</v>
      </c>
      <c r="E576" s="1" t="n">
        <v>46273</v>
      </c>
      <c r="F576" t="inlineStr">
        <is>
          <t>VÄSTERNORRLANDS LÄN</t>
        </is>
      </c>
      <c r="G576" t="inlineStr">
        <is>
          <t>HÄRNÖSAND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51001-2022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44867</v>
      </c>
      <c r="E577" s="1" t="n">
        <v>46273</v>
      </c>
      <c r="F577" t="inlineStr">
        <is>
          <t>VÄSTERNORRLANDS LÄN</t>
        </is>
      </c>
      <c r="G577" t="inlineStr">
        <is>
          <t>HÄRNÖSAND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45729</v>
      </c>
      <c r="E578" s="1" t="n">
        <v>46273</v>
      </c>
      <c r="F578" t="inlineStr">
        <is>
          <t>VÄSTERNORRLANDS LÄN</t>
        </is>
      </c>
      <c r="G578" t="inlineStr">
        <is>
          <t>HÄRNÖSAND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45376</v>
      </c>
      <c r="E579" s="1" t="n">
        <v>46273</v>
      </c>
      <c r="F579" t="inlineStr">
        <is>
          <t>VÄSTERNORRLANDS LÄN</t>
        </is>
      </c>
      <c r="G579" t="inlineStr">
        <is>
          <t>HÄRNÖSAND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45730</v>
      </c>
      <c r="E580" s="1" t="n">
        <v>46273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4147-2025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45685</v>
      </c>
      <c r="E581" s="1" t="n">
        <v>46273</v>
      </c>
      <c r="F581" t="inlineStr">
        <is>
          <t>VÄSTERNORRLANDS LÄN</t>
        </is>
      </c>
      <c r="G581" t="inlineStr">
        <is>
          <t>HÄRNÖSAND</t>
        </is>
      </c>
      <c r="I581" t="n">
        <v>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20822-2025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45776</v>
      </c>
      <c r="E582" s="1" t="n">
        <v>46273</v>
      </c>
      <c r="F582" t="inlineStr">
        <is>
          <t>VÄSTERNORRLANDS LÄN</t>
        </is>
      </c>
      <c r="G582" t="inlineStr">
        <is>
          <t>HÄRNÖSAND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20821-2025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45776</v>
      </c>
      <c r="E583" s="1" t="n">
        <v>46273</v>
      </c>
      <c r="F583" t="inlineStr">
        <is>
          <t>VÄSTERNORRLANDS LÄN</t>
        </is>
      </c>
      <c r="G583" t="inlineStr">
        <is>
          <t>HÄRNÖSAND</t>
        </is>
      </c>
      <c r="I583" t="n">
        <v>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21484-2025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45782</v>
      </c>
      <c r="E584" s="1" t="n">
        <v>46273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32.1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45782</v>
      </c>
      <c r="E585" s="1" t="n">
        <v>46273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12.3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42343-2024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45562</v>
      </c>
      <c r="E586" s="1" t="n">
        <v>46273</v>
      </c>
      <c r="F586" t="inlineStr">
        <is>
          <t>VÄSTERNORRLANDS LÄN</t>
        </is>
      </c>
      <c r="G586" t="inlineStr">
        <is>
          <t>HÄRNÖSAND</t>
        </is>
      </c>
      <c r="I586" t="n">
        <v>15.6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45502-2024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45578</v>
      </c>
      <c r="E587" s="1" t="n">
        <v>46273</v>
      </c>
      <c r="F587" t="inlineStr">
        <is>
          <t>VÄSTERNORRLANDS LÄN</t>
        </is>
      </c>
      <c r="G587" t="inlineStr">
        <is>
          <t>HÄRNÖSAND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46273</v>
      </c>
      <c r="F588" t="inlineStr">
        <is>
          <t>VÄSTERNORRLANDS LÄN</t>
        </is>
      </c>
      <c r="G588" t="inlineStr">
        <is>
          <t>HÄRNÖSAND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6831-2024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45342</v>
      </c>
      <c r="E589" s="1" t="n">
        <v>46273</v>
      </c>
      <c r="F589" t="inlineStr">
        <is>
          <t>VÄSTERNORRLANDS LÄN</t>
        </is>
      </c>
      <c r="G589" t="inlineStr">
        <is>
          <t>HÄRNÖSAND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45574</v>
      </c>
      <c r="E590" s="1" t="n">
        <v>46273</v>
      </c>
      <c r="F590" t="inlineStr">
        <is>
          <t>VÄSTERNORRLANDS LÄN</t>
        </is>
      </c>
      <c r="G590" t="inlineStr">
        <is>
          <t>HÄRNÖSAND</t>
        </is>
      </c>
      <c r="I590" t="n">
        <v>11.9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19949-2024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45433</v>
      </c>
      <c r="E591" s="1" t="n">
        <v>46273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45351</v>
      </c>
      <c r="E592" s="1" t="n">
        <v>46273</v>
      </c>
      <c r="F592" t="inlineStr">
        <is>
          <t>VÄSTERNORRLANDS LÄN</t>
        </is>
      </c>
      <c r="G592" t="inlineStr">
        <is>
          <t>HÄRNÖSAND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44571</v>
      </c>
      <c r="E593" s="1" t="n">
        <v>46273</v>
      </c>
      <c r="F593" t="inlineStr">
        <is>
          <t>VÄSTERNORRLANDS LÄN</t>
        </is>
      </c>
      <c r="G593" t="inlineStr">
        <is>
          <t>HÄRNÖSAND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45585-2024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46273</v>
      </c>
      <c r="F594" t="inlineStr">
        <is>
          <t>VÄSTERNORRLANDS LÄN</t>
        </is>
      </c>
      <c r="G594" t="inlineStr">
        <is>
          <t>HÄRNÖSAND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23825-2025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45793</v>
      </c>
      <c r="E595" s="1" t="n">
        <v>46273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61944-2023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45266</v>
      </c>
      <c r="E596" s="1" t="n">
        <v>46273</v>
      </c>
      <c r="F596" t="inlineStr">
        <is>
          <t>VÄSTERNORRLANDS LÄN</t>
        </is>
      </c>
      <c r="G596" t="inlineStr">
        <is>
          <t>HÄRNÖSAND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45516</v>
      </c>
      <c r="E597" s="1" t="n">
        <v>46273</v>
      </c>
      <c r="F597" t="inlineStr">
        <is>
          <t>VÄSTERNORRLANDS LÄN</t>
        </is>
      </c>
      <c r="G597" t="inlineStr">
        <is>
          <t>HÄRNÖSAND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45139</v>
      </c>
      <c r="E598" s="1" t="n">
        <v>46273</v>
      </c>
      <c r="F598" t="inlineStr">
        <is>
          <t>VÄSTERNORRLANDS LÄN</t>
        </is>
      </c>
      <c r="G598" t="inlineStr">
        <is>
          <t>HÄRNÖSAND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44475</v>
      </c>
      <c r="E599" s="1" t="n">
        <v>46273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46273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25355-2025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45800</v>
      </c>
      <c r="E601" s="1" t="n">
        <v>46273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45803</v>
      </c>
      <c r="E602" s="1" t="n">
        <v>46273</v>
      </c>
      <c r="F602" t="inlineStr">
        <is>
          <t>VÄSTERNORRLANDS LÄN</t>
        </is>
      </c>
      <c r="G602" t="inlineStr">
        <is>
          <t>HÄRNÖSAND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18461-2025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45762</v>
      </c>
      <c r="E603" s="1" t="n">
        <v>46273</v>
      </c>
      <c r="F603" t="inlineStr">
        <is>
          <t>VÄSTERNORRLANDS LÄN</t>
        </is>
      </c>
      <c r="G603" t="inlineStr">
        <is>
          <t>HÄRNÖSAND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45805</v>
      </c>
      <c r="E604" s="1" t="n">
        <v>46273</v>
      </c>
      <c r="F604" t="inlineStr">
        <is>
          <t>VÄSTERNORRLANDS LÄN</t>
        </is>
      </c>
      <c r="G604" t="inlineStr">
        <is>
          <t>HÄRNÖSAND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57685-2024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45630</v>
      </c>
      <c r="E605" s="1" t="n">
        <v>46273</v>
      </c>
      <c r="F605" t="inlineStr">
        <is>
          <t>VÄSTERNORRLANDS LÄN</t>
        </is>
      </c>
      <c r="G605" t="inlineStr">
        <is>
          <t>HÄRNÖSAND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49531-2023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45205</v>
      </c>
      <c r="E606" s="1" t="n">
        <v>46273</v>
      </c>
      <c r="F606" t="inlineStr">
        <is>
          <t>VÄSTERNORRLANDS LÄN</t>
        </is>
      </c>
      <c r="G606" t="inlineStr">
        <is>
          <t>HÄRNÖSAND</t>
        </is>
      </c>
      <c r="I606" t="n">
        <v>7.9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45811</v>
      </c>
      <c r="E607" s="1" t="n">
        <v>46273</v>
      </c>
      <c r="F607" t="inlineStr">
        <is>
          <t>VÄSTERNORRLANDS LÄN</t>
        </is>
      </c>
      <c r="G607" t="inlineStr">
        <is>
          <t>HÄRNÖSAND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27272-2025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46273</v>
      </c>
      <c r="F608" t="inlineStr">
        <is>
          <t>VÄSTERNORRLANDS LÄN</t>
        </is>
      </c>
      <c r="G608" t="inlineStr">
        <is>
          <t>HÄRNÖSAND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27273-2025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45812</v>
      </c>
      <c r="E609" s="1" t="n">
        <v>46273</v>
      </c>
      <c r="F609" t="inlineStr">
        <is>
          <t>VÄSTERNORRLANDS LÄN</t>
        </is>
      </c>
      <c r="G609" t="inlineStr">
        <is>
          <t>HÄRNÖSAND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29233-2025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45824</v>
      </c>
      <c r="E610" s="1" t="n">
        <v>46273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45825</v>
      </c>
      <c r="E611" s="1" t="n">
        <v>46273</v>
      </c>
      <c r="F611" t="inlineStr">
        <is>
          <t>VÄSTERNORRLANDS LÄN</t>
        </is>
      </c>
      <c r="G611" t="inlineStr">
        <is>
          <t>HÄRNÖSAND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29548-2025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46273</v>
      </c>
      <c r="F612" t="inlineStr">
        <is>
          <t>VÄSTERNORRLANDS LÄN</t>
        </is>
      </c>
      <c r="G612" t="inlineStr">
        <is>
          <t>HÄRNÖSAND</t>
        </is>
      </c>
      <c r="I612" t="n">
        <v>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29549-2025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46273</v>
      </c>
      <c r="F613" t="inlineStr">
        <is>
          <t>VÄSTERNORRLANDS LÄN</t>
        </is>
      </c>
      <c r="G613" t="inlineStr">
        <is>
          <t>HÄRNÖSAND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29550-2025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46273</v>
      </c>
      <c r="F614" t="inlineStr">
        <is>
          <t>VÄSTERNORRLANDS LÄN</t>
        </is>
      </c>
      <c r="G614" t="inlineStr">
        <is>
          <t>HÄRNÖSAND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30039-2025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45826</v>
      </c>
      <c r="E615" s="1" t="n">
        <v>46273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Kyrkan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31305-2025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45833</v>
      </c>
      <c r="E616" s="1" t="n">
        <v>46273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31342-2025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46273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31721-2025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45834</v>
      </c>
      <c r="E618" s="1" t="n">
        <v>46273</v>
      </c>
      <c r="F618" t="inlineStr">
        <is>
          <t>VÄSTERNORRLANDS LÄN</t>
        </is>
      </c>
      <c r="G618" t="inlineStr">
        <is>
          <t>HÄRNÖSAND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31483-2025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46273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31303-2025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45833</v>
      </c>
      <c r="E620" s="1" t="n">
        <v>46273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31344-2025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46273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31890-2025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46273</v>
      </c>
      <c r="F622" t="inlineStr">
        <is>
          <t>VÄSTERNORRLANDS LÄN</t>
        </is>
      </c>
      <c r="G622" t="inlineStr">
        <is>
          <t>HÄRNÖSAND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32374-2025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45837</v>
      </c>
      <c r="E623" s="1" t="n">
        <v>46273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26920-2025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45811</v>
      </c>
      <c r="E624" s="1" t="n">
        <v>46273</v>
      </c>
      <c r="F624" t="inlineStr">
        <is>
          <t>VÄSTERNORRLANDS LÄN</t>
        </is>
      </c>
      <c r="G624" t="inlineStr">
        <is>
          <t>HÄRNÖSAND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32365-2025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45837</v>
      </c>
      <c r="E625" s="1" t="n">
        <v>46273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34729-2025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45840</v>
      </c>
      <c r="E626" s="1" t="n">
        <v>46273</v>
      </c>
      <c r="F626" t="inlineStr">
        <is>
          <t>VÄSTERNORRLANDS LÄN</t>
        </is>
      </c>
      <c r="G626" t="inlineStr">
        <is>
          <t>HÄRNÖSAND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33145-2025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45840</v>
      </c>
      <c r="E627" s="1" t="n">
        <v>46273</v>
      </c>
      <c r="F627" t="inlineStr">
        <is>
          <t>VÄSTERNORRLANDS LÄN</t>
        </is>
      </c>
      <c r="G627" t="inlineStr">
        <is>
          <t>HÄRNÖSAND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45848</v>
      </c>
      <c r="E628" s="1" t="n">
        <v>46273</v>
      </c>
      <c r="F628" t="inlineStr">
        <is>
          <t>VÄSTERNORRLANDS LÄN</t>
        </is>
      </c>
      <c r="G628" t="inlineStr">
        <is>
          <t>HÄRNÖSAND</t>
        </is>
      </c>
      <c r="I628" t="n">
        <v>7.9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34751-2025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45848</v>
      </c>
      <c r="E629" s="1" t="n">
        <v>46273</v>
      </c>
      <c r="F629" t="inlineStr">
        <is>
          <t>VÄSTERNORRLANDS LÄN</t>
        </is>
      </c>
      <c r="G629" t="inlineStr">
        <is>
          <t>HÄRNÖSAND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16220-2025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45749</v>
      </c>
      <c r="E630" s="1" t="n">
        <v>46273</v>
      </c>
      <c r="F630" t="inlineStr">
        <is>
          <t>VÄSTERNORRLANDS LÄN</t>
        </is>
      </c>
      <c r="G630" t="inlineStr">
        <is>
          <t>HÄRNÖSAND</t>
        </is>
      </c>
      <c r="I630" t="n">
        <v>10.3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35189-2025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45853</v>
      </c>
      <c r="E631" s="1" t="n">
        <v>46273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23805-2025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45793</v>
      </c>
      <c r="E632" s="1" t="n">
        <v>46273</v>
      </c>
      <c r="F632" t="inlineStr">
        <is>
          <t>VÄSTERNORRLANDS LÄN</t>
        </is>
      </c>
      <c r="G632" t="inlineStr">
        <is>
          <t>HÄRNÖSAND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12150-2025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45729</v>
      </c>
      <c r="E633" s="1" t="n">
        <v>46273</v>
      </c>
      <c r="F633" t="inlineStr">
        <is>
          <t>VÄSTERNORRLANDS LÄN</t>
        </is>
      </c>
      <c r="G633" t="inlineStr">
        <is>
          <t>HÄRNÖSAND</t>
        </is>
      </c>
      <c r="I633" t="n">
        <v>5.3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45741</v>
      </c>
      <c r="E634" s="1" t="n">
        <v>46273</v>
      </c>
      <c r="F634" t="inlineStr">
        <is>
          <t>VÄSTERNORRLANDS LÄN</t>
        </is>
      </c>
      <c r="G634" t="inlineStr">
        <is>
          <t>HÄRNÖSAND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8023-2023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44973</v>
      </c>
      <c r="E635" s="1" t="n">
        <v>46273</v>
      </c>
      <c r="F635" t="inlineStr">
        <is>
          <t>VÄSTERNORRLANDS LÄN</t>
        </is>
      </c>
      <c r="G635" t="inlineStr">
        <is>
          <t>HÄRNÖSAND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44459-2024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46273</v>
      </c>
      <c r="F636" t="inlineStr">
        <is>
          <t>VÄSTERNORRLANDS LÄN</t>
        </is>
      </c>
      <c r="G636" t="inlineStr">
        <is>
          <t>HÄRNÖSAND</t>
        </is>
      </c>
      <c r="I636" t="n">
        <v>9.5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14495-2025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45741</v>
      </c>
      <c r="E637" s="1" t="n">
        <v>46273</v>
      </c>
      <c r="F637" t="inlineStr">
        <is>
          <t>VÄSTERNORRLANDS LÄN</t>
        </is>
      </c>
      <c r="G637" t="inlineStr">
        <is>
          <t>HÄRNÖSAND</t>
        </is>
      </c>
      <c r="I637" t="n">
        <v>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36960-2025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46273</v>
      </c>
      <c r="F638" t="inlineStr">
        <is>
          <t>VÄSTERNORRLANDS LÄN</t>
        </is>
      </c>
      <c r="G638" t="inlineStr">
        <is>
          <t>HÄRNÖSAND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36993-2025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45874</v>
      </c>
      <c r="E639" s="1" t="n">
        <v>46273</v>
      </c>
      <c r="F639" t="inlineStr">
        <is>
          <t>VÄSTERNORRLANDS LÄN</t>
        </is>
      </c>
      <c r="G639" t="inlineStr">
        <is>
          <t>HÄRNÖSAND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36958-2025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45874</v>
      </c>
      <c r="E640" s="1" t="n">
        <v>46273</v>
      </c>
      <c r="F640" t="inlineStr">
        <is>
          <t>VÄSTERNORRLANDS LÄN</t>
        </is>
      </c>
      <c r="G640" t="inlineStr">
        <is>
          <t>HÄRNÖSAND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36959-2025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45874</v>
      </c>
      <c r="E641" s="1" t="n">
        <v>46273</v>
      </c>
      <c r="F641" t="inlineStr">
        <is>
          <t>VÄSTERNORRLANDS LÄN</t>
        </is>
      </c>
      <c r="G641" t="inlineStr">
        <is>
          <t>HÄRNÖSAND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37562-2025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45880</v>
      </c>
      <c r="E642" s="1" t="n">
        <v>46273</v>
      </c>
      <c r="F642" t="inlineStr">
        <is>
          <t>VÄSTERNORRLANDS LÄN</t>
        </is>
      </c>
      <c r="G642" t="inlineStr">
        <is>
          <t>HÄRNÖSAND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4299-2021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44393</v>
      </c>
      <c r="E643" s="1" t="n">
        <v>46273</v>
      </c>
      <c r="F643" t="inlineStr">
        <is>
          <t>VÄSTERNORRLANDS LÄN</t>
        </is>
      </c>
      <c r="G643" t="inlineStr">
        <is>
          <t>HÄRNÖSAND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382-2024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45323</v>
      </c>
      <c r="E644" s="1" t="n">
        <v>46273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10.6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831-2025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45733</v>
      </c>
      <c r="E645" s="1" t="n">
        <v>46273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113.3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1148-2025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45755</v>
      </c>
      <c r="E646" s="1" t="n">
        <v>46273</v>
      </c>
      <c r="F646" t="inlineStr">
        <is>
          <t>VÄSTERNORRLANDS LÄN</t>
        </is>
      </c>
      <c r="G646" t="inlineStr">
        <is>
          <t>HÄRNÖSAND</t>
        </is>
      </c>
      <c r="I646" t="n">
        <v>10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1559-2025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45793</v>
      </c>
      <c r="E647" s="1" t="n">
        <v>46273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525-2026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46078</v>
      </c>
      <c r="E648" s="1" t="n">
        <v>46273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484-2026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46073</v>
      </c>
      <c r="E649" s="1" t="n">
        <v>46273</v>
      </c>
      <c r="F649" t="inlineStr">
        <is>
          <t>VÄSTERNORRLANDS LÄN</t>
        </is>
      </c>
      <c r="G649" t="inlineStr">
        <is>
          <t>HÄRNÖSAND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723-2026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46093</v>
      </c>
      <c r="E650" s="1" t="n">
        <v>46273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1428-2026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46156</v>
      </c>
      <c r="E651" s="1" t="n">
        <v>46273</v>
      </c>
      <c r="F651" t="inlineStr">
        <is>
          <t>VÄSTERNORRLANDS LÄN</t>
        </is>
      </c>
      <c r="G651" t="inlineStr">
        <is>
          <t>HÄRNÖSAND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>
      <c r="A652" t="inlineStr">
        <is>
          <t>S 2294-2026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46267</v>
      </c>
      <c r="E652" s="1" t="n">
        <v>46273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2026-09-08T02:09:40Z</dcterms:created>
  <dcterms:modified xmlns:dcterms="http://purl.org/dc/terms/" xmlns:xsi="http://www.w3.org/2001/XMLSchema-instance" xsi:type="dcterms:W3CDTF">2026-09-08T02:09:41Z</dcterms:modified>
</cp:coreProperties>
</file>